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Zalo Received Files\"/>
    </mc:Choice>
  </mc:AlternateContent>
  <xr:revisionPtr revIDLastSave="0" documentId="8_{F7B1C6F6-EA0B-4FF1-9B05-3915D18AB4D6}" xr6:coauthVersionLast="47" xr6:coauthVersionMax="47" xr10:uidLastSave="{00000000-0000-0000-0000-000000000000}"/>
  <bookViews>
    <workbookView xWindow="38280" yWindow="-120" windowWidth="29040" windowHeight="15840" xr2:uid="{63475237-60A6-4AED-8520-B822FC770FC5}"/>
  </bookViews>
  <sheets>
    <sheet name="BINH2023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45" i="1" l="1"/>
  <c r="H845" i="1"/>
  <c r="G845" i="1"/>
  <c r="F845" i="1"/>
  <c r="E845" i="1"/>
  <c r="C845" i="1"/>
  <c r="B845" i="1"/>
  <c r="I844" i="1"/>
  <c r="H844" i="1"/>
  <c r="G844" i="1"/>
  <c r="F844" i="1"/>
  <c r="E844" i="1"/>
  <c r="C844" i="1"/>
  <c r="B844" i="1"/>
  <c r="I843" i="1"/>
  <c r="H843" i="1"/>
  <c r="G843" i="1"/>
  <c r="F843" i="1"/>
  <c r="E843" i="1"/>
  <c r="C843" i="1"/>
  <c r="B843" i="1"/>
  <c r="I842" i="1"/>
  <c r="H842" i="1"/>
  <c r="G842" i="1"/>
  <c r="F842" i="1"/>
  <c r="E842" i="1"/>
  <c r="C842" i="1"/>
  <c r="B842" i="1"/>
  <c r="I841" i="1"/>
  <c r="H841" i="1"/>
  <c r="G841" i="1"/>
  <c r="F841" i="1"/>
  <c r="E841" i="1"/>
  <c r="C841" i="1"/>
  <c r="B841" i="1"/>
  <c r="I840" i="1"/>
  <c r="H840" i="1"/>
  <c r="G840" i="1"/>
  <c r="F840" i="1"/>
  <c r="E840" i="1"/>
  <c r="C840" i="1"/>
  <c r="B840" i="1"/>
  <c r="I839" i="1"/>
  <c r="H839" i="1"/>
  <c r="G839" i="1"/>
  <c r="F839" i="1"/>
  <c r="E839" i="1"/>
  <c r="C839" i="1"/>
  <c r="B839" i="1"/>
  <c r="I838" i="1"/>
  <c r="H838" i="1"/>
  <c r="G838" i="1"/>
  <c r="F838" i="1"/>
  <c r="E838" i="1"/>
  <c r="C838" i="1"/>
  <c r="B838" i="1"/>
  <c r="I837" i="1"/>
  <c r="H837" i="1"/>
  <c r="G837" i="1"/>
  <c r="F837" i="1"/>
  <c r="E837" i="1"/>
  <c r="C837" i="1"/>
  <c r="B837" i="1"/>
  <c r="I836" i="1"/>
  <c r="H836" i="1"/>
  <c r="G836" i="1"/>
  <c r="F836" i="1"/>
  <c r="E836" i="1"/>
  <c r="C836" i="1"/>
  <c r="B836" i="1"/>
  <c r="I835" i="1"/>
  <c r="H835" i="1"/>
  <c r="G835" i="1"/>
  <c r="F835" i="1"/>
  <c r="E835" i="1"/>
  <c r="C835" i="1"/>
  <c r="B835" i="1"/>
  <c r="I834" i="1"/>
  <c r="H834" i="1"/>
  <c r="G834" i="1"/>
  <c r="F834" i="1"/>
  <c r="E834" i="1"/>
  <c r="C834" i="1"/>
  <c r="B834" i="1"/>
  <c r="I833" i="1"/>
  <c r="H833" i="1"/>
  <c r="G833" i="1"/>
  <c r="F833" i="1"/>
  <c r="E833" i="1"/>
  <c r="C833" i="1"/>
  <c r="B833" i="1"/>
  <c r="I832" i="1"/>
  <c r="H832" i="1"/>
  <c r="G832" i="1"/>
  <c r="F832" i="1"/>
  <c r="E832" i="1"/>
  <c r="C832" i="1"/>
  <c r="B832" i="1"/>
  <c r="I831" i="1"/>
  <c r="H831" i="1"/>
  <c r="G831" i="1"/>
  <c r="F831" i="1"/>
  <c r="E831" i="1"/>
  <c r="C831" i="1"/>
  <c r="B831" i="1"/>
  <c r="I830" i="1"/>
  <c r="H830" i="1"/>
  <c r="G830" i="1"/>
  <c r="F830" i="1"/>
  <c r="E830" i="1"/>
  <c r="C830" i="1"/>
  <c r="B830" i="1"/>
  <c r="I829" i="1"/>
  <c r="H829" i="1"/>
  <c r="G829" i="1"/>
  <c r="F829" i="1"/>
  <c r="E829" i="1"/>
  <c r="C829" i="1"/>
  <c r="B829" i="1"/>
  <c r="I828" i="1"/>
  <c r="H828" i="1"/>
  <c r="G828" i="1"/>
  <c r="F828" i="1"/>
  <c r="E828" i="1"/>
  <c r="C828" i="1"/>
  <c r="B828" i="1"/>
  <c r="I827" i="1"/>
  <c r="H827" i="1"/>
  <c r="G827" i="1"/>
  <c r="F827" i="1"/>
  <c r="E827" i="1"/>
  <c r="C827" i="1"/>
  <c r="B827" i="1"/>
  <c r="I826" i="1"/>
  <c r="H826" i="1"/>
  <c r="G826" i="1"/>
  <c r="F826" i="1"/>
  <c r="E826" i="1"/>
  <c r="C826" i="1"/>
  <c r="B826" i="1"/>
  <c r="I825" i="1"/>
  <c r="H825" i="1"/>
  <c r="G825" i="1"/>
  <c r="F825" i="1"/>
  <c r="E825" i="1"/>
  <c r="C825" i="1"/>
  <c r="B825" i="1"/>
  <c r="I824" i="1"/>
  <c r="H824" i="1"/>
  <c r="G824" i="1"/>
  <c r="F824" i="1"/>
  <c r="E824" i="1"/>
  <c r="C824" i="1"/>
  <c r="B824" i="1"/>
  <c r="I823" i="1"/>
  <c r="H823" i="1"/>
  <c r="G823" i="1"/>
  <c r="F823" i="1"/>
  <c r="E823" i="1"/>
  <c r="C823" i="1"/>
  <c r="B823" i="1"/>
  <c r="I822" i="1"/>
  <c r="H822" i="1"/>
  <c r="G822" i="1"/>
  <c r="F822" i="1"/>
  <c r="E822" i="1"/>
  <c r="C822" i="1"/>
  <c r="B822" i="1"/>
  <c r="I821" i="1"/>
  <c r="H821" i="1"/>
  <c r="G821" i="1"/>
  <c r="F821" i="1"/>
  <c r="E821" i="1"/>
  <c r="C821" i="1"/>
  <c r="B821" i="1"/>
  <c r="I820" i="1"/>
  <c r="H820" i="1"/>
  <c r="G820" i="1"/>
  <c r="F820" i="1"/>
  <c r="E820" i="1"/>
  <c r="C820" i="1"/>
  <c r="B820" i="1"/>
  <c r="I819" i="1"/>
  <c r="H819" i="1"/>
  <c r="G819" i="1"/>
  <c r="F819" i="1"/>
  <c r="E819" i="1"/>
  <c r="C819" i="1"/>
  <c r="B819" i="1"/>
  <c r="I818" i="1"/>
  <c r="H818" i="1"/>
  <c r="G818" i="1"/>
  <c r="F818" i="1"/>
  <c r="E818" i="1"/>
  <c r="C818" i="1"/>
  <c r="B818" i="1"/>
  <c r="I817" i="1"/>
  <c r="H817" i="1"/>
  <c r="G817" i="1"/>
  <c r="F817" i="1"/>
  <c r="E817" i="1"/>
  <c r="C817" i="1"/>
  <c r="B817" i="1"/>
  <c r="I816" i="1"/>
  <c r="H816" i="1"/>
  <c r="G816" i="1"/>
  <c r="F816" i="1"/>
  <c r="E816" i="1"/>
  <c r="C816" i="1"/>
  <c r="B816" i="1"/>
  <c r="I815" i="1"/>
  <c r="H815" i="1"/>
  <c r="G815" i="1"/>
  <c r="F815" i="1"/>
  <c r="E815" i="1"/>
  <c r="C815" i="1"/>
  <c r="B815" i="1"/>
  <c r="I814" i="1"/>
  <c r="H814" i="1"/>
  <c r="G814" i="1"/>
  <c r="F814" i="1"/>
  <c r="E814" i="1"/>
  <c r="C814" i="1"/>
  <c r="B814" i="1"/>
  <c r="I813" i="1"/>
  <c r="H813" i="1"/>
  <c r="G813" i="1"/>
  <c r="F813" i="1"/>
  <c r="E813" i="1"/>
  <c r="C813" i="1"/>
  <c r="B813" i="1"/>
  <c r="I812" i="1"/>
  <c r="H812" i="1"/>
  <c r="G812" i="1"/>
  <c r="F812" i="1"/>
  <c r="E812" i="1"/>
  <c r="C812" i="1"/>
  <c r="B812" i="1"/>
  <c r="I811" i="1"/>
  <c r="H811" i="1"/>
  <c r="G811" i="1"/>
  <c r="F811" i="1"/>
  <c r="E811" i="1"/>
  <c r="C811" i="1"/>
  <c r="B811" i="1"/>
  <c r="I810" i="1"/>
  <c r="H810" i="1"/>
  <c r="G810" i="1"/>
  <c r="F810" i="1"/>
  <c r="E810" i="1"/>
  <c r="C810" i="1"/>
  <c r="B810" i="1"/>
  <c r="I809" i="1"/>
  <c r="H809" i="1"/>
  <c r="G809" i="1"/>
  <c r="F809" i="1"/>
  <c r="E809" i="1"/>
  <c r="C809" i="1"/>
  <c r="B809" i="1"/>
  <c r="I808" i="1"/>
  <c r="H808" i="1"/>
  <c r="G808" i="1"/>
  <c r="F808" i="1"/>
  <c r="E808" i="1"/>
  <c r="C808" i="1"/>
  <c r="B808" i="1"/>
  <c r="I807" i="1"/>
  <c r="H807" i="1"/>
  <c r="G807" i="1"/>
  <c r="F807" i="1"/>
  <c r="E807" i="1"/>
  <c r="C807" i="1"/>
  <c r="B807" i="1"/>
  <c r="I806" i="1"/>
  <c r="H806" i="1"/>
  <c r="G806" i="1"/>
  <c r="F806" i="1"/>
  <c r="E806" i="1"/>
  <c r="C806" i="1"/>
  <c r="B806" i="1"/>
  <c r="I805" i="1"/>
  <c r="H805" i="1"/>
  <c r="G805" i="1"/>
  <c r="F805" i="1"/>
  <c r="E805" i="1"/>
  <c r="C805" i="1"/>
  <c r="B805" i="1"/>
  <c r="I804" i="1"/>
  <c r="H804" i="1"/>
  <c r="G804" i="1"/>
  <c r="F804" i="1"/>
  <c r="E804" i="1"/>
  <c r="C804" i="1"/>
  <c r="B804" i="1"/>
  <c r="I803" i="1"/>
  <c r="H803" i="1"/>
  <c r="G803" i="1"/>
  <c r="F803" i="1"/>
  <c r="E803" i="1"/>
  <c r="C803" i="1"/>
  <c r="B803" i="1"/>
  <c r="I802" i="1"/>
  <c r="H802" i="1"/>
  <c r="G802" i="1"/>
  <c r="F802" i="1"/>
  <c r="E802" i="1"/>
  <c r="C802" i="1"/>
  <c r="B802" i="1"/>
  <c r="I801" i="1"/>
  <c r="H801" i="1"/>
  <c r="G801" i="1"/>
  <c r="F801" i="1"/>
  <c r="E801" i="1"/>
  <c r="C801" i="1"/>
  <c r="B801" i="1"/>
  <c r="I800" i="1"/>
  <c r="H800" i="1"/>
  <c r="G800" i="1"/>
  <c r="F800" i="1"/>
  <c r="E800" i="1"/>
  <c r="C800" i="1"/>
  <c r="B800" i="1"/>
  <c r="I799" i="1"/>
  <c r="H799" i="1"/>
  <c r="G799" i="1"/>
  <c r="F799" i="1"/>
  <c r="E799" i="1"/>
  <c r="C799" i="1"/>
  <c r="B799" i="1"/>
  <c r="I798" i="1"/>
  <c r="H798" i="1"/>
  <c r="G798" i="1"/>
  <c r="F798" i="1"/>
  <c r="E798" i="1"/>
  <c r="C798" i="1"/>
  <c r="B798" i="1"/>
  <c r="I797" i="1"/>
  <c r="H797" i="1"/>
  <c r="G797" i="1"/>
  <c r="F797" i="1"/>
  <c r="E797" i="1"/>
  <c r="C797" i="1"/>
  <c r="B797" i="1"/>
  <c r="I796" i="1"/>
  <c r="H796" i="1"/>
  <c r="G796" i="1"/>
  <c r="F796" i="1"/>
  <c r="E796" i="1"/>
  <c r="C796" i="1"/>
  <c r="B796" i="1"/>
  <c r="I795" i="1"/>
  <c r="H795" i="1"/>
  <c r="G795" i="1"/>
  <c r="F795" i="1"/>
  <c r="E795" i="1"/>
  <c r="C795" i="1"/>
  <c r="B795" i="1"/>
  <c r="I794" i="1"/>
  <c r="H794" i="1"/>
  <c r="G794" i="1"/>
  <c r="F794" i="1"/>
  <c r="E794" i="1"/>
  <c r="C794" i="1"/>
  <c r="B794" i="1"/>
  <c r="I793" i="1"/>
  <c r="H793" i="1"/>
  <c r="G793" i="1"/>
  <c r="F793" i="1"/>
  <c r="E793" i="1"/>
  <c r="C793" i="1"/>
  <c r="B793" i="1"/>
  <c r="I792" i="1"/>
  <c r="H792" i="1"/>
  <c r="G792" i="1"/>
  <c r="F792" i="1"/>
  <c r="E792" i="1"/>
  <c r="C792" i="1"/>
  <c r="B792" i="1"/>
  <c r="I791" i="1"/>
  <c r="H791" i="1"/>
  <c r="G791" i="1"/>
  <c r="F791" i="1"/>
  <c r="E791" i="1"/>
  <c r="C791" i="1"/>
  <c r="B791" i="1"/>
  <c r="I790" i="1"/>
  <c r="H790" i="1"/>
  <c r="G790" i="1"/>
  <c r="F790" i="1"/>
  <c r="E790" i="1"/>
  <c r="C790" i="1"/>
  <c r="B790" i="1"/>
  <c r="I789" i="1"/>
  <c r="H789" i="1"/>
  <c r="G789" i="1"/>
  <c r="F789" i="1"/>
  <c r="E789" i="1"/>
  <c r="C789" i="1"/>
  <c r="B789" i="1"/>
  <c r="I788" i="1"/>
  <c r="H788" i="1"/>
  <c r="G788" i="1"/>
  <c r="F788" i="1"/>
  <c r="E788" i="1"/>
  <c r="C788" i="1"/>
  <c r="B788" i="1"/>
  <c r="I787" i="1"/>
  <c r="H787" i="1"/>
  <c r="G787" i="1"/>
  <c r="F787" i="1"/>
  <c r="E787" i="1"/>
  <c r="C787" i="1"/>
  <c r="B787" i="1"/>
  <c r="I786" i="1"/>
  <c r="H786" i="1"/>
  <c r="G786" i="1"/>
  <c r="F786" i="1"/>
  <c r="E786" i="1"/>
  <c r="C786" i="1"/>
  <c r="B786" i="1"/>
  <c r="I785" i="1"/>
  <c r="H785" i="1"/>
  <c r="G785" i="1"/>
  <c r="F785" i="1"/>
  <c r="E785" i="1"/>
  <c r="C785" i="1"/>
  <c r="B785" i="1"/>
  <c r="I784" i="1"/>
  <c r="H784" i="1"/>
  <c r="G784" i="1"/>
  <c r="F784" i="1"/>
  <c r="E784" i="1"/>
  <c r="C784" i="1"/>
  <c r="B784" i="1"/>
  <c r="I783" i="1"/>
  <c r="H783" i="1"/>
  <c r="G783" i="1"/>
  <c r="F783" i="1"/>
  <c r="E783" i="1"/>
  <c r="C783" i="1"/>
  <c r="B783" i="1"/>
  <c r="I782" i="1"/>
  <c r="H782" i="1"/>
  <c r="G782" i="1"/>
  <c r="F782" i="1"/>
  <c r="E782" i="1"/>
  <c r="C782" i="1"/>
  <c r="B782" i="1"/>
  <c r="I781" i="1"/>
  <c r="H781" i="1"/>
  <c r="G781" i="1"/>
  <c r="F781" i="1"/>
  <c r="E781" i="1"/>
  <c r="C781" i="1"/>
  <c r="B781" i="1"/>
  <c r="I780" i="1"/>
  <c r="H780" i="1"/>
  <c r="G780" i="1"/>
  <c r="F780" i="1"/>
  <c r="E780" i="1"/>
  <c r="C780" i="1"/>
  <c r="B780" i="1"/>
  <c r="I779" i="1"/>
  <c r="H779" i="1"/>
  <c r="G779" i="1"/>
  <c r="F779" i="1"/>
  <c r="E779" i="1"/>
  <c r="C779" i="1"/>
  <c r="B779" i="1"/>
  <c r="I778" i="1"/>
  <c r="H778" i="1"/>
  <c r="G778" i="1"/>
  <c r="F778" i="1"/>
  <c r="E778" i="1"/>
  <c r="C778" i="1"/>
  <c r="B778" i="1"/>
  <c r="I777" i="1"/>
  <c r="H777" i="1"/>
  <c r="G777" i="1"/>
  <c r="F777" i="1"/>
  <c r="E777" i="1"/>
  <c r="C777" i="1"/>
  <c r="B777" i="1"/>
  <c r="I776" i="1"/>
  <c r="H776" i="1"/>
  <c r="G776" i="1"/>
  <c r="F776" i="1"/>
  <c r="E776" i="1"/>
  <c r="C776" i="1"/>
  <c r="B776" i="1"/>
  <c r="I775" i="1"/>
  <c r="H775" i="1"/>
  <c r="G775" i="1"/>
  <c r="F775" i="1"/>
  <c r="E775" i="1"/>
  <c r="C775" i="1"/>
  <c r="B775" i="1"/>
  <c r="I774" i="1"/>
  <c r="H774" i="1"/>
  <c r="G774" i="1"/>
  <c r="F774" i="1"/>
  <c r="E774" i="1"/>
  <c r="C774" i="1"/>
  <c r="B774" i="1"/>
  <c r="I773" i="1"/>
  <c r="H773" i="1"/>
  <c r="G773" i="1"/>
  <c r="F773" i="1"/>
  <c r="E773" i="1"/>
  <c r="C773" i="1"/>
  <c r="B773" i="1"/>
  <c r="I772" i="1"/>
  <c r="H772" i="1"/>
  <c r="G772" i="1"/>
  <c r="F772" i="1"/>
  <c r="E772" i="1"/>
  <c r="C772" i="1"/>
  <c r="B772" i="1"/>
  <c r="I771" i="1"/>
  <c r="H771" i="1"/>
  <c r="G771" i="1"/>
  <c r="F771" i="1"/>
  <c r="E771" i="1"/>
  <c r="C771" i="1"/>
  <c r="B771" i="1"/>
  <c r="I770" i="1"/>
  <c r="H770" i="1"/>
  <c r="G770" i="1"/>
  <c r="F770" i="1"/>
  <c r="E770" i="1"/>
  <c r="C770" i="1"/>
  <c r="B770" i="1"/>
  <c r="I769" i="1"/>
  <c r="H769" i="1"/>
  <c r="G769" i="1"/>
  <c r="F769" i="1"/>
  <c r="E769" i="1"/>
  <c r="C769" i="1"/>
  <c r="B769" i="1"/>
  <c r="I768" i="1"/>
  <c r="H768" i="1"/>
  <c r="G768" i="1"/>
  <c r="F768" i="1"/>
  <c r="E768" i="1"/>
  <c r="C768" i="1"/>
  <c r="B768" i="1"/>
  <c r="I767" i="1"/>
  <c r="H767" i="1"/>
  <c r="G767" i="1"/>
  <c r="F767" i="1"/>
  <c r="E767" i="1"/>
  <c r="C767" i="1"/>
  <c r="B767" i="1"/>
  <c r="I766" i="1"/>
  <c r="H766" i="1"/>
  <c r="G766" i="1"/>
  <c r="F766" i="1"/>
  <c r="E766" i="1"/>
  <c r="C766" i="1"/>
  <c r="B766" i="1"/>
  <c r="I765" i="1"/>
  <c r="H765" i="1"/>
  <c r="G765" i="1"/>
  <c r="F765" i="1"/>
  <c r="E765" i="1"/>
  <c r="C765" i="1"/>
  <c r="B765" i="1"/>
  <c r="I764" i="1"/>
  <c r="H764" i="1"/>
  <c r="G764" i="1"/>
  <c r="F764" i="1"/>
  <c r="E764" i="1"/>
  <c r="C764" i="1"/>
  <c r="B764" i="1"/>
  <c r="I763" i="1"/>
  <c r="H763" i="1"/>
  <c r="G763" i="1"/>
  <c r="F763" i="1"/>
  <c r="E763" i="1"/>
  <c r="C763" i="1"/>
  <c r="B763" i="1"/>
  <c r="I762" i="1"/>
  <c r="H762" i="1"/>
  <c r="G762" i="1"/>
  <c r="F762" i="1"/>
  <c r="E762" i="1"/>
  <c r="C762" i="1"/>
  <c r="B762" i="1"/>
  <c r="I761" i="1"/>
  <c r="H761" i="1"/>
  <c r="G761" i="1"/>
  <c r="F761" i="1"/>
  <c r="E761" i="1"/>
  <c r="C761" i="1"/>
  <c r="B761" i="1"/>
  <c r="I760" i="1"/>
  <c r="H760" i="1"/>
  <c r="G760" i="1"/>
  <c r="F760" i="1"/>
  <c r="E760" i="1"/>
  <c r="C760" i="1"/>
  <c r="B760" i="1"/>
  <c r="I759" i="1"/>
  <c r="H759" i="1"/>
  <c r="G759" i="1"/>
  <c r="F759" i="1"/>
  <c r="E759" i="1"/>
  <c r="C759" i="1"/>
  <c r="B759" i="1"/>
  <c r="I758" i="1"/>
  <c r="H758" i="1"/>
  <c r="G758" i="1"/>
  <c r="F758" i="1"/>
  <c r="E758" i="1"/>
  <c r="C758" i="1"/>
  <c r="B758" i="1"/>
  <c r="I757" i="1"/>
  <c r="H757" i="1"/>
  <c r="G757" i="1"/>
  <c r="F757" i="1"/>
  <c r="E757" i="1"/>
  <c r="C757" i="1"/>
  <c r="B757" i="1"/>
  <c r="I756" i="1"/>
  <c r="H756" i="1"/>
  <c r="G756" i="1"/>
  <c r="F756" i="1"/>
  <c r="E756" i="1"/>
  <c r="C756" i="1"/>
  <c r="B756" i="1"/>
  <c r="I755" i="1"/>
  <c r="H755" i="1"/>
  <c r="G755" i="1"/>
  <c r="F755" i="1"/>
  <c r="E755" i="1"/>
  <c r="C755" i="1"/>
  <c r="B755" i="1"/>
  <c r="I754" i="1"/>
  <c r="H754" i="1"/>
  <c r="G754" i="1"/>
  <c r="F754" i="1"/>
  <c r="E754" i="1"/>
  <c r="C754" i="1"/>
  <c r="B754" i="1"/>
  <c r="I753" i="1"/>
  <c r="H753" i="1"/>
  <c r="G753" i="1"/>
  <c r="F753" i="1"/>
  <c r="E753" i="1"/>
  <c r="C753" i="1"/>
  <c r="B753" i="1"/>
  <c r="I752" i="1"/>
  <c r="H752" i="1"/>
  <c r="G752" i="1"/>
  <c r="F752" i="1"/>
  <c r="E752" i="1"/>
  <c r="C752" i="1"/>
  <c r="B752" i="1"/>
  <c r="I751" i="1"/>
  <c r="H751" i="1"/>
  <c r="G751" i="1"/>
  <c r="F751" i="1"/>
  <c r="E751" i="1"/>
  <c r="C751" i="1"/>
  <c r="B751" i="1"/>
  <c r="I750" i="1"/>
  <c r="H750" i="1"/>
  <c r="G750" i="1"/>
  <c r="F750" i="1"/>
  <c r="E750" i="1"/>
  <c r="C750" i="1"/>
  <c r="B750" i="1"/>
  <c r="I749" i="1"/>
  <c r="H749" i="1"/>
  <c r="G749" i="1"/>
  <c r="F749" i="1"/>
  <c r="E749" i="1"/>
  <c r="C749" i="1"/>
  <c r="B749" i="1"/>
  <c r="I748" i="1"/>
  <c r="H748" i="1"/>
  <c r="G748" i="1"/>
  <c r="F748" i="1"/>
  <c r="E748" i="1"/>
  <c r="C748" i="1"/>
  <c r="B748" i="1"/>
  <c r="I747" i="1"/>
  <c r="H747" i="1"/>
  <c r="G747" i="1"/>
  <c r="F747" i="1"/>
  <c r="E747" i="1"/>
  <c r="C747" i="1"/>
  <c r="B747" i="1"/>
  <c r="I746" i="1"/>
  <c r="H746" i="1"/>
  <c r="G746" i="1"/>
  <c r="F746" i="1"/>
  <c r="E746" i="1"/>
  <c r="C746" i="1"/>
  <c r="B746" i="1"/>
  <c r="I745" i="1"/>
  <c r="H745" i="1"/>
  <c r="G745" i="1"/>
  <c r="F745" i="1"/>
  <c r="E745" i="1"/>
  <c r="C745" i="1"/>
  <c r="B745" i="1"/>
  <c r="I744" i="1"/>
  <c r="H744" i="1"/>
  <c r="G744" i="1"/>
  <c r="F744" i="1"/>
  <c r="E744" i="1"/>
  <c r="C744" i="1"/>
  <c r="B744" i="1"/>
  <c r="I743" i="1"/>
  <c r="H743" i="1"/>
  <c r="G743" i="1"/>
  <c r="F743" i="1"/>
  <c r="E743" i="1"/>
  <c r="C743" i="1"/>
  <c r="B743" i="1"/>
  <c r="I742" i="1"/>
  <c r="H742" i="1"/>
  <c r="G742" i="1"/>
  <c r="F742" i="1"/>
  <c r="E742" i="1"/>
  <c r="C742" i="1"/>
  <c r="B742" i="1"/>
  <c r="I741" i="1"/>
  <c r="H741" i="1"/>
  <c r="G741" i="1"/>
  <c r="F741" i="1"/>
  <c r="E741" i="1"/>
  <c r="C741" i="1"/>
  <c r="B741" i="1"/>
  <c r="I740" i="1"/>
  <c r="H740" i="1"/>
  <c r="G740" i="1"/>
  <c r="F740" i="1"/>
  <c r="E740" i="1"/>
  <c r="C740" i="1"/>
  <c r="B740" i="1"/>
  <c r="I739" i="1"/>
  <c r="H739" i="1"/>
  <c r="G739" i="1"/>
  <c r="F739" i="1"/>
  <c r="E739" i="1"/>
  <c r="C739" i="1"/>
  <c r="B739" i="1"/>
  <c r="I738" i="1"/>
  <c r="H738" i="1"/>
  <c r="G738" i="1"/>
  <c r="F738" i="1"/>
  <c r="E738" i="1"/>
  <c r="C738" i="1"/>
  <c r="B738" i="1"/>
  <c r="I737" i="1"/>
  <c r="H737" i="1"/>
  <c r="G737" i="1"/>
  <c r="F737" i="1"/>
  <c r="E737" i="1"/>
  <c r="C737" i="1"/>
  <c r="B737" i="1"/>
  <c r="I736" i="1"/>
  <c r="H736" i="1"/>
  <c r="G736" i="1"/>
  <c r="F736" i="1"/>
  <c r="E736" i="1"/>
  <c r="C736" i="1"/>
  <c r="B736" i="1"/>
  <c r="I735" i="1"/>
  <c r="H735" i="1"/>
  <c r="G735" i="1"/>
  <c r="F735" i="1"/>
  <c r="E735" i="1"/>
  <c r="C735" i="1"/>
  <c r="B735" i="1"/>
  <c r="I734" i="1"/>
  <c r="H734" i="1"/>
  <c r="G734" i="1"/>
  <c r="F734" i="1"/>
  <c r="E734" i="1"/>
  <c r="C734" i="1"/>
  <c r="B734" i="1"/>
  <c r="I733" i="1"/>
  <c r="H733" i="1"/>
  <c r="G733" i="1"/>
  <c r="F733" i="1"/>
  <c r="E733" i="1"/>
  <c r="C733" i="1"/>
  <c r="B733" i="1"/>
  <c r="I732" i="1"/>
  <c r="H732" i="1"/>
  <c r="G732" i="1"/>
  <c r="F732" i="1"/>
  <c r="E732" i="1"/>
  <c r="C732" i="1"/>
  <c r="B732" i="1"/>
  <c r="I731" i="1"/>
  <c r="H731" i="1"/>
  <c r="G731" i="1"/>
  <c r="F731" i="1"/>
  <c r="E731" i="1"/>
  <c r="C731" i="1"/>
  <c r="B731" i="1"/>
  <c r="I730" i="1"/>
  <c r="H730" i="1"/>
  <c r="G730" i="1"/>
  <c r="F730" i="1"/>
  <c r="E730" i="1"/>
  <c r="C730" i="1"/>
  <c r="B730" i="1"/>
  <c r="I729" i="1"/>
  <c r="H729" i="1"/>
  <c r="G729" i="1"/>
  <c r="F729" i="1"/>
  <c r="E729" i="1"/>
  <c r="C729" i="1"/>
  <c r="B729" i="1"/>
  <c r="I728" i="1"/>
  <c r="H728" i="1"/>
  <c r="G728" i="1"/>
  <c r="F728" i="1"/>
  <c r="E728" i="1"/>
  <c r="C728" i="1"/>
  <c r="B728" i="1"/>
  <c r="I727" i="1"/>
  <c r="H727" i="1"/>
  <c r="G727" i="1"/>
  <c r="F727" i="1"/>
  <c r="E727" i="1"/>
  <c r="C727" i="1"/>
  <c r="B727" i="1"/>
  <c r="I726" i="1"/>
  <c r="H726" i="1"/>
  <c r="G726" i="1"/>
  <c r="F726" i="1"/>
  <c r="E726" i="1"/>
  <c r="C726" i="1"/>
  <c r="B726" i="1"/>
  <c r="I725" i="1"/>
  <c r="H725" i="1"/>
  <c r="G725" i="1"/>
  <c r="F725" i="1"/>
  <c r="E725" i="1"/>
  <c r="C725" i="1"/>
  <c r="B725" i="1"/>
  <c r="I724" i="1"/>
  <c r="H724" i="1"/>
  <c r="G724" i="1"/>
  <c r="F724" i="1"/>
  <c r="E724" i="1"/>
  <c r="C724" i="1"/>
  <c r="B724" i="1"/>
  <c r="I723" i="1"/>
  <c r="H723" i="1"/>
  <c r="G723" i="1"/>
  <c r="F723" i="1"/>
  <c r="E723" i="1"/>
  <c r="C723" i="1"/>
  <c r="B723" i="1"/>
  <c r="I722" i="1"/>
  <c r="H722" i="1"/>
  <c r="G722" i="1"/>
  <c r="F722" i="1"/>
  <c r="E722" i="1"/>
  <c r="C722" i="1"/>
  <c r="B722" i="1"/>
  <c r="I721" i="1"/>
  <c r="H721" i="1"/>
  <c r="G721" i="1"/>
  <c r="F721" i="1"/>
  <c r="E721" i="1"/>
  <c r="C721" i="1"/>
  <c r="B721" i="1"/>
  <c r="I720" i="1"/>
  <c r="H720" i="1"/>
  <c r="G720" i="1"/>
  <c r="F720" i="1"/>
  <c r="E720" i="1"/>
  <c r="C720" i="1"/>
  <c r="B720" i="1"/>
  <c r="I719" i="1"/>
  <c r="H719" i="1"/>
  <c r="G719" i="1"/>
  <c r="F719" i="1"/>
  <c r="E719" i="1"/>
  <c r="C719" i="1"/>
  <c r="B719" i="1"/>
  <c r="I718" i="1"/>
  <c r="H718" i="1"/>
  <c r="G718" i="1"/>
  <c r="F718" i="1"/>
  <c r="E718" i="1"/>
  <c r="C718" i="1"/>
  <c r="B718" i="1"/>
  <c r="I717" i="1"/>
  <c r="H717" i="1"/>
  <c r="G717" i="1"/>
  <c r="F717" i="1"/>
  <c r="E717" i="1"/>
  <c r="C717" i="1"/>
  <c r="B717" i="1"/>
  <c r="I716" i="1"/>
  <c r="H716" i="1"/>
  <c r="G716" i="1"/>
  <c r="F716" i="1"/>
  <c r="E716" i="1"/>
  <c r="C716" i="1"/>
  <c r="B716" i="1"/>
  <c r="I715" i="1"/>
  <c r="H715" i="1"/>
  <c r="G715" i="1"/>
  <c r="F715" i="1"/>
  <c r="E715" i="1"/>
  <c r="C715" i="1"/>
  <c r="B715" i="1"/>
  <c r="I714" i="1"/>
  <c r="H714" i="1"/>
  <c r="G714" i="1"/>
  <c r="F714" i="1"/>
  <c r="E714" i="1"/>
  <c r="C714" i="1"/>
  <c r="B714" i="1"/>
  <c r="I713" i="1"/>
  <c r="H713" i="1"/>
  <c r="G713" i="1"/>
  <c r="F713" i="1"/>
  <c r="E713" i="1"/>
  <c r="C713" i="1"/>
  <c r="B713" i="1"/>
  <c r="I712" i="1"/>
  <c r="H712" i="1"/>
  <c r="G712" i="1"/>
  <c r="F712" i="1"/>
  <c r="E712" i="1"/>
  <c r="C712" i="1"/>
  <c r="B712" i="1"/>
  <c r="I711" i="1"/>
  <c r="H711" i="1"/>
  <c r="G711" i="1"/>
  <c r="F711" i="1"/>
  <c r="E711" i="1"/>
  <c r="C711" i="1"/>
  <c r="B711" i="1"/>
  <c r="I710" i="1"/>
  <c r="H710" i="1"/>
  <c r="G710" i="1"/>
  <c r="F710" i="1"/>
  <c r="E710" i="1"/>
  <c r="C710" i="1"/>
  <c r="B710" i="1"/>
  <c r="I709" i="1"/>
  <c r="H709" i="1"/>
  <c r="G709" i="1"/>
  <c r="F709" i="1"/>
  <c r="E709" i="1"/>
  <c r="C709" i="1"/>
  <c r="B709" i="1"/>
  <c r="I708" i="1"/>
  <c r="H708" i="1"/>
  <c r="G708" i="1"/>
  <c r="F708" i="1"/>
  <c r="E708" i="1"/>
  <c r="C708" i="1"/>
  <c r="B708" i="1"/>
  <c r="I707" i="1"/>
  <c r="H707" i="1"/>
  <c r="G707" i="1"/>
  <c r="F707" i="1"/>
  <c r="E707" i="1"/>
  <c r="C707" i="1"/>
  <c r="B707" i="1"/>
  <c r="I706" i="1"/>
  <c r="H706" i="1"/>
  <c r="G706" i="1"/>
  <c r="F706" i="1"/>
  <c r="E706" i="1"/>
  <c r="C706" i="1"/>
  <c r="B706" i="1"/>
  <c r="I705" i="1"/>
  <c r="H705" i="1"/>
  <c r="G705" i="1"/>
  <c r="F705" i="1"/>
  <c r="E705" i="1"/>
  <c r="C705" i="1"/>
  <c r="B705" i="1"/>
  <c r="I704" i="1"/>
  <c r="H704" i="1"/>
  <c r="G704" i="1"/>
  <c r="F704" i="1"/>
  <c r="E704" i="1"/>
  <c r="C704" i="1"/>
  <c r="B704" i="1"/>
  <c r="I703" i="1"/>
  <c r="H703" i="1"/>
  <c r="G703" i="1"/>
  <c r="F703" i="1"/>
  <c r="E703" i="1"/>
  <c r="C703" i="1"/>
  <c r="B703" i="1"/>
  <c r="I702" i="1"/>
  <c r="H702" i="1"/>
  <c r="G702" i="1"/>
  <c r="F702" i="1"/>
  <c r="E702" i="1"/>
  <c r="C702" i="1"/>
  <c r="B702" i="1"/>
  <c r="I701" i="1"/>
  <c r="H701" i="1"/>
  <c r="G701" i="1"/>
  <c r="F701" i="1"/>
  <c r="E701" i="1"/>
  <c r="C701" i="1"/>
  <c r="B701" i="1"/>
  <c r="I700" i="1"/>
  <c r="H700" i="1"/>
  <c r="G700" i="1"/>
  <c r="F700" i="1"/>
  <c r="E700" i="1"/>
  <c r="C700" i="1"/>
  <c r="B700" i="1"/>
  <c r="I699" i="1"/>
  <c r="H699" i="1"/>
  <c r="G699" i="1"/>
  <c r="F699" i="1"/>
  <c r="E699" i="1"/>
  <c r="C699" i="1"/>
  <c r="B699" i="1"/>
  <c r="I698" i="1"/>
  <c r="H698" i="1"/>
  <c r="G698" i="1"/>
  <c r="F698" i="1"/>
  <c r="E698" i="1"/>
  <c r="C698" i="1"/>
  <c r="B698" i="1"/>
  <c r="I697" i="1"/>
  <c r="H697" i="1"/>
  <c r="G697" i="1"/>
  <c r="F697" i="1"/>
  <c r="E697" i="1"/>
  <c r="C697" i="1"/>
  <c r="B697" i="1"/>
  <c r="I696" i="1"/>
  <c r="H696" i="1"/>
  <c r="G696" i="1"/>
  <c r="F696" i="1"/>
  <c r="E696" i="1"/>
  <c r="C696" i="1"/>
  <c r="B696" i="1"/>
  <c r="I695" i="1"/>
  <c r="H695" i="1"/>
  <c r="G695" i="1"/>
  <c r="F695" i="1"/>
  <c r="E695" i="1"/>
  <c r="C695" i="1"/>
  <c r="B695" i="1"/>
  <c r="I694" i="1"/>
  <c r="H694" i="1"/>
  <c r="G694" i="1"/>
  <c r="F694" i="1"/>
  <c r="E694" i="1"/>
  <c r="C694" i="1"/>
  <c r="B694" i="1"/>
  <c r="I693" i="1"/>
  <c r="H693" i="1"/>
  <c r="G693" i="1"/>
  <c r="F693" i="1"/>
  <c r="E693" i="1"/>
  <c r="C693" i="1"/>
  <c r="B693" i="1"/>
  <c r="I692" i="1"/>
  <c r="H692" i="1"/>
  <c r="G692" i="1"/>
  <c r="F692" i="1"/>
  <c r="E692" i="1"/>
  <c r="C692" i="1"/>
  <c r="B692" i="1"/>
  <c r="I691" i="1"/>
  <c r="H691" i="1"/>
  <c r="G691" i="1"/>
  <c r="F691" i="1"/>
  <c r="E691" i="1"/>
  <c r="C691" i="1"/>
  <c r="B691" i="1"/>
  <c r="I690" i="1"/>
  <c r="H690" i="1"/>
  <c r="G690" i="1"/>
  <c r="F690" i="1"/>
  <c r="E690" i="1"/>
  <c r="C690" i="1"/>
  <c r="B690" i="1"/>
  <c r="I689" i="1"/>
  <c r="H689" i="1"/>
  <c r="G689" i="1"/>
  <c r="F689" i="1"/>
  <c r="E689" i="1"/>
  <c r="C689" i="1"/>
  <c r="B689" i="1"/>
  <c r="I688" i="1"/>
  <c r="H688" i="1"/>
  <c r="G688" i="1"/>
  <c r="F688" i="1"/>
  <c r="E688" i="1"/>
  <c r="C688" i="1"/>
  <c r="B688" i="1"/>
  <c r="I687" i="1"/>
  <c r="H687" i="1"/>
  <c r="G687" i="1"/>
  <c r="F687" i="1"/>
  <c r="E687" i="1"/>
  <c r="C687" i="1"/>
  <c r="B687" i="1"/>
  <c r="I686" i="1"/>
  <c r="H686" i="1"/>
  <c r="G686" i="1"/>
  <c r="F686" i="1"/>
  <c r="E686" i="1"/>
  <c r="C686" i="1"/>
  <c r="B686" i="1"/>
  <c r="I685" i="1"/>
  <c r="H685" i="1"/>
  <c r="G685" i="1"/>
  <c r="F685" i="1"/>
  <c r="E685" i="1"/>
  <c r="C685" i="1"/>
  <c r="B685" i="1"/>
  <c r="I684" i="1"/>
  <c r="H684" i="1"/>
  <c r="G684" i="1"/>
  <c r="F684" i="1"/>
  <c r="E684" i="1"/>
  <c r="C684" i="1"/>
  <c r="B684" i="1"/>
  <c r="I683" i="1"/>
  <c r="H683" i="1"/>
  <c r="G683" i="1"/>
  <c r="F683" i="1"/>
  <c r="E683" i="1"/>
  <c r="C683" i="1"/>
  <c r="B683" i="1"/>
  <c r="I682" i="1"/>
  <c r="H682" i="1"/>
  <c r="G682" i="1"/>
  <c r="F682" i="1"/>
  <c r="E682" i="1"/>
  <c r="C682" i="1"/>
  <c r="B682" i="1"/>
  <c r="I681" i="1"/>
  <c r="H681" i="1"/>
  <c r="G681" i="1"/>
  <c r="F681" i="1"/>
  <c r="E681" i="1"/>
  <c r="C681" i="1"/>
  <c r="B681" i="1"/>
  <c r="I680" i="1"/>
  <c r="H680" i="1"/>
  <c r="G680" i="1"/>
  <c r="F680" i="1"/>
  <c r="E680" i="1"/>
  <c r="C680" i="1"/>
  <c r="B680" i="1"/>
  <c r="I679" i="1"/>
  <c r="H679" i="1"/>
  <c r="G679" i="1"/>
  <c r="F679" i="1"/>
  <c r="E679" i="1"/>
  <c r="C679" i="1"/>
  <c r="B679" i="1"/>
  <c r="I678" i="1"/>
  <c r="H678" i="1"/>
  <c r="G678" i="1"/>
  <c r="F678" i="1"/>
  <c r="E678" i="1"/>
  <c r="C678" i="1"/>
  <c r="B678" i="1"/>
  <c r="I677" i="1"/>
  <c r="H677" i="1"/>
  <c r="G677" i="1"/>
  <c r="F677" i="1"/>
  <c r="E677" i="1"/>
  <c r="C677" i="1"/>
  <c r="B677" i="1"/>
  <c r="I676" i="1"/>
  <c r="H676" i="1"/>
  <c r="G676" i="1"/>
  <c r="F676" i="1"/>
  <c r="E676" i="1"/>
  <c r="C676" i="1"/>
  <c r="B676" i="1"/>
  <c r="I675" i="1"/>
  <c r="H675" i="1"/>
  <c r="G675" i="1"/>
  <c r="F675" i="1"/>
  <c r="E675" i="1"/>
  <c r="C675" i="1"/>
  <c r="B675" i="1"/>
  <c r="I674" i="1"/>
  <c r="H674" i="1"/>
  <c r="G674" i="1"/>
  <c r="F674" i="1"/>
  <c r="E674" i="1"/>
  <c r="C674" i="1"/>
  <c r="B674" i="1"/>
  <c r="I673" i="1"/>
  <c r="H673" i="1"/>
  <c r="G673" i="1"/>
  <c r="F673" i="1"/>
  <c r="E673" i="1"/>
  <c r="C673" i="1"/>
  <c r="B673" i="1"/>
  <c r="I672" i="1"/>
  <c r="H672" i="1"/>
  <c r="G672" i="1"/>
  <c r="F672" i="1"/>
  <c r="E672" i="1"/>
  <c r="C672" i="1"/>
  <c r="B672" i="1"/>
  <c r="I671" i="1"/>
  <c r="H671" i="1"/>
  <c r="G671" i="1"/>
  <c r="F671" i="1"/>
  <c r="E671" i="1"/>
  <c r="C671" i="1"/>
  <c r="B671" i="1"/>
  <c r="I670" i="1"/>
  <c r="H670" i="1"/>
  <c r="G670" i="1"/>
  <c r="F670" i="1"/>
  <c r="E670" i="1"/>
  <c r="C670" i="1"/>
  <c r="B670" i="1"/>
  <c r="I669" i="1"/>
  <c r="H669" i="1"/>
  <c r="G669" i="1"/>
  <c r="F669" i="1"/>
  <c r="N2" i="1" s="1"/>
  <c r="E669" i="1"/>
  <c r="C669" i="1"/>
  <c r="B669" i="1"/>
  <c r="I668" i="1"/>
  <c r="H668" i="1"/>
  <c r="G668" i="1"/>
  <c r="F668" i="1"/>
  <c r="E668" i="1"/>
  <c r="C668" i="1"/>
  <c r="B668" i="1"/>
  <c r="I667" i="1"/>
  <c r="H667" i="1"/>
  <c r="G667" i="1"/>
  <c r="F667" i="1"/>
  <c r="E667" i="1"/>
  <c r="C667" i="1"/>
  <c r="B667" i="1"/>
  <c r="I666" i="1"/>
  <c r="H666" i="1"/>
  <c r="G666" i="1"/>
  <c r="F666" i="1"/>
  <c r="E666" i="1"/>
  <c r="C666" i="1"/>
  <c r="B666" i="1"/>
  <c r="I665" i="1"/>
  <c r="H665" i="1"/>
  <c r="G665" i="1"/>
  <c r="F665" i="1"/>
  <c r="E665" i="1"/>
  <c r="C665" i="1"/>
  <c r="B665" i="1"/>
  <c r="I664" i="1"/>
  <c r="H664" i="1"/>
  <c r="G664" i="1"/>
  <c r="F664" i="1"/>
  <c r="E664" i="1"/>
  <c r="C664" i="1"/>
  <c r="B664" i="1"/>
  <c r="I663" i="1"/>
  <c r="H663" i="1"/>
  <c r="G663" i="1"/>
  <c r="F663" i="1"/>
  <c r="E663" i="1"/>
  <c r="C663" i="1"/>
  <c r="B663" i="1"/>
  <c r="I662" i="1"/>
  <c r="H662" i="1"/>
  <c r="G662" i="1"/>
  <c r="F662" i="1"/>
  <c r="E662" i="1"/>
  <c r="C662" i="1"/>
  <c r="B662" i="1"/>
  <c r="I661" i="1"/>
  <c r="H661" i="1"/>
  <c r="G661" i="1"/>
  <c r="F661" i="1"/>
  <c r="E661" i="1"/>
  <c r="C661" i="1"/>
  <c r="B661" i="1"/>
  <c r="I660" i="1"/>
  <c r="H660" i="1"/>
  <c r="G660" i="1"/>
  <c r="F660" i="1"/>
  <c r="E660" i="1"/>
  <c r="C660" i="1"/>
  <c r="B660" i="1"/>
  <c r="I659" i="1"/>
  <c r="H659" i="1"/>
  <c r="G659" i="1"/>
  <c r="F659" i="1"/>
  <c r="E659" i="1"/>
  <c r="C659" i="1"/>
  <c r="B659" i="1"/>
  <c r="I658" i="1"/>
  <c r="H658" i="1"/>
  <c r="G658" i="1"/>
  <c r="F658" i="1"/>
  <c r="E658" i="1"/>
  <c r="C658" i="1"/>
  <c r="B658" i="1"/>
  <c r="I657" i="1"/>
  <c r="H657" i="1"/>
  <c r="G657" i="1"/>
  <c r="F657" i="1"/>
  <c r="E657" i="1"/>
  <c r="C657" i="1"/>
  <c r="B657" i="1"/>
  <c r="I656" i="1"/>
  <c r="H656" i="1"/>
  <c r="G656" i="1"/>
  <c r="F656" i="1"/>
  <c r="E656" i="1"/>
  <c r="C656" i="1"/>
  <c r="B656" i="1"/>
  <c r="I655" i="1"/>
  <c r="H655" i="1"/>
  <c r="G655" i="1"/>
  <c r="F655" i="1"/>
  <c r="E655" i="1"/>
  <c r="C655" i="1"/>
  <c r="B655" i="1"/>
  <c r="I654" i="1"/>
  <c r="H654" i="1"/>
  <c r="G654" i="1"/>
  <c r="F654" i="1"/>
  <c r="E654" i="1"/>
  <c r="C654" i="1"/>
  <c r="B654" i="1"/>
  <c r="I653" i="1"/>
  <c r="H653" i="1"/>
  <c r="G653" i="1"/>
  <c r="F653" i="1"/>
  <c r="E653" i="1"/>
  <c r="C653" i="1"/>
  <c r="B653" i="1"/>
  <c r="I652" i="1"/>
  <c r="H652" i="1"/>
  <c r="G652" i="1"/>
  <c r="F652" i="1"/>
  <c r="E652" i="1"/>
  <c r="C652" i="1"/>
  <c r="B652" i="1"/>
  <c r="I651" i="1"/>
  <c r="H651" i="1"/>
  <c r="G651" i="1"/>
  <c r="F651" i="1"/>
  <c r="E651" i="1"/>
  <c r="C651" i="1"/>
  <c r="B651" i="1"/>
  <c r="I650" i="1"/>
  <c r="H650" i="1"/>
  <c r="G650" i="1"/>
  <c r="F650" i="1"/>
  <c r="E650" i="1"/>
  <c r="C650" i="1"/>
  <c r="B650" i="1"/>
  <c r="I649" i="1"/>
  <c r="H649" i="1"/>
  <c r="G649" i="1"/>
  <c r="F649" i="1"/>
  <c r="E649" i="1"/>
  <c r="C649" i="1"/>
  <c r="B649" i="1"/>
  <c r="I648" i="1"/>
  <c r="H648" i="1"/>
  <c r="G648" i="1"/>
  <c r="F648" i="1"/>
  <c r="E648" i="1"/>
  <c r="C648" i="1"/>
  <c r="B648" i="1"/>
  <c r="O32" i="1"/>
  <c r="P32" i="1" s="1"/>
  <c r="Q32" i="1" s="1"/>
  <c r="R32" i="1" s="1"/>
  <c r="S32" i="1" s="1"/>
  <c r="T32" i="1" s="1"/>
  <c r="U32" i="1" s="1"/>
  <c r="V32" i="1" s="1"/>
  <c r="N13" i="1"/>
  <c r="N12" i="1"/>
  <c r="O9" i="1"/>
  <c r="N4" i="1"/>
  <c r="N3" i="1"/>
  <c r="D754" i="1" l="1"/>
  <c r="D700" i="1"/>
  <c r="W17" i="1"/>
  <c r="X26" i="1"/>
  <c r="D683" i="1"/>
  <c r="D684" i="1"/>
  <c r="D696" i="1"/>
  <c r="D679" i="1"/>
  <c r="D694" i="1"/>
  <c r="D792" i="1"/>
  <c r="D693" i="1"/>
  <c r="D655" i="1"/>
  <c r="D682" i="1"/>
  <c r="D676" i="1"/>
  <c r="D675" i="1"/>
  <c r="D671" i="1"/>
  <c r="D830" i="1"/>
  <c r="P9" i="1"/>
  <c r="O25" i="1"/>
  <c r="D747" i="1"/>
  <c r="D748" i="1"/>
  <c r="D816" i="1"/>
  <c r="D820" i="1"/>
  <c r="D705" i="1"/>
  <c r="D743" i="1"/>
  <c r="D758" i="1"/>
  <c r="D762" i="1"/>
  <c r="D804" i="1"/>
  <c r="D690" i="1"/>
  <c r="D757" i="1"/>
  <c r="D685" i="1"/>
  <c r="D686" i="1"/>
  <c r="D688" i="1"/>
  <c r="D697" i="1"/>
  <c r="D735" i="1"/>
  <c r="D739" i="1"/>
  <c r="D740" i="1"/>
  <c r="D746" i="1"/>
  <c r="D749" i="1"/>
  <c r="D750" i="1"/>
  <c r="D752" i="1"/>
  <c r="D760" i="1"/>
  <c r="D765" i="1"/>
  <c r="D766" i="1"/>
  <c r="D771" i="1"/>
  <c r="D772" i="1"/>
  <c r="D793" i="1"/>
  <c r="D797" i="1"/>
  <c r="D798" i="1"/>
  <c r="D803" i="1"/>
  <c r="D817" i="1"/>
  <c r="D832" i="1"/>
  <c r="D834" i="1"/>
  <c r="D826" i="1"/>
  <c r="D818" i="1"/>
  <c r="D810" i="1"/>
  <c r="D802" i="1"/>
  <c r="D794" i="1"/>
  <c r="D786" i="1"/>
  <c r="D778" i="1"/>
  <c r="D770" i="1"/>
  <c r="D649" i="1"/>
  <c r="D831" i="1"/>
  <c r="D823" i="1"/>
  <c r="D815" i="1"/>
  <c r="D807" i="1"/>
  <c r="D799" i="1"/>
  <c r="D791" i="1"/>
  <c r="D783" i="1"/>
  <c r="D775" i="1"/>
  <c r="D767" i="1"/>
  <c r="D759" i="1"/>
  <c r="D843" i="1"/>
  <c r="D835" i="1"/>
  <c r="D827" i="1"/>
  <c r="D819" i="1"/>
  <c r="D811" i="1"/>
  <c r="D687" i="1"/>
  <c r="D691" i="1"/>
  <c r="D692" i="1"/>
  <c r="D698" i="1"/>
  <c r="D701" i="1"/>
  <c r="D702" i="1"/>
  <c r="D704" i="1"/>
  <c r="D713" i="1"/>
  <c r="D751" i="1"/>
  <c r="D755" i="1"/>
  <c r="D756" i="1"/>
  <c r="D763" i="1"/>
  <c r="D764" i="1"/>
  <c r="D785" i="1"/>
  <c r="D789" i="1"/>
  <c r="D790" i="1"/>
  <c r="D795" i="1"/>
  <c r="D796" i="1"/>
  <c r="D814" i="1"/>
  <c r="D841" i="1"/>
  <c r="D844" i="1"/>
  <c r="D845" i="1"/>
  <c r="D842" i="1"/>
  <c r="D657" i="1"/>
  <c r="D695" i="1"/>
  <c r="D699" i="1"/>
  <c r="D706" i="1"/>
  <c r="D709" i="1"/>
  <c r="D710" i="1"/>
  <c r="D712" i="1"/>
  <c r="D721" i="1"/>
  <c r="D784" i="1"/>
  <c r="D840" i="1"/>
  <c r="D650" i="1"/>
  <c r="D653" i="1"/>
  <c r="D654" i="1"/>
  <c r="D656" i="1"/>
  <c r="D665" i="1"/>
  <c r="D703" i="1"/>
  <c r="D707" i="1"/>
  <c r="D708" i="1"/>
  <c r="D714" i="1"/>
  <c r="D717" i="1"/>
  <c r="D718" i="1"/>
  <c r="D720" i="1"/>
  <c r="D729" i="1"/>
  <c r="D777" i="1"/>
  <c r="D781" i="1"/>
  <c r="D782" i="1"/>
  <c r="D787" i="1"/>
  <c r="D788" i="1"/>
  <c r="D809" i="1"/>
  <c r="D825" i="1"/>
  <c r="D828" i="1"/>
  <c r="D838" i="1"/>
  <c r="D651" i="1"/>
  <c r="D652" i="1"/>
  <c r="D658" i="1"/>
  <c r="D661" i="1"/>
  <c r="D662" i="1"/>
  <c r="D664" i="1"/>
  <c r="D673" i="1"/>
  <c r="D711" i="1"/>
  <c r="D715" i="1"/>
  <c r="D716" i="1"/>
  <c r="D722" i="1"/>
  <c r="D725" i="1"/>
  <c r="D726" i="1"/>
  <c r="D728" i="1"/>
  <c r="D737" i="1"/>
  <c r="D776" i="1"/>
  <c r="D808" i="1"/>
  <c r="D812" i="1"/>
  <c r="D824" i="1"/>
  <c r="D659" i="1"/>
  <c r="D660" i="1"/>
  <c r="D666" i="1"/>
  <c r="D669" i="1"/>
  <c r="D670" i="1"/>
  <c r="D672" i="1"/>
  <c r="D681" i="1"/>
  <c r="D719" i="1"/>
  <c r="D723" i="1"/>
  <c r="D724" i="1"/>
  <c r="D730" i="1"/>
  <c r="D733" i="1"/>
  <c r="D734" i="1"/>
  <c r="D736" i="1"/>
  <c r="D745" i="1"/>
  <c r="D769" i="1"/>
  <c r="D773" i="1"/>
  <c r="D774" i="1"/>
  <c r="D779" i="1"/>
  <c r="D780" i="1"/>
  <c r="D801" i="1"/>
  <c r="D805" i="1"/>
  <c r="D806" i="1"/>
  <c r="D822" i="1"/>
  <c r="D663" i="1"/>
  <c r="D667" i="1"/>
  <c r="D668" i="1"/>
  <c r="D674" i="1"/>
  <c r="D677" i="1"/>
  <c r="D678" i="1"/>
  <c r="D680" i="1"/>
  <c r="D689" i="1"/>
  <c r="D727" i="1"/>
  <c r="D731" i="1"/>
  <c r="D732" i="1"/>
  <c r="D738" i="1"/>
  <c r="D741" i="1"/>
  <c r="D742" i="1"/>
  <c r="D744" i="1"/>
  <c r="D753" i="1"/>
  <c r="D761" i="1"/>
  <c r="D768" i="1"/>
  <c r="D800" i="1"/>
  <c r="D833" i="1"/>
  <c r="D836" i="1"/>
  <c r="O16" i="1"/>
  <c r="D813" i="1"/>
  <c r="D821" i="1"/>
  <c r="D829" i="1"/>
  <c r="D837" i="1"/>
  <c r="D839" i="1"/>
  <c r="D648" i="1"/>
  <c r="O12" i="1" l="1"/>
  <c r="W25" i="1"/>
  <c r="O28" i="1"/>
  <c r="O15" i="1"/>
  <c r="X11" i="1"/>
  <c r="O11" i="1"/>
  <c r="X17" i="1"/>
  <c r="O17" i="1"/>
  <c r="Y20" i="1"/>
  <c r="Y28" i="1"/>
  <c r="O51" i="1"/>
  <c r="O14" i="1"/>
  <c r="Y19" i="1"/>
  <c r="X24" i="1"/>
  <c r="O43" i="1"/>
  <c r="O13" i="1"/>
  <c r="W18" i="1"/>
  <c r="O21" i="1"/>
  <c r="Z19" i="1"/>
  <c r="O26" i="1"/>
  <c r="Z27" i="1"/>
  <c r="W12" i="1"/>
  <c r="Z16" i="1"/>
  <c r="Z24" i="1"/>
  <c r="O41" i="1"/>
  <c r="O18" i="1"/>
  <c r="W11" i="1"/>
  <c r="W22" i="1"/>
  <c r="X21" i="1"/>
  <c r="Y12" i="1"/>
  <c r="Z23" i="1"/>
  <c r="Y24" i="1"/>
  <c r="O38" i="1"/>
  <c r="Y15" i="1"/>
  <c r="X25" i="1"/>
  <c r="W26" i="1"/>
  <c r="O37" i="1"/>
  <c r="O49" i="1"/>
  <c r="Z18" i="1"/>
  <c r="W13" i="1"/>
  <c r="O22" i="1"/>
  <c r="O46" i="1"/>
  <c r="X20" i="1"/>
  <c r="Z14" i="1"/>
  <c r="O50" i="1"/>
  <c r="O34" i="1"/>
  <c r="Y23" i="1"/>
  <c r="X16" i="1"/>
  <c r="X10" i="1" s="1"/>
  <c r="O27" i="1"/>
  <c r="O42" i="1"/>
  <c r="Y11" i="1"/>
  <c r="X27" i="1"/>
  <c r="O36" i="1"/>
  <c r="O39" i="1"/>
  <c r="Y13" i="1"/>
  <c r="Z26" i="1"/>
  <c r="W21" i="1"/>
  <c r="W15" i="1"/>
  <c r="X28" i="1"/>
  <c r="Z22" i="1"/>
  <c r="O45" i="1"/>
  <c r="O47" i="1"/>
  <c r="O40" i="1"/>
  <c r="O44" i="1"/>
  <c r="O33" i="1" s="1"/>
  <c r="O48" i="1"/>
  <c r="X18" i="1"/>
  <c r="Z12" i="1"/>
  <c r="Y27" i="1"/>
  <c r="O24" i="1"/>
  <c r="O23" i="1"/>
  <c r="Y21" i="1"/>
  <c r="W14" i="1"/>
  <c r="X13" i="1"/>
  <c r="O20" i="1"/>
  <c r="O35" i="1"/>
  <c r="W23" i="1"/>
  <c r="Z15" i="1"/>
  <c r="Y16" i="1"/>
  <c r="Z17" i="1"/>
  <c r="Y17" i="1"/>
  <c r="X14" i="1"/>
  <c r="Y26" i="1"/>
  <c r="Z25" i="1"/>
  <c r="W16" i="1"/>
  <c r="Y22" i="1"/>
  <c r="Y25" i="1"/>
  <c r="X15" i="1"/>
  <c r="W24" i="1"/>
  <c r="X23" i="1"/>
  <c r="Y14" i="1"/>
  <c r="Y45" i="1"/>
  <c r="X22" i="1"/>
  <c r="Z13" i="1"/>
  <c r="Z21" i="1"/>
  <c r="W40" i="1"/>
  <c r="O19" i="1"/>
  <c r="Z20" i="1"/>
  <c r="X12" i="1"/>
  <c r="W36" i="1"/>
  <c r="W20" i="1"/>
  <c r="Z11" i="1"/>
  <c r="X19" i="1"/>
  <c r="Z28" i="1"/>
  <c r="W28" i="1"/>
  <c r="W19" i="1"/>
  <c r="W27" i="1"/>
  <c r="Y18" i="1"/>
  <c r="X52" i="1"/>
  <c r="X49" i="1"/>
  <c r="Z47" i="1"/>
  <c r="W46" i="1"/>
  <c r="Y44" i="1"/>
  <c r="W52" i="1"/>
  <c r="Z50" i="1"/>
  <c r="W49" i="1"/>
  <c r="Y47" i="1"/>
  <c r="X50" i="1"/>
  <c r="Z48" i="1"/>
  <c r="W47" i="1"/>
  <c r="Z51" i="1"/>
  <c r="W50" i="1"/>
  <c r="Y48" i="1"/>
  <c r="X45" i="1"/>
  <c r="Y50" i="1"/>
  <c r="Z44" i="1"/>
  <c r="X41" i="1"/>
  <c r="Z39" i="1"/>
  <c r="W38" i="1"/>
  <c r="Y36" i="1"/>
  <c r="Y51" i="1"/>
  <c r="X44" i="1"/>
  <c r="Z42" i="1"/>
  <c r="W41" i="1"/>
  <c r="Y39" i="1"/>
  <c r="X36" i="1"/>
  <c r="Z34" i="1"/>
  <c r="X51" i="1"/>
  <c r="W44" i="1"/>
  <c r="Y42" i="1"/>
  <c r="X39" i="1"/>
  <c r="Z37" i="1"/>
  <c r="W51" i="1"/>
  <c r="Z46" i="1"/>
  <c r="X42" i="1"/>
  <c r="Z40" i="1"/>
  <c r="W39" i="1"/>
  <c r="Y37" i="1"/>
  <c r="X47" i="1"/>
  <c r="Y46" i="1"/>
  <c r="Z43" i="1"/>
  <c r="W42" i="1"/>
  <c r="Y40" i="1"/>
  <c r="X37" i="1"/>
  <c r="Z35" i="1"/>
  <c r="W34" i="1"/>
  <c r="X48" i="1"/>
  <c r="X46" i="1"/>
  <c r="Z45" i="1"/>
  <c r="Y43" i="1"/>
  <c r="X40" i="1"/>
  <c r="Z38" i="1"/>
  <c r="W37" i="1"/>
  <c r="Y35" i="1"/>
  <c r="Y52" i="1"/>
  <c r="Y49" i="1"/>
  <c r="W45" i="1"/>
  <c r="W43" i="1"/>
  <c r="Y41" i="1"/>
  <c r="X38" i="1"/>
  <c r="Z36" i="1"/>
  <c r="W35" i="1"/>
  <c r="Z52" i="1"/>
  <c r="Y34" i="1"/>
  <c r="X43" i="1"/>
  <c r="Y38" i="1"/>
  <c r="X34" i="1"/>
  <c r="Z49" i="1"/>
  <c r="W48" i="1"/>
  <c r="Z41" i="1"/>
  <c r="X35" i="1"/>
  <c r="V52" i="1"/>
  <c r="P49" i="1"/>
  <c r="P50" i="1"/>
  <c r="P41" i="1"/>
  <c r="P21" i="1"/>
  <c r="P13" i="1"/>
  <c r="Q9" i="1"/>
  <c r="P48" i="1"/>
  <c r="P47" i="1"/>
  <c r="P44" i="1"/>
  <c r="P36" i="1"/>
  <c r="P24" i="1"/>
  <c r="P16" i="1"/>
  <c r="P39" i="1"/>
  <c r="P46" i="1"/>
  <c r="P42" i="1"/>
  <c r="P37" i="1"/>
  <c r="P25" i="1"/>
  <c r="P17" i="1"/>
  <c r="P11" i="1"/>
  <c r="P45" i="1"/>
  <c r="P40" i="1"/>
  <c r="P28" i="1"/>
  <c r="P20" i="1"/>
  <c r="P38" i="1"/>
  <c r="P26" i="1"/>
  <c r="P18" i="1"/>
  <c r="P12" i="1"/>
  <c r="P51" i="1"/>
  <c r="P15" i="1"/>
  <c r="P43" i="1"/>
  <c r="P23" i="1"/>
  <c r="P34" i="1"/>
  <c r="P19" i="1"/>
  <c r="P27" i="1"/>
  <c r="P14" i="1"/>
  <c r="P35" i="1"/>
  <c r="P22" i="1"/>
  <c r="W10" i="1" l="1"/>
  <c r="O10" i="1"/>
  <c r="Z10" i="1"/>
  <c r="Y10" i="1"/>
  <c r="Z33" i="1"/>
  <c r="AA52" i="1"/>
  <c r="P33" i="1"/>
  <c r="X33" i="1"/>
  <c r="Y33" i="1"/>
  <c r="Q48" i="1"/>
  <c r="Q47" i="1"/>
  <c r="Q44" i="1"/>
  <c r="Q36" i="1"/>
  <c r="Q24" i="1"/>
  <c r="Q16" i="1"/>
  <c r="Q39" i="1"/>
  <c r="Q27" i="1"/>
  <c r="Q19" i="1"/>
  <c r="Q46" i="1"/>
  <c r="Q42" i="1"/>
  <c r="Q49" i="1"/>
  <c r="Q50" i="1"/>
  <c r="Q45" i="1"/>
  <c r="Q40" i="1"/>
  <c r="Q28" i="1"/>
  <c r="Q20" i="1"/>
  <c r="Q51" i="1"/>
  <c r="Q43" i="1"/>
  <c r="Q35" i="1"/>
  <c r="Q23" i="1"/>
  <c r="Q15" i="1"/>
  <c r="Q12" i="1"/>
  <c r="Q41" i="1"/>
  <c r="Q21" i="1"/>
  <c r="Q13" i="1"/>
  <c r="Q25" i="1"/>
  <c r="R9" i="1"/>
  <c r="Q38" i="1"/>
  <c r="Q18" i="1"/>
  <c r="Q34" i="1"/>
  <c r="Q26" i="1"/>
  <c r="Q37" i="1"/>
  <c r="Q14" i="1"/>
  <c r="Q22" i="1"/>
  <c r="Q17" i="1"/>
  <c r="Q11" i="1"/>
  <c r="P10" i="1"/>
  <c r="W33" i="1"/>
  <c r="Q33" i="1" l="1"/>
  <c r="Q10" i="1"/>
  <c r="R47" i="1"/>
  <c r="R50" i="1"/>
  <c r="R48" i="1"/>
  <c r="R51" i="1"/>
  <c r="R39" i="1"/>
  <c r="R27" i="1"/>
  <c r="R19" i="1"/>
  <c r="R46" i="1"/>
  <c r="R42" i="1"/>
  <c r="R34" i="1"/>
  <c r="R22" i="1"/>
  <c r="R14" i="1"/>
  <c r="R49" i="1"/>
  <c r="R45" i="1"/>
  <c r="R40" i="1"/>
  <c r="R43" i="1"/>
  <c r="R35" i="1"/>
  <c r="R23" i="1"/>
  <c r="R15" i="1"/>
  <c r="R12" i="1"/>
  <c r="R38" i="1"/>
  <c r="R26" i="1"/>
  <c r="R18" i="1"/>
  <c r="R44" i="1"/>
  <c r="R36" i="1"/>
  <c r="R24" i="1"/>
  <c r="R16" i="1"/>
  <c r="R20" i="1"/>
  <c r="S9" i="1"/>
  <c r="R28" i="1"/>
  <c r="R13" i="1"/>
  <c r="R21" i="1"/>
  <c r="R37" i="1"/>
  <c r="R41" i="1"/>
  <c r="R17" i="1"/>
  <c r="R11" i="1"/>
  <c r="R25" i="1"/>
  <c r="S50" i="1" l="1"/>
  <c r="S51" i="1"/>
  <c r="S46" i="1"/>
  <c r="S48" i="1"/>
  <c r="S42" i="1"/>
  <c r="S34" i="1"/>
  <c r="S22" i="1"/>
  <c r="S14" i="1"/>
  <c r="S49" i="1"/>
  <c r="S37" i="1"/>
  <c r="S25" i="1"/>
  <c r="S17" i="1"/>
  <c r="S11" i="1"/>
  <c r="S45" i="1"/>
  <c r="S40" i="1"/>
  <c r="S43" i="1"/>
  <c r="S38" i="1"/>
  <c r="S26" i="1"/>
  <c r="S18" i="1"/>
  <c r="S41" i="1"/>
  <c r="S21" i="1"/>
  <c r="S13" i="1"/>
  <c r="T9" i="1"/>
  <c r="S47" i="1"/>
  <c r="S39" i="1"/>
  <c r="S27" i="1"/>
  <c r="S19" i="1"/>
  <c r="S44" i="1"/>
  <c r="S28" i="1"/>
  <c r="S15" i="1"/>
  <c r="S36" i="1"/>
  <c r="S23" i="1"/>
  <c r="S16" i="1"/>
  <c r="S24" i="1"/>
  <c r="S35" i="1"/>
  <c r="S20" i="1"/>
  <c r="S12" i="1"/>
  <c r="R10" i="1"/>
  <c r="R33" i="1"/>
  <c r="T45" i="1" l="1"/>
  <c r="T48" i="1"/>
  <c r="T49" i="1"/>
  <c r="T46" i="1"/>
  <c r="T37" i="1"/>
  <c r="T25" i="1"/>
  <c r="T17" i="1"/>
  <c r="T11" i="1"/>
  <c r="T40" i="1"/>
  <c r="T28" i="1"/>
  <c r="T20" i="1"/>
  <c r="T43" i="1"/>
  <c r="T50" i="1"/>
  <c r="T38" i="1"/>
  <c r="T51" i="1"/>
  <c r="T41" i="1"/>
  <c r="T21" i="1"/>
  <c r="T13" i="1"/>
  <c r="U9" i="1"/>
  <c r="T44" i="1"/>
  <c r="T36" i="1"/>
  <c r="T24" i="1"/>
  <c r="T16" i="1"/>
  <c r="T42" i="1"/>
  <c r="T34" i="1"/>
  <c r="T22" i="1"/>
  <c r="T14" i="1"/>
  <c r="T39" i="1"/>
  <c r="T23" i="1"/>
  <c r="T18" i="1"/>
  <c r="T26" i="1"/>
  <c r="T47" i="1"/>
  <c r="T19" i="1"/>
  <c r="T35" i="1"/>
  <c r="T27" i="1"/>
  <c r="T12" i="1"/>
  <c r="T15" i="1"/>
  <c r="S33" i="1"/>
  <c r="S10" i="1"/>
  <c r="U48" i="1" l="1"/>
  <c r="U51" i="1"/>
  <c r="U49" i="1"/>
  <c r="U40" i="1"/>
  <c r="U28" i="1"/>
  <c r="U20" i="1"/>
  <c r="U45" i="1"/>
  <c r="U43" i="1"/>
  <c r="U35" i="1"/>
  <c r="U23" i="1"/>
  <c r="U15" i="1"/>
  <c r="U12" i="1"/>
  <c r="U50" i="1"/>
  <c r="U38" i="1"/>
  <c r="U41" i="1"/>
  <c r="U44" i="1"/>
  <c r="U36" i="1"/>
  <c r="U24" i="1"/>
  <c r="U16" i="1"/>
  <c r="U47" i="1"/>
  <c r="U39" i="1"/>
  <c r="U27" i="1"/>
  <c r="U19" i="1"/>
  <c r="U46" i="1"/>
  <c r="U37" i="1"/>
  <c r="U25" i="1"/>
  <c r="U17" i="1"/>
  <c r="U18" i="1"/>
  <c r="U26" i="1"/>
  <c r="U13" i="1"/>
  <c r="U34" i="1"/>
  <c r="U21" i="1"/>
  <c r="U42" i="1"/>
  <c r="U14" i="1"/>
  <c r="U22" i="1"/>
  <c r="U11" i="1"/>
  <c r="V9" i="1"/>
  <c r="T33" i="1"/>
  <c r="T10" i="1"/>
  <c r="U33" i="1" l="1"/>
  <c r="V51" i="1"/>
  <c r="AA51" i="1" s="1"/>
  <c r="V47" i="1"/>
  <c r="AA47" i="1" s="1"/>
  <c r="V49" i="1"/>
  <c r="AA49" i="1" s="1"/>
  <c r="V45" i="1"/>
  <c r="AA45" i="1" s="1"/>
  <c r="V43" i="1"/>
  <c r="AA43" i="1" s="1"/>
  <c r="V35" i="1"/>
  <c r="AA35" i="1" s="1"/>
  <c r="V23" i="1"/>
  <c r="AA23" i="1" s="1"/>
  <c r="V15" i="1"/>
  <c r="AA15" i="1" s="1"/>
  <c r="V12" i="1"/>
  <c r="AA12" i="1" s="1"/>
  <c r="V50" i="1"/>
  <c r="AA50" i="1" s="1"/>
  <c r="V38" i="1"/>
  <c r="AA38" i="1" s="1"/>
  <c r="V26" i="1"/>
  <c r="AA26" i="1" s="1"/>
  <c r="V18" i="1"/>
  <c r="AA18" i="1" s="1"/>
  <c r="V41" i="1"/>
  <c r="AA41" i="1" s="1"/>
  <c r="V44" i="1"/>
  <c r="AA44" i="1" s="1"/>
  <c r="V39" i="1"/>
  <c r="AA39" i="1" s="1"/>
  <c r="V27" i="1"/>
  <c r="AA27" i="1" s="1"/>
  <c r="V19" i="1"/>
  <c r="AA19" i="1" s="1"/>
  <c r="V42" i="1"/>
  <c r="AA42" i="1" s="1"/>
  <c r="V34" i="1"/>
  <c r="V22" i="1"/>
  <c r="AA22" i="1" s="1"/>
  <c r="V14" i="1"/>
  <c r="AA14" i="1" s="1"/>
  <c r="V48" i="1"/>
  <c r="AA48" i="1" s="1"/>
  <c r="V40" i="1"/>
  <c r="AA40" i="1" s="1"/>
  <c r="V28" i="1"/>
  <c r="AA28" i="1" s="1"/>
  <c r="V20" i="1"/>
  <c r="AA20" i="1" s="1"/>
  <c r="V36" i="1"/>
  <c r="AA36" i="1" s="1"/>
  <c r="V13" i="1"/>
  <c r="AA13" i="1" s="1"/>
  <c r="V21" i="1"/>
  <c r="AA21" i="1" s="1"/>
  <c r="V16" i="1"/>
  <c r="AA16" i="1" s="1"/>
  <c r="V37" i="1"/>
  <c r="AA37" i="1" s="1"/>
  <c r="V24" i="1"/>
  <c r="AA24" i="1" s="1"/>
  <c r="V11" i="1"/>
  <c r="V46" i="1"/>
  <c r="AA46" i="1" s="1"/>
  <c r="V17" i="1"/>
  <c r="AA17" i="1" s="1"/>
  <c r="V25" i="1"/>
  <c r="AA25" i="1" s="1"/>
  <c r="U10" i="1"/>
  <c r="V33" i="1" l="1"/>
  <c r="AA33" i="1" s="1"/>
  <c r="AA34" i="1"/>
  <c r="V10" i="1"/>
  <c r="AA10" i="1" s="1"/>
  <c r="AA11" i="1"/>
</calcChain>
</file>

<file path=xl/sharedStrings.xml><?xml version="1.0" encoding="utf-8"?>
<sst xmlns="http://schemas.openxmlformats.org/spreadsheetml/2006/main" count="3715" uniqueCount="2110">
  <si>
    <t xml:space="preserve">Học phí </t>
  </si>
  <si>
    <t>KSK</t>
  </si>
  <si>
    <t>BHYT</t>
  </si>
  <si>
    <t>BCS</t>
  </si>
  <si>
    <t>1</t>
  </si>
  <si>
    <t>BCS230010</t>
  </si>
  <si>
    <t>NGUYỄN ĐÌNH TUẤN ANH</t>
  </si>
  <si>
    <t>24/08/2023</t>
  </si>
  <si>
    <t>CK</t>
  </si>
  <si>
    <t>BKL</t>
  </si>
  <si>
    <t>2</t>
  </si>
  <si>
    <t>BKL230167</t>
  </si>
  <si>
    <t>CÀ THỊ THẮM</t>
  </si>
  <si>
    <t>TM</t>
  </si>
  <si>
    <t>BBA</t>
  </si>
  <si>
    <t>3</t>
  </si>
  <si>
    <t>BBA230209</t>
  </si>
  <si>
    <t>TRẦN THỊ NGỌC LAN</t>
  </si>
  <si>
    <t>BJL</t>
  </si>
  <si>
    <t>4</t>
  </si>
  <si>
    <t>BJL230022</t>
  </si>
  <si>
    <t>LẠI THỤC HUYỀN</t>
  </si>
  <si>
    <t>5</t>
  </si>
  <si>
    <t>BKL230058</t>
  </si>
  <si>
    <t>VŨ THỊ HẢI HÀ</t>
  </si>
  <si>
    <t>BGD</t>
  </si>
  <si>
    <t>6</t>
  </si>
  <si>
    <t>BGD230221</t>
  </si>
  <si>
    <t>NGUYỄN SỸ TUẤN</t>
  </si>
  <si>
    <t>BIT</t>
  </si>
  <si>
    <t>7</t>
  </si>
  <si>
    <t>BIT230186</t>
  </si>
  <si>
    <t>NGUYỄN TUẤN HƯNG</t>
  </si>
  <si>
    <t>8</t>
  </si>
  <si>
    <t>BBA230081</t>
  </si>
  <si>
    <t>NGÔ TIẾN CÔNG</t>
  </si>
  <si>
    <t>tổng Cộng</t>
  </si>
  <si>
    <t>9</t>
  </si>
  <si>
    <t>BBA230488</t>
  </si>
  <si>
    <t>NGUYỄN HOÀNG VIỆT</t>
  </si>
  <si>
    <t>10</t>
  </si>
  <si>
    <t>BIT230030</t>
  </si>
  <si>
    <t>NGUYỄN VŨ ĐỨC ANH</t>
  </si>
  <si>
    <t>11</t>
  </si>
  <si>
    <t>BJL230004</t>
  </si>
  <si>
    <t>ĐOÀN HÀ CHÍ BÁCH</t>
  </si>
  <si>
    <t>12</t>
  </si>
  <si>
    <t>BJL230005</t>
  </si>
  <si>
    <t>ĐOÀN HÀ GIA BÁCH</t>
  </si>
  <si>
    <t>13</t>
  </si>
  <si>
    <t>BIT230439</t>
  </si>
  <si>
    <t>CAO DUY TÙNG</t>
  </si>
  <si>
    <t>14</t>
  </si>
  <si>
    <t>BCS230057</t>
  </si>
  <si>
    <t>NGUYỄN QUANG MINH</t>
  </si>
  <si>
    <t>15</t>
  </si>
  <si>
    <t>BIT230424</t>
  </si>
  <si>
    <t>NGUYỄN ANH TÚ</t>
  </si>
  <si>
    <t>16</t>
  </si>
  <si>
    <t>BCS230055</t>
  </si>
  <si>
    <t>NGUYỄN DANH MẠNH</t>
  </si>
  <si>
    <t>17</t>
  </si>
  <si>
    <t>BGD230131</t>
  </si>
  <si>
    <t>TẠ VIỆT LONG</t>
  </si>
  <si>
    <t>18</t>
  </si>
  <si>
    <t>BIT230167</t>
  </si>
  <si>
    <t>NGUYỄN HUY HOÀNG</t>
  </si>
  <si>
    <t>19</t>
  </si>
  <si>
    <t>BCS230078</t>
  </si>
  <si>
    <t>NGUYỄN THÀNH THÁI</t>
  </si>
  <si>
    <t>20</t>
  </si>
  <si>
    <t>BIT230172</t>
  </si>
  <si>
    <t>TRẦN HUY HOÀNG</t>
  </si>
  <si>
    <t>21</t>
  </si>
  <si>
    <t>BGD230070</t>
  </si>
  <si>
    <t>NGUYỄN MINH HẰNG</t>
  </si>
  <si>
    <t>22</t>
  </si>
  <si>
    <t>BGD230057</t>
  </si>
  <si>
    <t>NGUYỄN HOÀNG DUY</t>
  </si>
  <si>
    <t>23</t>
  </si>
  <si>
    <t>BIT230183</t>
  </si>
  <si>
    <t>CHU PHAN HÙNG</t>
  </si>
  <si>
    <t>24</t>
  </si>
  <si>
    <t>BIT230169</t>
  </si>
  <si>
    <t>VŨ VIỆT HOÀNG</t>
  </si>
  <si>
    <t>25</t>
  </si>
  <si>
    <t>BIT230352</t>
  </si>
  <si>
    <t>DƯƠNG VIỆT QUANG</t>
  </si>
  <si>
    <t>26</t>
  </si>
  <si>
    <t>BIT230261</t>
  </si>
  <si>
    <t>LÊ QUANG MINH</t>
  </si>
  <si>
    <t>29</t>
  </si>
  <si>
    <t>BIT230219</t>
  </si>
  <si>
    <t>HÀ CHÍ KIÊN</t>
  </si>
  <si>
    <t>30</t>
  </si>
  <si>
    <t>BIT230217</t>
  </si>
  <si>
    <t>VŨ HÀ KIÊN</t>
  </si>
  <si>
    <t>cmc</t>
  </si>
  <si>
    <t>31</t>
  </si>
  <si>
    <t>BIT230045</t>
  </si>
  <si>
    <t>LÊ HẢI BẮC</t>
  </si>
  <si>
    <t>32</t>
  </si>
  <si>
    <t>BIT230416</t>
  </si>
  <si>
    <t>TRẦN ĐỨC TRUNG</t>
  </si>
  <si>
    <t>33</t>
  </si>
  <si>
    <t>BGD230156</t>
  </si>
  <si>
    <t>BẠCH ĐĂNG NGUYÊN</t>
  </si>
  <si>
    <t>34</t>
  </si>
  <si>
    <t>BBA230362</t>
  </si>
  <si>
    <t>NGUYỄN TRẦN ÁNH PHƯỢNG</t>
  </si>
  <si>
    <t>35</t>
  </si>
  <si>
    <t>BCS230060</t>
  </si>
  <si>
    <t>ĐINH HÀ NAM</t>
  </si>
  <si>
    <t>36</t>
  </si>
  <si>
    <t>BCS230072</t>
  </si>
  <si>
    <t>NGÔ TRỌNG QUANG</t>
  </si>
  <si>
    <t>37</t>
  </si>
  <si>
    <t>BCS230046</t>
  </si>
  <si>
    <t>NGUYỄN NAM KHÁNH</t>
  </si>
  <si>
    <t>38</t>
  </si>
  <si>
    <t>BGD230112</t>
  </si>
  <si>
    <t>NGUYỄN NGỌC KHANH</t>
  </si>
  <si>
    <t>25/08/2023</t>
  </si>
  <si>
    <t>39</t>
  </si>
  <si>
    <t>BIT230029</t>
  </si>
  <si>
    <t>DƯƠNG ĐỨC ANH</t>
  </si>
  <si>
    <t>40</t>
  </si>
  <si>
    <t>BIT230391</t>
  </si>
  <si>
    <t>PHẠM CHIẾN ĐỨC THIỆU</t>
  </si>
  <si>
    <t>41</t>
  </si>
  <si>
    <t>BBA230129</t>
  </si>
  <si>
    <t>ĐINH THỊ KHÁNH HÀ</t>
  </si>
  <si>
    <t>42</t>
  </si>
  <si>
    <t>BBA230338</t>
  </si>
  <si>
    <t>NGUYỄN THỊ ANH NINH</t>
  </si>
  <si>
    <t>43</t>
  </si>
  <si>
    <t>BJL230015</t>
  </si>
  <si>
    <t>NGUYỄN NGỌC HÀ</t>
  </si>
  <si>
    <t>44</t>
  </si>
  <si>
    <t>BBA230287</t>
  </si>
  <si>
    <t>NGUYỄN THỊ PHƯƠNG MINH</t>
  </si>
  <si>
    <t>45</t>
  </si>
  <si>
    <t>BIT230241</t>
  </si>
  <si>
    <t>TRẦN KHÁNH LINH</t>
  </si>
  <si>
    <t>46</t>
  </si>
  <si>
    <t>BKL230103</t>
  </si>
  <si>
    <t>KHỔNG THỊ LINH</t>
  </si>
  <si>
    <t>47</t>
  </si>
  <si>
    <t>BIT230311</t>
  </si>
  <si>
    <t>ĐINH HOÀNG PHI</t>
  </si>
  <si>
    <t>48</t>
  </si>
  <si>
    <t>BBA230063</t>
  </si>
  <si>
    <t>NGÔ NGỌC BÍCH</t>
  </si>
  <si>
    <t>49</t>
  </si>
  <si>
    <t>BKL230106</t>
  </si>
  <si>
    <t>UÔNG DIỆU LINH</t>
  </si>
  <si>
    <t>50</t>
  </si>
  <si>
    <t>BGD230233</t>
  </si>
  <si>
    <t>DƯƠNG MINH VŨ</t>
  </si>
  <si>
    <t>51</t>
  </si>
  <si>
    <t>BBA230108</t>
  </si>
  <si>
    <t>PHAN LÊ THÙY DƯƠNG</t>
  </si>
  <si>
    <t>53</t>
  </si>
  <si>
    <t>BGD230159</t>
  </si>
  <si>
    <t>LÊ DUY NHẬT</t>
  </si>
  <si>
    <t>55</t>
  </si>
  <si>
    <t>BIT230462</t>
  </si>
  <si>
    <t>NGUYỄN ĐÌNH VŨ</t>
  </si>
  <si>
    <t>56</t>
  </si>
  <si>
    <t>BIT230071</t>
  </si>
  <si>
    <t>JUSTIN ELPIDIO LUU DAHILIG</t>
  </si>
  <si>
    <t>57</t>
  </si>
  <si>
    <t>BIT230437</t>
  </si>
  <si>
    <t>NGUYỄN KHOA TÙNG</t>
  </si>
  <si>
    <t>58</t>
  </si>
  <si>
    <t>BIT230020</t>
  </si>
  <si>
    <t>ĐỖ LAN ANH</t>
  </si>
  <si>
    <t>59</t>
  </si>
  <si>
    <t>BCS230025</t>
  </si>
  <si>
    <t>NGUYỄN TRỌNG ĐOÀN</t>
  </si>
  <si>
    <t>60</t>
  </si>
  <si>
    <t>BBA230259</t>
  </si>
  <si>
    <t>NGUYỄN THẢO LY</t>
  </si>
  <si>
    <t>61</t>
  </si>
  <si>
    <t>BBA230375</t>
  </si>
  <si>
    <t>LÊ NGỌC QUYỀN</t>
  </si>
  <si>
    <t>62</t>
  </si>
  <si>
    <t>BIT230143</t>
  </si>
  <si>
    <t>VŨ ĐỨC HOÀNG HẢI</t>
  </si>
  <si>
    <t>63</t>
  </si>
  <si>
    <t>BIT230234</t>
  </si>
  <si>
    <t>PHẠM KHÁNH LINH</t>
  </si>
  <si>
    <t>64</t>
  </si>
  <si>
    <t>BIT230107</t>
  </si>
  <si>
    <t>BÙI MINH ĐỨC</t>
  </si>
  <si>
    <t>65</t>
  </si>
  <si>
    <t>BIT230065</t>
  </si>
  <si>
    <t>CHU MẠNH CƯỜNG</t>
  </si>
  <si>
    <t>66</t>
  </si>
  <si>
    <t>BIT230410</t>
  </si>
  <si>
    <t>NGUYỄN ĐẮC TRIỆU</t>
  </si>
  <si>
    <t>67</t>
  </si>
  <si>
    <t>BGD230059</t>
  </si>
  <si>
    <t>ĐOÀN THỊ DUYÊN</t>
  </si>
  <si>
    <t>68</t>
  </si>
  <si>
    <t>BIT230456</t>
  </si>
  <si>
    <t>ĐINH THÀNH VINH</t>
  </si>
  <si>
    <t>69</t>
  </si>
  <si>
    <t>BCS230048</t>
  </si>
  <si>
    <t>PHAN MINH KHUÊ</t>
  </si>
  <si>
    <t>70</t>
  </si>
  <si>
    <t>BIT230324</t>
  </si>
  <si>
    <t>LÝ TRƯỜNG PHÚC</t>
  </si>
  <si>
    <t>71</t>
  </si>
  <si>
    <t>BIT230445</t>
  </si>
  <si>
    <t>DƯƠNG TRIỆU VĨ</t>
  </si>
  <si>
    <t>72</t>
  </si>
  <si>
    <t>BIT230301</t>
  </si>
  <si>
    <t>VŨ NGUYỄN MINH NHẬT</t>
  </si>
  <si>
    <t>73</t>
  </si>
  <si>
    <t>BBA230462</t>
  </si>
  <si>
    <t>ĐẶNG XUÂN TRƯỜNG</t>
  </si>
  <si>
    <t>74</t>
  </si>
  <si>
    <t>BIT230308</t>
  </si>
  <si>
    <t>NGUYỄN HỒNG NHUNG</t>
  </si>
  <si>
    <t>75</t>
  </si>
  <si>
    <t>76</t>
  </si>
  <si>
    <t>BKL230052</t>
  </si>
  <si>
    <t>TRẦN THUỴ QUỲNH DƯƠNG</t>
  </si>
  <si>
    <t>77</t>
  </si>
  <si>
    <t>BIT230253</t>
  </si>
  <si>
    <t>NGUYỄN NGỌC QUỲNH MAI</t>
  </si>
  <si>
    <t>78</t>
  </si>
  <si>
    <t>BKL230187</t>
  </si>
  <si>
    <t>BÙI HOÀI THƯƠNG</t>
  </si>
  <si>
    <t>79</t>
  </si>
  <si>
    <t>BCS230068</t>
  </si>
  <si>
    <t>NGUYỄN THIỆN PHÚC</t>
  </si>
  <si>
    <t>80</t>
  </si>
  <si>
    <t>BIT230264</t>
  </si>
  <si>
    <t>NGUYỄN VĂN MINH</t>
  </si>
  <si>
    <t>81</t>
  </si>
  <si>
    <t>BCS230053</t>
  </si>
  <si>
    <t>PHÙNG VĂN LINH</t>
  </si>
  <si>
    <t>82</t>
  </si>
  <si>
    <t>BCS230019</t>
  </si>
  <si>
    <t>NGUYỄN THÀNH ĐĂNG</t>
  </si>
  <si>
    <t>83</t>
  </si>
  <si>
    <t>BIT230435</t>
  </si>
  <si>
    <t>LÊ THANH TÙNG</t>
  </si>
  <si>
    <t>84</t>
  </si>
  <si>
    <t>85</t>
  </si>
  <si>
    <t>BBA230225</t>
  </si>
  <si>
    <t>NGUYỄN HỮU LINH</t>
  </si>
  <si>
    <t>86</t>
  </si>
  <si>
    <t>BBA230304</t>
  </si>
  <si>
    <t>NGUYỄN HUYỀN NGA</t>
  </si>
  <si>
    <t>87</t>
  </si>
  <si>
    <t>BIT230423</t>
  </si>
  <si>
    <t>LÊ ANH TÚ</t>
  </si>
  <si>
    <t>88</t>
  </si>
  <si>
    <t>BBA230340</t>
  </si>
  <si>
    <t>HOÀNG TUẤN PHÁT</t>
  </si>
  <si>
    <t>89</t>
  </si>
  <si>
    <t>BIT230341</t>
  </si>
  <si>
    <t>NGUYỄN VĂN QUÂN</t>
  </si>
  <si>
    <t>90</t>
  </si>
  <si>
    <t>BIT230031</t>
  </si>
  <si>
    <t>BÙI DUY ANH</t>
  </si>
  <si>
    <t>91</t>
  </si>
  <si>
    <t>BBA230251</t>
  </si>
  <si>
    <t>LƯU HOÀNG LONG</t>
  </si>
  <si>
    <t>92</t>
  </si>
  <si>
    <t>BIT230306</t>
  </si>
  <si>
    <t>VŨ THỊ NHUNG</t>
  </si>
  <si>
    <t>93</t>
  </si>
  <si>
    <t>BCS230007</t>
  </si>
  <si>
    <t>NGUYỄN PHƯƠNG ANH</t>
  </si>
  <si>
    <t>94</t>
  </si>
  <si>
    <t>BIT230064</t>
  </si>
  <si>
    <t>LỤC SƠN CƯỜNG</t>
  </si>
  <si>
    <t>95</t>
  </si>
  <si>
    <t>BKL230099</t>
  </si>
  <si>
    <t>ĐINH THỊ TÚ LỆ</t>
  </si>
  <si>
    <t>96</t>
  </si>
  <si>
    <t>97</t>
  </si>
  <si>
    <t>BBA230202</t>
  </si>
  <si>
    <t>PHẠM TRUNG KIÊN</t>
  </si>
  <si>
    <t>98</t>
  </si>
  <si>
    <t>BBA230472</t>
  </si>
  <si>
    <t>NGUYỄN PHÚC LÂM TUỆ</t>
  </si>
  <si>
    <t>99</t>
  </si>
  <si>
    <t>BIT230102</t>
  </si>
  <si>
    <t>LÃ MINH ĐỨC</t>
  </si>
  <si>
    <t>100</t>
  </si>
  <si>
    <t>BIT230318</t>
  </si>
  <si>
    <t>NGUYỄN BÁ HOÀNG PHÚC</t>
  </si>
  <si>
    <t>101</t>
  </si>
  <si>
    <t>BKL230135</t>
  </si>
  <si>
    <t>CHU THỊ HỒNG NGỌC</t>
  </si>
  <si>
    <t>102</t>
  </si>
  <si>
    <t>BKL230166</t>
  </si>
  <si>
    <t>NGUYỄN THỊ NGÂN TÂM</t>
  </si>
  <si>
    <t>103</t>
  </si>
  <si>
    <t>BCS230005</t>
  </si>
  <si>
    <t>ĐỖ MAI ANH</t>
  </si>
  <si>
    <t>104</t>
  </si>
  <si>
    <t>BGD230200</t>
  </si>
  <si>
    <t>NGUYỄN VĂN THIỆN</t>
  </si>
  <si>
    <t>105</t>
  </si>
  <si>
    <t>BIT230373</t>
  </si>
  <si>
    <t>NGUYỄN QUANG THÁI</t>
  </si>
  <si>
    <t>106</t>
  </si>
  <si>
    <t>BBA230213</t>
  </si>
  <si>
    <t>NGUYỄN THỊ LỆ</t>
  </si>
  <si>
    <t>107</t>
  </si>
  <si>
    <t>BIT230068</t>
  </si>
  <si>
    <t>MAI ĐỨC CƯỜNG</t>
  </si>
  <si>
    <t>108</t>
  </si>
  <si>
    <t>BBA230197</t>
  </si>
  <si>
    <t>ĐÀO THỊ NGỌC KHÁNH</t>
  </si>
  <si>
    <t>109</t>
  </si>
  <si>
    <t>BIT230458</t>
  </si>
  <si>
    <t>ĐOÀN ANH VŨ</t>
  </si>
  <si>
    <t>110</t>
  </si>
  <si>
    <t>BGD230223</t>
  </si>
  <si>
    <t>PHẠM SƠN TÙNG</t>
  </si>
  <si>
    <t>111</t>
  </si>
  <si>
    <t>BGD230021</t>
  </si>
  <si>
    <t>LÊ THỊ NGỌC ÁNH</t>
  </si>
  <si>
    <t>112</t>
  </si>
  <si>
    <t>BIT230174</t>
  </si>
  <si>
    <t>LÊ TRUNG HOÀNG</t>
  </si>
  <si>
    <t>113</t>
  </si>
  <si>
    <t>BCS230033</t>
  </si>
  <si>
    <t>NGUYỄN THÙY DƯƠNG</t>
  </si>
  <si>
    <t>114</t>
  </si>
  <si>
    <t>BBA230482</t>
  </si>
  <si>
    <t>ĐẶNG THỊ THANH UYÊN</t>
  </si>
  <si>
    <t>115</t>
  </si>
  <si>
    <t>BKL230171</t>
  </si>
  <si>
    <t>HOÀNG THỊ PHƯƠNG THẢO</t>
  </si>
  <si>
    <t>116</t>
  </si>
  <si>
    <t>BBA230258</t>
  </si>
  <si>
    <t>KIỀU THỊ LY</t>
  </si>
  <si>
    <t>117</t>
  </si>
  <si>
    <t>BIT230256</t>
  </si>
  <si>
    <t>TRẦN DUY MẠNH</t>
  </si>
  <si>
    <t>118</t>
  </si>
  <si>
    <t>BIT230432</t>
  </si>
  <si>
    <t>NGÔ CAO TUẤN</t>
  </si>
  <si>
    <t>120</t>
  </si>
  <si>
    <t>BCS230052</t>
  </si>
  <si>
    <t>HOÀNG TRỊNH KHÁNH LINH</t>
  </si>
  <si>
    <t>121</t>
  </si>
  <si>
    <t>BIT230411</t>
  </si>
  <si>
    <t>VŨ THỊ PHƯƠNG TRINH</t>
  </si>
  <si>
    <t>123</t>
  </si>
  <si>
    <t>BGD230190</t>
  </si>
  <si>
    <t>NGUYỄN NAM THẮNG</t>
  </si>
  <si>
    <t>124</t>
  </si>
  <si>
    <t>BGD230110</t>
  </si>
  <si>
    <t>ĐỖ HOÀNG KHẢI</t>
  </si>
  <si>
    <t>125</t>
  </si>
  <si>
    <t>BCS230045</t>
  </si>
  <si>
    <t>HÀ KHÁNH</t>
  </si>
  <si>
    <t>126</t>
  </si>
  <si>
    <t>BBA230324</t>
  </si>
  <si>
    <t>HÀ YẾN NHI</t>
  </si>
  <si>
    <t>127</t>
  </si>
  <si>
    <t>BBA230008</t>
  </si>
  <si>
    <t>NGUYỄN KIM ANH</t>
  </si>
  <si>
    <t>128</t>
  </si>
  <si>
    <t>BBA230104</t>
  </si>
  <si>
    <t>NGÔ VĂN DŨNG</t>
  </si>
  <si>
    <t>129</t>
  </si>
  <si>
    <t>BIT230449</t>
  </si>
  <si>
    <t>NGUYỄN BÁ BẢO VIỆT</t>
  </si>
  <si>
    <t>130</t>
  </si>
  <si>
    <t>BBA230124</t>
  </si>
  <si>
    <t>NGUYỄN THỊ HƯƠNG GIANG</t>
  </si>
  <si>
    <t>131</t>
  </si>
  <si>
    <t>BIT230346</t>
  </si>
  <si>
    <t>NGUYỄN NHẬT QUANG</t>
  </si>
  <si>
    <t>132</t>
  </si>
  <si>
    <t>BGD230236</t>
  </si>
  <si>
    <t>VŨ NGỌC HÀ VY</t>
  </si>
  <si>
    <t>133</t>
  </si>
  <si>
    <t>BIT230248</t>
  </si>
  <si>
    <t>NGUYỄN SỸ HOÀNG LONG</t>
  </si>
  <si>
    <t>134</t>
  </si>
  <si>
    <t>BIT230194</t>
  </si>
  <si>
    <t>MA TRỌNG HUY</t>
  </si>
  <si>
    <t>135</t>
  </si>
  <si>
    <t>BIT230436</t>
  </si>
  <si>
    <t>NGUYỄN TRUNG TÙNG</t>
  </si>
  <si>
    <t>136</t>
  </si>
  <si>
    <t>BCS230028</t>
  </si>
  <si>
    <t>NGUYỄN MINH ĐỨC</t>
  </si>
  <si>
    <t>137</t>
  </si>
  <si>
    <t>BKL230206</t>
  </si>
  <si>
    <t>KIỀU CHÍ VỸ</t>
  </si>
  <si>
    <t>139</t>
  </si>
  <si>
    <t>BCS230065</t>
  </si>
  <si>
    <t>NGUYỄN VĂN NHẬT</t>
  </si>
  <si>
    <t>140</t>
  </si>
  <si>
    <t>BBA230013</t>
  </si>
  <si>
    <t>VÕ DIỆP ANH</t>
  </si>
  <si>
    <t>141</t>
  </si>
  <si>
    <t>BIT230062</t>
  </si>
  <si>
    <t>ĐOÀN VŨ THÀNH CÔNG</t>
  </si>
  <si>
    <t>143</t>
  </si>
  <si>
    <t>BBA230048</t>
  </si>
  <si>
    <t>VŨ ĐỨC ANH</t>
  </si>
  <si>
    <t>26/08/2023</t>
  </si>
  <si>
    <t>144</t>
  </si>
  <si>
    <t>BIT230265</t>
  </si>
  <si>
    <t>NGUYỄN ĐỨC CÔNG MINH</t>
  </si>
  <si>
    <t>145</t>
  </si>
  <si>
    <t>BIT230401</t>
  </si>
  <si>
    <t>LƯƠNG HUYỀN TRANG</t>
  </si>
  <si>
    <t>146</t>
  </si>
  <si>
    <t>BGD230094</t>
  </si>
  <si>
    <t>LÊ NGUYỄN VIỆT HƯƠNG</t>
  </si>
  <si>
    <t>147</t>
  </si>
  <si>
    <t>BKL230198</t>
  </si>
  <si>
    <t>NGÔ THỊ XUÂN TRÚC</t>
  </si>
  <si>
    <t>148</t>
  </si>
  <si>
    <t>BIT230090</t>
  </si>
  <si>
    <t>NGUYỄN THỊ DIỆU</t>
  </si>
  <si>
    <t>149</t>
  </si>
  <si>
    <t>BIT230207</t>
  </si>
  <si>
    <t>TRẦN QUANG KHẢI</t>
  </si>
  <si>
    <t>150</t>
  </si>
  <si>
    <t>BIT230268</t>
  </si>
  <si>
    <t>VŨ DOÃN MINH</t>
  </si>
  <si>
    <t>151</t>
  </si>
  <si>
    <t>BIT230390</t>
  </si>
  <si>
    <t>HOÀNG MINH THIỆN</t>
  </si>
  <si>
    <t>152</t>
  </si>
  <si>
    <t>BCS230095</t>
  </si>
  <si>
    <t>153</t>
  </si>
  <si>
    <t>BCS230092</t>
  </si>
  <si>
    <t>ĐẶNG ĐÌNH TUYÊN</t>
  </si>
  <si>
    <t>154</t>
  </si>
  <si>
    <t>BGD230141</t>
  </si>
  <si>
    <t>CÙ ĐỨC MINH</t>
  </si>
  <si>
    <t>155</t>
  </si>
  <si>
    <t>BIT230141</t>
  </si>
  <si>
    <t>PHẠM TUẤN HẢI</t>
  </si>
  <si>
    <t>156</t>
  </si>
  <si>
    <t>BBA230020</t>
  </si>
  <si>
    <t>PHẠM TUẤN ANH</t>
  </si>
  <si>
    <t>157</t>
  </si>
  <si>
    <t>BGD230111</t>
  </si>
  <si>
    <t>NGUYỄN HOÀNG KHANG</t>
  </si>
  <si>
    <t>158</t>
  </si>
  <si>
    <t>BBA230471</t>
  </si>
  <si>
    <t>NGUYỄN MINH TUẤN</t>
  </si>
  <si>
    <t>159</t>
  </si>
  <si>
    <t>BIT230243</t>
  </si>
  <si>
    <t>KHƯƠNG ĐÌNH LỘC</t>
  </si>
  <si>
    <t>160</t>
  </si>
  <si>
    <t>BCS230071</t>
  </si>
  <si>
    <t>NGUYỄN MINH QUÂN</t>
  </si>
  <si>
    <t>161</t>
  </si>
  <si>
    <t>BKL230088</t>
  </si>
  <si>
    <t>ĐẶNG MINH HUYỀN</t>
  </si>
  <si>
    <t>162</t>
  </si>
  <si>
    <t>BIT230321</t>
  </si>
  <si>
    <t>NGUYỄN ĐÌNH BẢO PHÚC</t>
  </si>
  <si>
    <t>163</t>
  </si>
  <si>
    <t>BIT230292</t>
  </si>
  <si>
    <t>ĐINH TRẦN NGUYÊN</t>
  </si>
  <si>
    <t>164</t>
  </si>
  <si>
    <t>BGD230227</t>
  </si>
  <si>
    <t>NGUYỄN THỊ THANH VÂN</t>
  </si>
  <si>
    <t>165</t>
  </si>
  <si>
    <t>BIT230079</t>
  </si>
  <si>
    <t>PHẠM QUANG ĐẠT</t>
  </si>
  <si>
    <t>166</t>
  </si>
  <si>
    <t>BCS230016</t>
  </si>
  <si>
    <t>LƯƠNG ĐÌNH BÚT</t>
  </si>
  <si>
    <t>167</t>
  </si>
  <si>
    <t>BGD230091</t>
  </si>
  <si>
    <t>NGUYỄN GIA BẢO HƯNG</t>
  </si>
  <si>
    <t>168</t>
  </si>
  <si>
    <t>BIT230196</t>
  </si>
  <si>
    <t>NGUYỄN QUANG HUY</t>
  </si>
  <si>
    <t>169</t>
  </si>
  <si>
    <t>170</t>
  </si>
  <si>
    <t>BIT230127</t>
  </si>
  <si>
    <t>TRẦN MẠNH DUY</t>
  </si>
  <si>
    <t>171</t>
  </si>
  <si>
    <t>BIT230246</t>
  </si>
  <si>
    <t>ĐỖ GIA LONG</t>
  </si>
  <si>
    <t>172</t>
  </si>
  <si>
    <t>BGD230071</t>
  </si>
  <si>
    <t>TÔ THỊ THUÝ HIỀN</t>
  </si>
  <si>
    <t>173</t>
  </si>
  <si>
    <t>BBA230290</t>
  </si>
  <si>
    <t>TRẦN BÌNH MINH</t>
  </si>
  <si>
    <t>174</t>
  </si>
  <si>
    <t>BIT230166</t>
  </si>
  <si>
    <t>VŨ ĐỨC DUY HOÀNG</t>
  </si>
  <si>
    <t>175</t>
  </si>
  <si>
    <t>BIT230080</t>
  </si>
  <si>
    <t>ĐẶNG TIẾN ĐẠT</t>
  </si>
  <si>
    <t>176</t>
  </si>
  <si>
    <t>BIT230225</t>
  </si>
  <si>
    <t>LÊ TRÍ KIỆT</t>
  </si>
  <si>
    <t>177</t>
  </si>
  <si>
    <t>BCS230002</t>
  </si>
  <si>
    <t>PHẠM QUẢNG ÂN</t>
  </si>
  <si>
    <t>178</t>
  </si>
  <si>
    <t>BGD230152</t>
  </si>
  <si>
    <t>PHAN TRỌNG NGHĨA</t>
  </si>
  <si>
    <t>179</t>
  </si>
  <si>
    <t>BCS230041</t>
  </si>
  <si>
    <t>LÊ TUẤN HƯNG</t>
  </si>
  <si>
    <t>180</t>
  </si>
  <si>
    <t>BBA230323</t>
  </si>
  <si>
    <t>HOÀNG PHƯƠNG NHI</t>
  </si>
  <si>
    <t>181</t>
  </si>
  <si>
    <t>BIT230426</t>
  </si>
  <si>
    <t>BÙI NGỌC TUẤN</t>
  </si>
  <si>
    <t>182</t>
  </si>
  <si>
    <t>183</t>
  </si>
  <si>
    <t>BIT230469</t>
  </si>
  <si>
    <t>TỐNG KHÁNH HUY</t>
  </si>
  <si>
    <t>184</t>
  </si>
  <si>
    <t>BBA230389</t>
  </si>
  <si>
    <t>TRẦN ĐỨC SƠN</t>
  </si>
  <si>
    <t>185</t>
  </si>
  <si>
    <t>BCS230082</t>
  </si>
  <si>
    <t>LÊ XUÂN THÀNH</t>
  </si>
  <si>
    <t>186</t>
  </si>
  <si>
    <t>BIT230336</t>
  </si>
  <si>
    <t>LÊ ANH QUÂN</t>
  </si>
  <si>
    <t>187</t>
  </si>
  <si>
    <t>BBA230074</t>
  </si>
  <si>
    <t>HOÀNG MAI CHI</t>
  </si>
  <si>
    <t>188</t>
  </si>
  <si>
    <t>BBA230114</t>
  </si>
  <si>
    <t>NGÔ THỊ THÙY DƯƠNG</t>
  </si>
  <si>
    <t>189</t>
  </si>
  <si>
    <t>BBA230385</t>
  </si>
  <si>
    <t>NGUYỄN NGỌC SINH</t>
  </si>
  <si>
    <t>190</t>
  </si>
  <si>
    <t>BCS230042</t>
  </si>
  <si>
    <t>ĐỖ PHÚC HƯNG</t>
  </si>
  <si>
    <t>191</t>
  </si>
  <si>
    <t>BIT230009</t>
  </si>
  <si>
    <t>TRẦN DUY ANH</t>
  </si>
  <si>
    <t>192</t>
  </si>
  <si>
    <t>BBA230145</t>
  </si>
  <si>
    <t>ĐỖ HOÀNG HIẾU</t>
  </si>
  <si>
    <t>193</t>
  </si>
  <si>
    <t>BIT230242</t>
  </si>
  <si>
    <t>TRẦN VIỆT LỘC</t>
  </si>
  <si>
    <t>194</t>
  </si>
  <si>
    <t>BIT230133</t>
  </si>
  <si>
    <t>NGUYỄN TRƯỜNG GIANG</t>
  </si>
  <si>
    <t>195</t>
  </si>
  <si>
    <t>BIT230040</t>
  </si>
  <si>
    <t>PHAN ĐỨC ANH</t>
  </si>
  <si>
    <t>196</t>
  </si>
  <si>
    <t>BGD230065</t>
  </si>
  <si>
    <t>LƯƠNG HOÀNG HÀ</t>
  </si>
  <si>
    <t>197</t>
  </si>
  <si>
    <t>BBA230160</t>
  </si>
  <si>
    <t>NGUYỄN CÔNG HUẤN</t>
  </si>
  <si>
    <t>198</t>
  </si>
  <si>
    <t>BIT230109</t>
  </si>
  <si>
    <t>199</t>
  </si>
  <si>
    <t>BBA230207</t>
  </si>
  <si>
    <t>LÊ TUẤN LÂM</t>
  </si>
  <si>
    <t>201</t>
  </si>
  <si>
    <t>BKL230012</t>
  </si>
  <si>
    <t>TRỊNH LÊ HUYỀN ANH</t>
  </si>
  <si>
    <t>202</t>
  </si>
  <si>
    <t>BBA230400</t>
  </si>
  <si>
    <t>LÊ QUỐC THÀNH</t>
  </si>
  <si>
    <t>203</t>
  </si>
  <si>
    <t>BCS230083</t>
  </si>
  <si>
    <t>NGÔ VĂN THÀNH</t>
  </si>
  <si>
    <t>204</t>
  </si>
  <si>
    <t>BKL230162</t>
  </si>
  <si>
    <t>ĐINH THỊ MAI QUỲNH</t>
  </si>
  <si>
    <t>206</t>
  </si>
  <si>
    <t>BIT230343</t>
  </si>
  <si>
    <t>BÙI ANH QUÂN</t>
  </si>
  <si>
    <t>207</t>
  </si>
  <si>
    <t>BIT230290</t>
  </si>
  <si>
    <t>NGUYỄN THẾ NGỌC</t>
  </si>
  <si>
    <t>208</t>
  </si>
  <si>
    <t>BBA230489</t>
  </si>
  <si>
    <t>NGUYỄN QUANG VIỆT</t>
  </si>
  <si>
    <t>209</t>
  </si>
  <si>
    <t>BBA230348</t>
  </si>
  <si>
    <t>HÀ VŨ THU PHƯƠNG</t>
  </si>
  <si>
    <t>210</t>
  </si>
  <si>
    <t>BGD230020</t>
  </si>
  <si>
    <t>NGUYỄN THỊ NGỌC ÁNH</t>
  </si>
  <si>
    <t>211</t>
  </si>
  <si>
    <t>BIT230296</t>
  </si>
  <si>
    <t>TRẦN TRUNG NGUYÊN</t>
  </si>
  <si>
    <t>212</t>
  </si>
  <si>
    <t>BIT230400</t>
  </si>
  <si>
    <t>NGUYỄN THỊ QUỲNH TRANG</t>
  </si>
  <si>
    <t>213</t>
  </si>
  <si>
    <t>BKL230102</t>
  </si>
  <si>
    <t>214</t>
  </si>
  <si>
    <t>BGD230162</t>
  </si>
  <si>
    <t>NGUYỄN THỊ NHUNG</t>
  </si>
  <si>
    <t>215</t>
  </si>
  <si>
    <t>BGD230217</t>
  </si>
  <si>
    <t>NGUYỄN VĂN TUÂN</t>
  </si>
  <si>
    <t>216</t>
  </si>
  <si>
    <t>BIT230195</t>
  </si>
  <si>
    <t>TẠ GIA HUY</t>
  </si>
  <si>
    <t>217</t>
  </si>
  <si>
    <t>BCS230012</t>
  </si>
  <si>
    <t>PHẠM NHẬT ANH</t>
  </si>
  <si>
    <t>218</t>
  </si>
  <si>
    <t>BIT230330</t>
  </si>
  <si>
    <t>NGUYỄN MINH PHƯƠNG</t>
  </si>
  <si>
    <t>219</t>
  </si>
  <si>
    <t>BBA230498</t>
  </si>
  <si>
    <t>NGUYỄN KHÁNH VY</t>
  </si>
  <si>
    <t>220</t>
  </si>
  <si>
    <t>BIT230181</t>
  </si>
  <si>
    <t>NGUYỄN MẠNH HÙNG</t>
  </si>
  <si>
    <t>221</t>
  </si>
  <si>
    <t>BGD230182</t>
  </si>
  <si>
    <t>NGUYỄN PHẠM MINH QUANG</t>
  </si>
  <si>
    <t>222</t>
  </si>
  <si>
    <t>BJL230043</t>
  </si>
  <si>
    <t>TRẦN NGỌC TRÂM</t>
  </si>
  <si>
    <t>223</t>
  </si>
  <si>
    <t>BIT230300</t>
  </si>
  <si>
    <t>PHẠM MINH NHẬT</t>
  </si>
  <si>
    <t>224</t>
  </si>
  <si>
    <t>BBA230175</t>
  </si>
  <si>
    <t>ĐOÀN THỊ THU HƯỜNG</t>
  </si>
  <si>
    <t>225</t>
  </si>
  <si>
    <t>BCS230054</t>
  </si>
  <si>
    <t>LÊ THỊ HƯƠNG LY</t>
  </si>
  <si>
    <t>226</t>
  </si>
  <si>
    <t>BBA230452</t>
  </si>
  <si>
    <t>NGUYỄN BẢO TRANG</t>
  </si>
  <si>
    <t>227</t>
  </si>
  <si>
    <t>BIT230125</t>
  </si>
  <si>
    <t>NGUYỄN ĐẮC ĐẠI DƯƠNG</t>
  </si>
  <si>
    <t>228</t>
  </si>
  <si>
    <t>BIT230197</t>
  </si>
  <si>
    <t>229</t>
  </si>
  <si>
    <t>BIT230294</t>
  </si>
  <si>
    <t>HOÀNG XUÂN NGUYÊN</t>
  </si>
  <si>
    <t>230</t>
  </si>
  <si>
    <t>BJL230034</t>
  </si>
  <si>
    <t>DƯƠNG THỊ TUYẾT NHƯ</t>
  </si>
  <si>
    <t>231</t>
  </si>
  <si>
    <t>BGD230229</t>
  </si>
  <si>
    <t>PHẠM TUẤN VIỆT</t>
  </si>
  <si>
    <t>232</t>
  </si>
  <si>
    <t>BCS230047</t>
  </si>
  <si>
    <t>TRẦN KHÁNH KHÔI</t>
  </si>
  <si>
    <t>27/08/2023</t>
  </si>
  <si>
    <t>233</t>
  </si>
  <si>
    <t>BBA230176</t>
  </si>
  <si>
    <t>NGUYỄN PHÙNG HUY</t>
  </si>
  <si>
    <t>234</t>
  </si>
  <si>
    <t>BIT230408</t>
  </si>
  <si>
    <t>VŨ HỒ HẢI TRIỀU</t>
  </si>
  <si>
    <t>235</t>
  </si>
  <si>
    <t>BBA230435</t>
  </si>
  <si>
    <t>TRỊNH NGỌC TOÀN</t>
  </si>
  <si>
    <t>236</t>
  </si>
  <si>
    <t>BBA230477</t>
  </si>
  <si>
    <t>NGUYỄN MẠNH TÙNG</t>
  </si>
  <si>
    <t>237</t>
  </si>
  <si>
    <t>BBA230347</t>
  </si>
  <si>
    <t>NGUYỄN THU PHƯƠNG</t>
  </si>
  <si>
    <t>238</t>
  </si>
  <si>
    <t>BIT230046</t>
  </si>
  <si>
    <t>PHAN NGUYỄN HOÀNG BÁCH</t>
  </si>
  <si>
    <t>239</t>
  </si>
  <si>
    <t>BIT230229</t>
  </si>
  <si>
    <t>TRẦN THẾ LÂM</t>
  </si>
  <si>
    <t>240</t>
  </si>
  <si>
    <t>BIT230459</t>
  </si>
  <si>
    <t>HÀ MINH VŨ</t>
  </si>
  <si>
    <t>241</t>
  </si>
  <si>
    <t>BBA230454</t>
  </si>
  <si>
    <t>CHU THỊ HUYỀN TRANG</t>
  </si>
  <si>
    <t>242</t>
  </si>
  <si>
    <t>BKL230078</t>
  </si>
  <si>
    <t>VŨ THỊ HỒNG</t>
  </si>
  <si>
    <t>243</t>
  </si>
  <si>
    <t>BKL230177</t>
  </si>
  <si>
    <t>ĐÀO TRẦN ANH THƠ</t>
  </si>
  <si>
    <t>244</t>
  </si>
  <si>
    <t>BIT230135</t>
  </si>
  <si>
    <t>HOÀNG NGUYÊN GIÁP</t>
  </si>
  <si>
    <t>245</t>
  </si>
  <si>
    <t>BIT230050</t>
  </si>
  <si>
    <t>LƯU GIA BẢO</t>
  </si>
  <si>
    <t>246</t>
  </si>
  <si>
    <t>BGD230226</t>
  </si>
  <si>
    <t>PHAN THỤC UYÊN</t>
  </si>
  <si>
    <t>247</t>
  </si>
  <si>
    <t>BGD230148</t>
  </si>
  <si>
    <t>LÊ GIANG NAM</t>
  </si>
  <si>
    <t>248</t>
  </si>
  <si>
    <t>BBA230156</t>
  </si>
  <si>
    <t>VƯƠNG ĐỨC HOÀNG</t>
  </si>
  <si>
    <t>249</t>
  </si>
  <si>
    <t>BIT230114</t>
  </si>
  <si>
    <t>NGUYỄN TIẾN DŨNG</t>
  </si>
  <si>
    <t>250</t>
  </si>
  <si>
    <t>BBA230002</t>
  </si>
  <si>
    <t>PHAN TRƯỜNG AN</t>
  </si>
  <si>
    <t>251</t>
  </si>
  <si>
    <t>BCS230035</t>
  </si>
  <si>
    <t>LẠI HOÀNG DUY</t>
  </si>
  <si>
    <t>252</t>
  </si>
  <si>
    <t>BCS230051</t>
  </si>
  <si>
    <t>LÊ TUẤN LINH</t>
  </si>
  <si>
    <t>253</t>
  </si>
  <si>
    <t>BIT230384</t>
  </si>
  <si>
    <t>ĐÀO QUANG THÀNH</t>
  </si>
  <si>
    <t>254</t>
  </si>
  <si>
    <t>BIT230202</t>
  </si>
  <si>
    <t>TRẦN QUANG HUY</t>
  </si>
  <si>
    <t>255</t>
  </si>
  <si>
    <t>BIT230069</t>
  </si>
  <si>
    <t>NGUYỄN MẠNH CƯỜNG</t>
  </si>
  <si>
    <t>256</t>
  </si>
  <si>
    <t>BGD230180</t>
  </si>
  <si>
    <t>NGUYỄN HỮU QUANG</t>
  </si>
  <si>
    <t>257</t>
  </si>
  <si>
    <t>BJL230008</t>
  </si>
  <si>
    <t>ĐÀO ĐỨC CHUNG</t>
  </si>
  <si>
    <t>258</t>
  </si>
  <si>
    <t>BIT230430</t>
  </si>
  <si>
    <t>NGUYỄN ĐỨC TUẤN</t>
  </si>
  <si>
    <t>259</t>
  </si>
  <si>
    <t>BBA230418</t>
  </si>
  <si>
    <t>PHẠM ĐỖ MINH THÔNG</t>
  </si>
  <si>
    <t>260</t>
  </si>
  <si>
    <t>BIT230417</t>
  </si>
  <si>
    <t>BÙI ĐỨC TRUNG</t>
  </si>
  <si>
    <t>261</t>
  </si>
  <si>
    <t>BIT230466</t>
  </si>
  <si>
    <t>NGUYỄN THỊ XINH</t>
  </si>
  <si>
    <t>262</t>
  </si>
  <si>
    <t>BIT230447</t>
  </si>
  <si>
    <t>BÙI ĐỨC VIỆT</t>
  </si>
  <si>
    <t>263</t>
  </si>
  <si>
    <t>BIT230033</t>
  </si>
  <si>
    <t>ĐẶNG PHÚC TUẤN ANH</t>
  </si>
  <si>
    <t>264</t>
  </si>
  <si>
    <t>BCS230039</t>
  </si>
  <si>
    <t>VŨ VĂN HUÂN</t>
  </si>
  <si>
    <t>265</t>
  </si>
  <si>
    <t>BIT230013</t>
  </si>
  <si>
    <t>VŨ PHẠM TUẤN ANH</t>
  </si>
  <si>
    <t>266</t>
  </si>
  <si>
    <t>BBA230331</t>
  </si>
  <si>
    <t>PHÍ NGỌC NHI</t>
  </si>
  <si>
    <t>267</t>
  </si>
  <si>
    <t>BIT230205</t>
  </si>
  <si>
    <t>268</t>
  </si>
  <si>
    <t>BIT230227</t>
  </si>
  <si>
    <t>NGUYỄN THANH LÂM</t>
  </si>
  <si>
    <t>269</t>
  </si>
  <si>
    <t>BCS230088</t>
  </si>
  <si>
    <t>MAI XUÂN TUÂN</t>
  </si>
  <si>
    <t>270</t>
  </si>
  <si>
    <t>BIT230431</t>
  </si>
  <si>
    <t>LÙ A TUẤN</t>
  </si>
  <si>
    <t>271</t>
  </si>
  <si>
    <t>BIT230095</t>
  </si>
  <si>
    <t>LÊ HẢI ĐỨC</t>
  </si>
  <si>
    <t>272</t>
  </si>
  <si>
    <t>BBA230133</t>
  </si>
  <si>
    <t>NGUYỄN MẠNH HÀ</t>
  </si>
  <si>
    <t>273</t>
  </si>
  <si>
    <t>BBA230111</t>
  </si>
  <si>
    <t>LƯƠNG MINH DƯƠNG</t>
  </si>
  <si>
    <t>274</t>
  </si>
  <si>
    <t>BGD230196</t>
  </si>
  <si>
    <t>TRỊNH THỊ THANH THẢO</t>
  </si>
  <si>
    <t>275</t>
  </si>
  <si>
    <t>BKL230031</t>
  </si>
  <si>
    <t>LÊ QUANG CẢNH</t>
  </si>
  <si>
    <t>276</t>
  </si>
  <si>
    <t>BKL230090</t>
  </si>
  <si>
    <t>NGUYỄN THỊ NGỌC HUYỀN</t>
  </si>
  <si>
    <t>277</t>
  </si>
  <si>
    <t>BIT230147</t>
  </si>
  <si>
    <t>CAO THỊ THÚY HIỀN</t>
  </si>
  <si>
    <t>278</t>
  </si>
  <si>
    <t>BBA230303</t>
  </si>
  <si>
    <t>LÊ TRỌNG NHẬT NAM</t>
  </si>
  <si>
    <t>279</t>
  </si>
  <si>
    <t>BIT230032</t>
  </si>
  <si>
    <t>PHẠM THỊ MINH ANH</t>
  </si>
  <si>
    <t>280</t>
  </si>
  <si>
    <t>BBA230278</t>
  </si>
  <si>
    <t>DƯƠNG THỊ MAY</t>
  </si>
  <si>
    <t>281</t>
  </si>
  <si>
    <t>BBA230387</t>
  </si>
  <si>
    <t>NGUYỄN ĐÌNH SƠN</t>
  </si>
  <si>
    <t>282</t>
  </si>
  <si>
    <t>BCS230081</t>
  </si>
  <si>
    <t>TRẦN TIẾN THÀNH</t>
  </si>
  <si>
    <t>283</t>
  </si>
  <si>
    <t>BKL230168</t>
  </si>
  <si>
    <t>TRƯƠNG THỊ PHƯƠNG THANH</t>
  </si>
  <si>
    <t>284</t>
  </si>
  <si>
    <t>BIT230429</t>
  </si>
  <si>
    <t>DƯƠNG TIẾN TUẤN</t>
  </si>
  <si>
    <t>285</t>
  </si>
  <si>
    <t>BBA230317</t>
  </si>
  <si>
    <t>PHẠM HẰNG MAI NGỌC</t>
  </si>
  <si>
    <t>286</t>
  </si>
  <si>
    <t>BIT230366</t>
  </si>
  <si>
    <t>CHU VĂN SƠN</t>
  </si>
  <si>
    <t>287</t>
  </si>
  <si>
    <t>BGD230105</t>
  </si>
  <si>
    <t>NGUYỄN THỊ HUYỀN</t>
  </si>
  <si>
    <t>288</t>
  </si>
  <si>
    <t>BCS230049</t>
  </si>
  <si>
    <t>ĐỖ TRÍ KIÊN</t>
  </si>
  <si>
    <t>289</t>
  </si>
  <si>
    <t>BGD230218</t>
  </si>
  <si>
    <t>LÊ THANH TUẤN</t>
  </si>
  <si>
    <t>290</t>
  </si>
  <si>
    <t>BBA230301</t>
  </si>
  <si>
    <t>BÙI TIẾN NAM</t>
  </si>
  <si>
    <t>291</t>
  </si>
  <si>
    <t>BIT230056</t>
  </si>
  <si>
    <t>LÊ THỊ KIM CHI</t>
  </si>
  <si>
    <t>292</t>
  </si>
  <si>
    <t>BIT230182</t>
  </si>
  <si>
    <t>NGUYỄN TRẦN HÙNG</t>
  </si>
  <si>
    <t>293</t>
  </si>
  <si>
    <t>BIT230303</t>
  </si>
  <si>
    <t>NGUYỄN QUỲNH NHƯ</t>
  </si>
  <si>
    <t>294</t>
  </si>
  <si>
    <t>BBA230342</t>
  </si>
  <si>
    <t>NGUYỄN ĐẮC PHÚ</t>
  </si>
  <si>
    <t>295</t>
  </si>
  <si>
    <t>BCS230006</t>
  </si>
  <si>
    <t>NGUYỄN PHAN TUẤN ANH</t>
  </si>
  <si>
    <t>296</t>
  </si>
  <si>
    <t>BIT230236</t>
  </si>
  <si>
    <t>PHAN THỊ KHÁNH LINH</t>
  </si>
  <si>
    <t>297</t>
  </si>
  <si>
    <t>BBA230076</t>
  </si>
  <si>
    <t>NGUYỄN LINH CHI</t>
  </si>
  <si>
    <t>298</t>
  </si>
  <si>
    <t>BBA230442</t>
  </si>
  <si>
    <t>VŨ THÙY TRANG</t>
  </si>
  <si>
    <t>299</t>
  </si>
  <si>
    <t>BIT230145</t>
  </si>
  <si>
    <t>PHAN THANH HÀO</t>
  </si>
  <si>
    <t>300</t>
  </si>
  <si>
    <t>BIT230228</t>
  </si>
  <si>
    <t>NGUYỄN QUANG LÂM</t>
  </si>
  <si>
    <t>301</t>
  </si>
  <si>
    <t>BGD230076</t>
  </si>
  <si>
    <t>LƯU CHÍ HIẾU</t>
  </si>
  <si>
    <t>302</t>
  </si>
  <si>
    <t>BCS230070</t>
  </si>
  <si>
    <t>ĐOÀN HOÀNG QUÂN</t>
  </si>
  <si>
    <t>303</t>
  </si>
  <si>
    <t>BGD230214</t>
  </si>
  <si>
    <t>ĐỖ BẢO TRUNG</t>
  </si>
  <si>
    <t>304</t>
  </si>
  <si>
    <t>BBA230503</t>
  </si>
  <si>
    <t>PHẠM THỊ DIỄM XUÂN</t>
  </si>
  <si>
    <t>305</t>
  </si>
  <si>
    <t>BBA230254</t>
  </si>
  <si>
    <t>NGUYỄN TUẤN LONG</t>
  </si>
  <si>
    <t>306</t>
  </si>
  <si>
    <t>BKL230128</t>
  </si>
  <si>
    <t>NGUYỄN KIỀU MY</t>
  </si>
  <si>
    <t>307</t>
  </si>
  <si>
    <t>BIT230298</t>
  </si>
  <si>
    <t>NGUYỄN HOÀI NHÂN</t>
  </si>
  <si>
    <t>308</t>
  </si>
  <si>
    <t>BIT230098</t>
  </si>
  <si>
    <t>LÊ MINH ĐỨC</t>
  </si>
  <si>
    <t>309</t>
  </si>
  <si>
    <t>BIT230185</t>
  </si>
  <si>
    <t>TRẦN NGỌC HÙNG</t>
  </si>
  <si>
    <t>310</t>
  </si>
  <si>
    <t>BIT230349</t>
  </si>
  <si>
    <t>VŨ NGỌC QUANG</t>
  </si>
  <si>
    <t>311</t>
  </si>
  <si>
    <t>BIT230097</t>
  </si>
  <si>
    <t>HOÀNG XUÂN ĐỨC</t>
  </si>
  <si>
    <t>312</t>
  </si>
  <si>
    <t>BIT230269</t>
  </si>
  <si>
    <t>ĐỖ MẠNH MINH</t>
  </si>
  <si>
    <t>313</t>
  </si>
  <si>
    <t>BIT230044</t>
  </si>
  <si>
    <t>NGUYỄN NGỌC ÁNH</t>
  </si>
  <si>
    <t>314</t>
  </si>
  <si>
    <t>BJL230018</t>
  </si>
  <si>
    <t>NGUYỄN THỊ LAN HƯƠNG</t>
  </si>
  <si>
    <t>315</t>
  </si>
  <si>
    <t>BGD230037</t>
  </si>
  <si>
    <t>NGUYỄN HỒNG DIỆP</t>
  </si>
  <si>
    <t>316</t>
  </si>
  <si>
    <t>BBA230134</t>
  </si>
  <si>
    <t>NGUYỄN PHÚC HẢI</t>
  </si>
  <si>
    <t>317</t>
  </si>
  <si>
    <t>BGD230207</t>
  </si>
  <si>
    <t>LÊ KHÁNH TOÀN</t>
  </si>
  <si>
    <t>318</t>
  </si>
  <si>
    <t>319</t>
  </si>
  <si>
    <t>BIT230091</t>
  </si>
  <si>
    <t>NGUYỄN ĐỊNH</t>
  </si>
  <si>
    <t>320</t>
  </si>
  <si>
    <t>BBA230500</t>
  </si>
  <si>
    <t>LÊ TRẦN HẠ VY</t>
  </si>
  <si>
    <t>321</t>
  </si>
  <si>
    <t>BIT230252</t>
  </si>
  <si>
    <t>ĐỖ THỊ CHI MAI</t>
  </si>
  <si>
    <t>322</t>
  </si>
  <si>
    <t>BKL230151</t>
  </si>
  <si>
    <t>PHẠM THỊ MAI PHƯƠNG</t>
  </si>
  <si>
    <t>323</t>
  </si>
  <si>
    <t>BJL230035</t>
  </si>
  <si>
    <t>NGUYỄN TUYẾT NHUNG</t>
  </si>
  <si>
    <t>324</t>
  </si>
  <si>
    <t>BIT230215</t>
  </si>
  <si>
    <t>LÊ VÕ VIỆT KHÔI</t>
  </si>
  <si>
    <t>325</t>
  </si>
  <si>
    <t>BIT230326</t>
  </si>
  <si>
    <t>TRỊNH ĐỨC PHÚC</t>
  </si>
  <si>
    <t>326</t>
  </si>
  <si>
    <t>BIT230023</t>
  </si>
  <si>
    <t>ĐÀO NGUYÊN ANH</t>
  </si>
  <si>
    <t>327</t>
  </si>
  <si>
    <t>BIT230168</t>
  </si>
  <si>
    <t>LÂM VIỆT HOÀNG</t>
  </si>
  <si>
    <t>328</t>
  </si>
  <si>
    <t>BIT230334</t>
  </si>
  <si>
    <t>NGUYỄN ĐÔNG QUÂN</t>
  </si>
  <si>
    <t>329</t>
  </si>
  <si>
    <t>BJL230026</t>
  </si>
  <si>
    <t>NGUYỄN THỊ NGỌC LINH</t>
  </si>
  <si>
    <t>330</t>
  </si>
  <si>
    <t>BKL230132</t>
  </si>
  <si>
    <t>ĐÀO NGUYÊN NHẬT NAM</t>
  </si>
  <si>
    <t>331</t>
  </si>
  <si>
    <t>BCS230079</t>
  </si>
  <si>
    <t>VƯƠNG QUANG THẮNG</t>
  </si>
  <si>
    <t>332</t>
  </si>
  <si>
    <t>BBA230037</t>
  </si>
  <si>
    <t>TRẦN ĐỨC ANH</t>
  </si>
  <si>
    <t>333</t>
  </si>
  <si>
    <t>BKL230037</t>
  </si>
  <si>
    <t>LÊ THỊ THANH CHÚC</t>
  </si>
  <si>
    <t>334</t>
  </si>
  <si>
    <t>BKL230062</t>
  </si>
  <si>
    <t>TRẦN THỊ NGỌC HÂN</t>
  </si>
  <si>
    <t>335</t>
  </si>
  <si>
    <t>BBA230163</t>
  </si>
  <si>
    <t>NGUYỄN ĐỨC HÙNG</t>
  </si>
  <si>
    <t>336</t>
  </si>
  <si>
    <t>BIT230385</t>
  </si>
  <si>
    <t>BÙI TIẾN THÀNH</t>
  </si>
  <si>
    <t>337</t>
  </si>
  <si>
    <t>BCS230027</t>
  </si>
  <si>
    <t>LÊ ĐÌNH ANH ĐỨC</t>
  </si>
  <si>
    <t>338</t>
  </si>
  <si>
    <t>BBA230224</t>
  </si>
  <si>
    <t>NGUYỄN NGỌC LINH</t>
  </si>
  <si>
    <t>339</t>
  </si>
  <si>
    <t>340</t>
  </si>
  <si>
    <t>BBA230277</t>
  </si>
  <si>
    <t>LÂM VŨ MẠNH</t>
  </si>
  <si>
    <t>341</t>
  </si>
  <si>
    <t>BIT230322</t>
  </si>
  <si>
    <t>ĐỖ THỊ PHÚC</t>
  </si>
  <si>
    <t>342</t>
  </si>
  <si>
    <t>BIT230239</t>
  </si>
  <si>
    <t>PHẠM PHƯƠNG LINH</t>
  </si>
  <si>
    <t>343</t>
  </si>
  <si>
    <t>BCS230085</t>
  </si>
  <si>
    <t>PHẠM VIỆT TRINH</t>
  </si>
  <si>
    <t>344</t>
  </si>
  <si>
    <t>BJL230031</t>
  </si>
  <si>
    <t>HÀ MINH NGỌC</t>
  </si>
  <si>
    <t>345</t>
  </si>
  <si>
    <t>BBA230297</t>
  </si>
  <si>
    <t>NGUYỄN NGỌC NAM</t>
  </si>
  <si>
    <t>346</t>
  </si>
  <si>
    <t>BBA230469</t>
  </si>
  <si>
    <t>347</t>
  </si>
  <si>
    <t>BIT230149</t>
  </si>
  <si>
    <t>VŨ MINH HIỂN</t>
  </si>
  <si>
    <t>348</t>
  </si>
  <si>
    <t>BKL230192</t>
  </si>
  <si>
    <t>TẠ THÙY TRANG</t>
  </si>
  <si>
    <t>349</t>
  </si>
  <si>
    <t>BIT230055</t>
  </si>
  <si>
    <t>TRẦN THỊ MINH CHÂU</t>
  </si>
  <si>
    <t>350</t>
  </si>
  <si>
    <t>BIT230363</t>
  </si>
  <si>
    <t>NG JOHN SON</t>
  </si>
  <si>
    <t>28/08/2023</t>
  </si>
  <si>
    <t>351</t>
  </si>
  <si>
    <t>BBA230361</t>
  </si>
  <si>
    <t>NGUYỄN THỊ MINH PHƯƠNG</t>
  </si>
  <si>
    <t>352</t>
  </si>
  <si>
    <t>BIT230060</t>
  </si>
  <si>
    <t>NGUYỄN TIẾN CHƯƠNG</t>
  </si>
  <si>
    <t>353</t>
  </si>
  <si>
    <t>BCS230063</t>
  </si>
  <si>
    <t>LÊ HỮU NGHĨA</t>
  </si>
  <si>
    <t>354</t>
  </si>
  <si>
    <t>BGD230127</t>
  </si>
  <si>
    <t>355</t>
  </si>
  <si>
    <t>BKL230059</t>
  </si>
  <si>
    <t>NGUYỄN DIỆP MINH HÀ</t>
  </si>
  <si>
    <t>356</t>
  </si>
  <si>
    <t>BBA230456</t>
  </si>
  <si>
    <t>NGUYỄN ĐỨC TRUNG</t>
  </si>
  <si>
    <t>357</t>
  </si>
  <si>
    <t>BKL230049</t>
  </si>
  <si>
    <t>ĐINH THỊ DƯƠNG</t>
  </si>
  <si>
    <t>358</t>
  </si>
  <si>
    <t>BCS230023</t>
  </si>
  <si>
    <t>VƯƠNG TIẾN ĐẠT</t>
  </si>
  <si>
    <t>359</t>
  </si>
  <si>
    <t>BKL230050</t>
  </si>
  <si>
    <t>LÊ THÙY DƯƠNG</t>
  </si>
  <si>
    <t>360</t>
  </si>
  <si>
    <t>BIT230305</t>
  </si>
  <si>
    <t>361</t>
  </si>
  <si>
    <t>BGD230079</t>
  </si>
  <si>
    <t>NGUYỄN ĐÌNH HIẾU</t>
  </si>
  <si>
    <t>362</t>
  </si>
  <si>
    <t>BKL230156</t>
  </si>
  <si>
    <t>DƯƠNG THỊ PHƯƠNG</t>
  </si>
  <si>
    <t>363</t>
  </si>
  <si>
    <t>BGD230160</t>
  </si>
  <si>
    <t>NGUYỄN PHI NHI</t>
  </si>
  <si>
    <t>364</t>
  </si>
  <si>
    <t>BGD230186</t>
  </si>
  <si>
    <t>KHÚC THẾ TÀI</t>
  </si>
  <si>
    <t>365</t>
  </si>
  <si>
    <t>BIT230116</t>
  </si>
  <si>
    <t>PHẠM NGUYỄN TÙNG DƯƠNG</t>
  </si>
  <si>
    <t>366</t>
  </si>
  <si>
    <t>BKL230172</t>
  </si>
  <si>
    <t>NGUYỄN THỊ THU THẢO</t>
  </si>
  <si>
    <t>367</t>
  </si>
  <si>
    <t>BBA230064</t>
  </si>
  <si>
    <t>NGUYỄN LÊ BÌNH</t>
  </si>
  <si>
    <t>368</t>
  </si>
  <si>
    <t>BIT230175</t>
  </si>
  <si>
    <t>BÙI HUY HOÀNG</t>
  </si>
  <si>
    <t>369</t>
  </si>
  <si>
    <t>BKL230145</t>
  </si>
  <si>
    <t>NGUYỄN MINH NHẬT</t>
  </si>
  <si>
    <t>370</t>
  </si>
  <si>
    <t>BIT230286</t>
  </si>
  <si>
    <t>LÊ THỊ NGA</t>
  </si>
  <si>
    <t>371</t>
  </si>
  <si>
    <t>BIT230351</t>
  </si>
  <si>
    <t>NGUYỄN MẠNH QUANG</t>
  </si>
  <si>
    <t>372</t>
  </si>
  <si>
    <t>BIT230084</t>
  </si>
  <si>
    <t>VƯƠNG ĐÌNH ĐẠT</t>
  </si>
  <si>
    <t>373</t>
  </si>
  <si>
    <t>BIT230204</t>
  </si>
  <si>
    <t>VƯƠNG GIA HUY</t>
  </si>
  <si>
    <t>374</t>
  </si>
  <si>
    <t>BKL230007</t>
  </si>
  <si>
    <t>LÊ THÙY ANH</t>
  </si>
  <si>
    <t>375</t>
  </si>
  <si>
    <t>BKL230112</t>
  </si>
  <si>
    <t>NGUYỄN THỊ KHÁNH LINH</t>
  </si>
  <si>
    <t>376</t>
  </si>
  <si>
    <t>BKL230010</t>
  </si>
  <si>
    <t>NGUYỄN ĐỨC ANH</t>
  </si>
  <si>
    <t>377</t>
  </si>
  <si>
    <t>BKL230104</t>
  </si>
  <si>
    <t>NGUYỄN MỸ LINH</t>
  </si>
  <si>
    <t>378</t>
  </si>
  <si>
    <t>BCS230084</t>
  </si>
  <si>
    <t>VŨ LÊ TRÍ</t>
  </si>
  <si>
    <t>379</t>
  </si>
  <si>
    <t>BBA230228</t>
  </si>
  <si>
    <t>PHAN NHẬT LINH</t>
  </si>
  <si>
    <t>380</t>
  </si>
  <si>
    <t>BIT230010</t>
  </si>
  <si>
    <t>ĐINH HÙNG ANH</t>
  </si>
  <si>
    <t>381</t>
  </si>
  <si>
    <t>BIT230100</t>
  </si>
  <si>
    <t>ĐÀO MINH ĐỨC</t>
  </si>
  <si>
    <t>382</t>
  </si>
  <si>
    <t>BGD230104</t>
  </si>
  <si>
    <t>NGUYỄN MINH HUYỀN</t>
  </si>
  <si>
    <t>383</t>
  </si>
  <si>
    <t>BIT230361</t>
  </si>
  <si>
    <t>DƯ VĂN SANG</t>
  </si>
  <si>
    <t>384</t>
  </si>
  <si>
    <t>BIT230152</t>
  </si>
  <si>
    <t>LÊ MINH HIỆP</t>
  </si>
  <si>
    <t>385</t>
  </si>
  <si>
    <t>BIT230276</t>
  </si>
  <si>
    <t>ĐÀO QUÝ NAM</t>
  </si>
  <si>
    <t>386</t>
  </si>
  <si>
    <t>BIT230074</t>
  </si>
  <si>
    <t>PHẠM MINH ĐÀN</t>
  </si>
  <si>
    <t>387</t>
  </si>
  <si>
    <t>BBA230441</t>
  </si>
  <si>
    <t>TRẦN THỊ THU TRANG</t>
  </si>
  <si>
    <t>388</t>
  </si>
  <si>
    <t>BCS230032</t>
  </si>
  <si>
    <t>CHU THÙY DƯƠNG</t>
  </si>
  <si>
    <t>389</t>
  </si>
  <si>
    <t>BBA230103</t>
  </si>
  <si>
    <t>PHẠM TIẾN DŨNG</t>
  </si>
  <si>
    <t>390</t>
  </si>
  <si>
    <t>BGD230064</t>
  </si>
  <si>
    <t>PHẠM THANH HÀ</t>
  </si>
  <si>
    <t>391</t>
  </si>
  <si>
    <t>BCS230030</t>
  </si>
  <si>
    <t>PHẠM TUẤN DŨNG</t>
  </si>
  <si>
    <t>392</t>
  </si>
  <si>
    <t>BBA230191</t>
  </si>
  <si>
    <t>NGUYỄN DIỆU HUYỀN</t>
  </si>
  <si>
    <t>393</t>
  </si>
  <si>
    <t>BIT230333</t>
  </si>
  <si>
    <t>PHẠM NGỌC QUÂN</t>
  </si>
  <si>
    <t>394</t>
  </si>
  <si>
    <t>BBA230093</t>
  </si>
  <si>
    <t>MAI TRUNG ĐỨC</t>
  </si>
  <si>
    <t>395</t>
  </si>
  <si>
    <t>BKL230126</t>
  </si>
  <si>
    <t>LƯỜNG THỊ MAI</t>
  </si>
  <si>
    <t>396</t>
  </si>
  <si>
    <t>BIT230369</t>
  </si>
  <si>
    <t>VÕ NHẬT SƠN</t>
  </si>
  <si>
    <t>397</t>
  </si>
  <si>
    <t>BIT230362</t>
  </si>
  <si>
    <t>PHẠM NHI MINH SANG</t>
  </si>
  <si>
    <t>398</t>
  </si>
  <si>
    <t>BGD230202</t>
  </si>
  <si>
    <t>PHẠM THỊ NGỌC THƯ</t>
  </si>
  <si>
    <t>399</t>
  </si>
  <si>
    <t>BGD230049</t>
  </si>
  <si>
    <t>VŨ CẢNH DƯƠNG</t>
  </si>
  <si>
    <t>400</t>
  </si>
  <si>
    <t>BIT230399</t>
  </si>
  <si>
    <t>NGUYỄN ĐĂNG TOÀN</t>
  </si>
  <si>
    <t>401</t>
  </si>
  <si>
    <t>BBA230368</t>
  </si>
  <si>
    <t>ĐỖ HUY QUANG</t>
  </si>
  <si>
    <t>402</t>
  </si>
  <si>
    <t>BBA230281</t>
  </si>
  <si>
    <t>NGUYỄN ĐÌNH CÔNG MINH</t>
  </si>
  <si>
    <t>403</t>
  </si>
  <si>
    <t>BIT230218</t>
  </si>
  <si>
    <t>NGUYỄN HÀ KIÊN</t>
  </si>
  <si>
    <t>404</t>
  </si>
  <si>
    <t>BGD230172</t>
  </si>
  <si>
    <t>TRẦN THỊ PHƯƠNG</t>
  </si>
  <si>
    <t>405</t>
  </si>
  <si>
    <t>BIT230117</t>
  </si>
  <si>
    <t>TRẦN ĐĂNG DƯƠNG</t>
  </si>
  <si>
    <t>406</t>
  </si>
  <si>
    <t>BJL230020</t>
  </si>
  <si>
    <t>VŨ THIÊN HƯƠNG</t>
  </si>
  <si>
    <t>407</t>
  </si>
  <si>
    <t>BGD230032</t>
  </si>
  <si>
    <t>LÊ ĐẮC CHINH</t>
  </si>
  <si>
    <t>408</t>
  </si>
  <si>
    <t>BIT230262</t>
  </si>
  <si>
    <t>VŨ MINH</t>
  </si>
  <si>
    <t>409</t>
  </si>
  <si>
    <t>BKL230055</t>
  </si>
  <si>
    <t>410</t>
  </si>
  <si>
    <t>BIT230415</t>
  </si>
  <si>
    <t>LẠI VIẾT TRUNG</t>
  </si>
  <si>
    <t>411</t>
  </si>
  <si>
    <t>BGD230219</t>
  </si>
  <si>
    <t>PHẠM ANH TUẤN</t>
  </si>
  <si>
    <t>412</t>
  </si>
  <si>
    <t>BGD230010</t>
  </si>
  <si>
    <t>NGUYỄN THỊ PHƯƠNG ANH</t>
  </si>
  <si>
    <t>413</t>
  </si>
  <si>
    <t>BBA230463</t>
  </si>
  <si>
    <t>PHÙNG CẨM TÚ</t>
  </si>
  <si>
    <t>414</t>
  </si>
  <si>
    <t>BIT230053</t>
  </si>
  <si>
    <t>PHẠM NGỌC GIA BẢO</t>
  </si>
  <si>
    <t>415</t>
  </si>
  <si>
    <t>BGD230082</t>
  </si>
  <si>
    <t>NGUYỄN VĂN HOÀNG</t>
  </si>
  <si>
    <t>416</t>
  </si>
  <si>
    <t>BKL230016</t>
  </si>
  <si>
    <t>LÊ KIM ANH</t>
  </si>
  <si>
    <t>417</t>
  </si>
  <si>
    <t>BIT230291</t>
  </si>
  <si>
    <t>NGUYỄN THỊ BÍCH NGỌC</t>
  </si>
  <si>
    <t>418</t>
  </si>
  <si>
    <t>BKL230158</t>
  </si>
  <si>
    <t>NGUYÊN THỊ THU PHƯƠNG</t>
  </si>
  <si>
    <t>419</t>
  </si>
  <si>
    <t>BIT230347</t>
  </si>
  <si>
    <t>DƯƠNG VĂN QUANG</t>
  </si>
  <si>
    <t>420</t>
  </si>
  <si>
    <t>BCS230073</t>
  </si>
  <si>
    <t>NGUYỄN BÁ MINH QUANG</t>
  </si>
  <si>
    <t>421</t>
  </si>
  <si>
    <t>BIT230371</t>
  </si>
  <si>
    <t>VŨ VĂN TÀI</t>
  </si>
  <si>
    <t>422</t>
  </si>
  <si>
    <t>BCS230037</t>
  </si>
  <si>
    <t>LÊ MINH HOÀNG</t>
  </si>
  <si>
    <t>423</t>
  </si>
  <si>
    <t>BBA230144</t>
  </si>
  <si>
    <t>BÙI QUÝ HOÀNG HIỆP</t>
  </si>
  <si>
    <t>424</t>
  </si>
  <si>
    <t>BJL230040</t>
  </si>
  <si>
    <t>ĐẶNG THỊ THU THUỶ</t>
  </si>
  <si>
    <t>425</t>
  </si>
  <si>
    <t>Bba230052</t>
  </si>
  <si>
    <t>PHAN NGỌC ÁNH</t>
  </si>
  <si>
    <t>426</t>
  </si>
  <si>
    <t>BIT230289</t>
  </si>
  <si>
    <t>NGUYỄN HỒNG NGỌC</t>
  </si>
  <si>
    <t>427</t>
  </si>
  <si>
    <t>BIT230123</t>
  </si>
  <si>
    <t>ĐỖ HOÀNG DƯƠNG</t>
  </si>
  <si>
    <t>428</t>
  </si>
  <si>
    <t>BBA230459</t>
  </si>
  <si>
    <t>HÀ THÀNH TRUNG</t>
  </si>
  <si>
    <t>429</t>
  </si>
  <si>
    <t>430</t>
  </si>
  <si>
    <t>BBA230428</t>
  </si>
  <si>
    <t>PHAN THỊ THANH THỦY</t>
  </si>
  <si>
    <t>431</t>
  </si>
  <si>
    <t>432</t>
  </si>
  <si>
    <t>BBA230078</t>
  </si>
  <si>
    <t>TRẦN THỊ KIỀU CHINH</t>
  </si>
  <si>
    <t>433</t>
  </si>
  <si>
    <t>BBA230367</t>
  </si>
  <si>
    <t>NGUYỄN ANH QUÂN</t>
  </si>
  <si>
    <t>434</t>
  </si>
  <si>
    <t>BGD230034</t>
  </si>
  <si>
    <t>NGÔ MẠNH CƯỜNG</t>
  </si>
  <si>
    <t>435</t>
  </si>
  <si>
    <t>BCS230011</t>
  </si>
  <si>
    <t>436</t>
  </si>
  <si>
    <t>BIT230461</t>
  </si>
  <si>
    <t>TRẦN HOÀNG VŨ</t>
  </si>
  <si>
    <t>437</t>
  </si>
  <si>
    <t>BIT230007</t>
  </si>
  <si>
    <t>NGUYỄN HOÀNG ÂN</t>
  </si>
  <si>
    <t>438</t>
  </si>
  <si>
    <t>BKL230200</t>
  </si>
  <si>
    <t>LƯƠNG THỊ ÁNH TUYẾT</t>
  </si>
  <si>
    <t>439</t>
  </si>
  <si>
    <t>BIT230199</t>
  </si>
  <si>
    <t>NGUYỄN TIẾN HUY</t>
  </si>
  <si>
    <t>440</t>
  </si>
  <si>
    <t>441</t>
  </si>
  <si>
    <t>442</t>
  </si>
  <si>
    <t>BCS230043</t>
  </si>
  <si>
    <t>443</t>
  </si>
  <si>
    <t>BIT230444</t>
  </si>
  <si>
    <t>LƯƠNG THỊ YẾN VI</t>
  </si>
  <si>
    <t>444</t>
  </si>
  <si>
    <t>BGD230224</t>
  </si>
  <si>
    <t>NGUYỄN TIẾN ANH TÙNG</t>
  </si>
  <si>
    <t>445</t>
  </si>
  <si>
    <t>BKL230084</t>
  </si>
  <si>
    <t>PHẠM THỊ DIỄM HƯỜNG</t>
  </si>
  <si>
    <t>446</t>
  </si>
  <si>
    <t>BIT230395</t>
  </si>
  <si>
    <t>VŨ THỊ XUÂN THÙY</t>
  </si>
  <si>
    <t>447</t>
  </si>
  <si>
    <t>BCS230062</t>
  </si>
  <si>
    <t>NGUYỄN ĐỨC NAM</t>
  </si>
  <si>
    <t>448</t>
  </si>
  <si>
    <t>BBA230474</t>
  </si>
  <si>
    <t>ĐÀM KHÁNH TÙNG</t>
  </si>
  <si>
    <t>449</t>
  </si>
  <si>
    <t>BIT230414</t>
  </si>
  <si>
    <t>HOÀNG THANH TRÚC</t>
  </si>
  <si>
    <t>450</t>
  </si>
  <si>
    <t>BKL230169</t>
  </si>
  <si>
    <t>TẠ THỊ NGỌC THANH</t>
  </si>
  <si>
    <t>451</t>
  </si>
  <si>
    <t>BGD230012</t>
  </si>
  <si>
    <t>HOÀNG THỊ PHƯƠNG ANH</t>
  </si>
  <si>
    <t>452</t>
  </si>
  <si>
    <t>BGD230077</t>
  </si>
  <si>
    <t>ĐỖ MẠNH HIẾU</t>
  </si>
  <si>
    <t>453</t>
  </si>
  <si>
    <t>BIT230157</t>
  </si>
  <si>
    <t>BÙI QUANG HIẾU</t>
  </si>
  <si>
    <t>454</t>
  </si>
  <si>
    <t>BCS230024</t>
  </si>
  <si>
    <t>PHẠM KHẮC ĐÔ</t>
  </si>
  <si>
    <t>455</t>
  </si>
  <si>
    <t>456</t>
  </si>
  <si>
    <t>BIT230338</t>
  </si>
  <si>
    <t>ĐỖ MINH QUÂN</t>
  </si>
  <si>
    <t>457</t>
  </si>
  <si>
    <t>BGD230038</t>
  </si>
  <si>
    <t>ĐỒNG NGỌC DIỆP</t>
  </si>
  <si>
    <t>458</t>
  </si>
  <si>
    <t>BIT230075</t>
  </si>
  <si>
    <t>HÀ NGỌC HẢI ĐĂNG</t>
  </si>
  <si>
    <t>459</t>
  </si>
  <si>
    <t>BIT230407</t>
  </si>
  <si>
    <t>TRẦN VINH TRÍ</t>
  </si>
  <si>
    <t>460</t>
  </si>
  <si>
    <t>BBA230118</t>
  </si>
  <si>
    <t>PHẠM NGỌC DUY</t>
  </si>
  <si>
    <t>461</t>
  </si>
  <si>
    <t>BIT230245</t>
  </si>
  <si>
    <t>NGUYỄN THÀNH LONG</t>
  </si>
  <si>
    <t>462</t>
  </si>
  <si>
    <t>BGD230039</t>
  </si>
  <si>
    <t>LÊ PHƯƠNG ĐÔNG</t>
  </si>
  <si>
    <t>463</t>
  </si>
  <si>
    <t>BBA230436</t>
  </si>
  <si>
    <t>NGÔ ĐỨC TOÀN</t>
  </si>
  <si>
    <t>464</t>
  </si>
  <si>
    <t>BJL230012</t>
  </si>
  <si>
    <t>LÊ ÁNH DƯƠNG</t>
  </si>
  <si>
    <t>465</t>
  </si>
  <si>
    <t>BKL230183</t>
  </si>
  <si>
    <t>NGUYỄN THỊ MINH THƯ</t>
  </si>
  <si>
    <t>466</t>
  </si>
  <si>
    <t>BKL230155</t>
  </si>
  <si>
    <t>NGÔ THỊ PHƯƠNG</t>
  </si>
  <si>
    <t>467</t>
  </si>
  <si>
    <t>468</t>
  </si>
  <si>
    <t>BIT230284</t>
  </si>
  <si>
    <t>NGUYỄN THÀNH NAM</t>
  </si>
  <si>
    <t>469</t>
  </si>
  <si>
    <t>BGD230121</t>
  </si>
  <si>
    <t>NGUYỄN HUYỀN KHÁNH LINH</t>
  </si>
  <si>
    <t>470</t>
  </si>
  <si>
    <t>BBA230131</t>
  </si>
  <si>
    <t>NGUYỄN THỊ THANH HÀ</t>
  </si>
  <si>
    <t>471</t>
  </si>
  <si>
    <t>BIT230081</t>
  </si>
  <si>
    <t>ĐÀO TIẾN ĐẠT</t>
  </si>
  <si>
    <t>472</t>
  </si>
  <si>
    <t>BBA230011</t>
  </si>
  <si>
    <t>NGUYỄN NGỌC ANH</t>
  </si>
  <si>
    <t>473</t>
  </si>
  <si>
    <t>BIT230184</t>
  </si>
  <si>
    <t>BÙI DUY HÙNG</t>
  </si>
  <si>
    <t>474</t>
  </si>
  <si>
    <t>BIT230190</t>
  </si>
  <si>
    <t>HOÀNG MAI HƯƠNG</t>
  </si>
  <si>
    <t>475</t>
  </si>
  <si>
    <t>BIT230085</t>
  </si>
  <si>
    <t>NGUYỄN MINH ĐẠT</t>
  </si>
  <si>
    <t>476</t>
  </si>
  <si>
    <t>BIT230112</t>
  </si>
  <si>
    <t>VŨ QUANG DŨNG</t>
  </si>
  <si>
    <t>477</t>
  </si>
  <si>
    <t>BGD230036</t>
  </si>
  <si>
    <t>NGÔ HẢI ĐĂNG</t>
  </si>
  <si>
    <t>478</t>
  </si>
  <si>
    <t>BKL230180</t>
  </si>
  <si>
    <t>VŨ MINH THU</t>
  </si>
  <si>
    <t>479</t>
  </si>
  <si>
    <t>BCS230020</t>
  </si>
  <si>
    <t>LỤC TIẾN ĐẠT</t>
  </si>
  <si>
    <t>480</t>
  </si>
  <si>
    <t>BBA230023</t>
  </si>
  <si>
    <t>CÙ ĐỨC ANH</t>
  </si>
  <si>
    <t>481</t>
  </si>
  <si>
    <t>BBA230123</t>
  </si>
  <si>
    <t>NGUYỄN THỊ HÀ GIANG</t>
  </si>
  <si>
    <t>482</t>
  </si>
  <si>
    <t>BBA230423</t>
  </si>
  <si>
    <t>BÙI THỊ ANH THƯ</t>
  </si>
  <si>
    <t>483</t>
  </si>
  <si>
    <t>BCS230075</t>
  </si>
  <si>
    <t>NGUYỄN MINH QUYẾT</t>
  </si>
  <si>
    <t>484</t>
  </si>
  <si>
    <t>BGD230195</t>
  </si>
  <si>
    <t>NGUYỄN THỊ THANH THẢO</t>
  </si>
  <si>
    <t>485</t>
  </si>
  <si>
    <t>BBA230199</t>
  </si>
  <si>
    <t>NGUYỄN DUY MẠNH KHOA</t>
  </si>
  <si>
    <t>486</t>
  </si>
  <si>
    <t>BBA230149</t>
  </si>
  <si>
    <t>PHẠM TRẦN MAI HOA</t>
  </si>
  <si>
    <t>487</t>
  </si>
  <si>
    <t>BGD230030</t>
  </si>
  <si>
    <t>LÊ THANH CHÀ</t>
  </si>
  <si>
    <t>488</t>
  </si>
  <si>
    <t>BBA230255</t>
  </si>
  <si>
    <t>VŨ HOÀNG LONG</t>
  </si>
  <si>
    <t>489</t>
  </si>
  <si>
    <t>BIT230203</t>
  </si>
  <si>
    <t>NGUYỄN ĐỨC HUY</t>
  </si>
  <si>
    <t>490</t>
  </si>
  <si>
    <t>BBA230256</t>
  </si>
  <si>
    <t>TRẦN HỮU LỰC</t>
  </si>
  <si>
    <t>491</t>
  </si>
  <si>
    <t>BCS230038</t>
  </si>
  <si>
    <t>NGUYỄN MINH HOÀNG</t>
  </si>
  <si>
    <t>492</t>
  </si>
  <si>
    <t>BBA230107</t>
  </si>
  <si>
    <t>TRẦN ĐỨC DƯƠNG</t>
  </si>
  <si>
    <t>493</t>
  </si>
  <si>
    <t>BIT230094</t>
  </si>
  <si>
    <t>PHẠM GIA ĐỨC</t>
  </si>
  <si>
    <t>494</t>
  </si>
  <si>
    <t>BIT230367</t>
  </si>
  <si>
    <t>TRẦN PHẠM MINH SƠN</t>
  </si>
  <si>
    <t>495</t>
  </si>
  <si>
    <t>BKL230144</t>
  </si>
  <si>
    <t>BÙI THỊ HƯƠNG NHÀI</t>
  </si>
  <si>
    <t>496</t>
  </si>
  <si>
    <t>BJL230011</t>
  </si>
  <si>
    <t>TRỊNH HẢI DŨNG</t>
  </si>
  <si>
    <t>497</t>
  </si>
  <si>
    <t>BBA230003</t>
  </si>
  <si>
    <t>LÊ DUY AN</t>
  </si>
  <si>
    <t>498</t>
  </si>
  <si>
    <t>BBA230166</t>
  </si>
  <si>
    <t>NGUYỄN QUANG HƯNG</t>
  </si>
  <si>
    <t>499</t>
  </si>
  <si>
    <t>BIT230382</t>
  </si>
  <si>
    <t>NGUYỄN TRUNG THÀNH</t>
  </si>
  <si>
    <t>500</t>
  </si>
  <si>
    <t>BBA230403</t>
  </si>
  <si>
    <t>PHẠM NHẬT THÀNH</t>
  </si>
  <si>
    <t>501</t>
  </si>
  <si>
    <t>BGD230225</t>
  </si>
  <si>
    <t>ĐỖ VĂN TUYỂN</t>
  </si>
  <si>
    <t>502</t>
  </si>
  <si>
    <t>BIT230235</t>
  </si>
  <si>
    <t>NGUYỄN PHƯƠNG LINH</t>
  </si>
  <si>
    <t>503</t>
  </si>
  <si>
    <t>504</t>
  </si>
  <si>
    <t>BGD230009</t>
  </si>
  <si>
    <t>LÊ PHAN DIỆU ANH</t>
  </si>
  <si>
    <t>505</t>
  </si>
  <si>
    <t>BIT230364</t>
  </si>
  <si>
    <t>NGUYỄN HOÀNG SƠN</t>
  </si>
  <si>
    <t>506</t>
  </si>
  <si>
    <t>BBA230512</t>
  </si>
  <si>
    <t>NGUYỄN NGỌC YẾN</t>
  </si>
  <si>
    <t>507</t>
  </si>
  <si>
    <t>BBA230465</t>
  </si>
  <si>
    <t>NGÔ ĐỨC TÚ</t>
  </si>
  <si>
    <t>508</t>
  </si>
  <si>
    <t>BIT230126</t>
  </si>
  <si>
    <t>NGUYỄN KHƯƠNG DUY</t>
  </si>
  <si>
    <t>509</t>
  </si>
  <si>
    <t>BIT230310</t>
  </si>
  <si>
    <t>NGUYỄN TẤN PHÁT</t>
  </si>
  <si>
    <t>510</t>
  </si>
  <si>
    <t>BCS230074</t>
  </si>
  <si>
    <t>VŨ TRỌNG QUÝ</t>
  </si>
  <si>
    <t>511</t>
  </si>
  <si>
    <t>BBA230351</t>
  </si>
  <si>
    <t>NGUYỄN BẢO PHƯƠNG</t>
  </si>
  <si>
    <t>512</t>
  </si>
  <si>
    <t>BJL230016</t>
  </si>
  <si>
    <t>LÊ THỊ HỒNG</t>
  </si>
  <si>
    <t>513</t>
  </si>
  <si>
    <t>BJL230019</t>
  </si>
  <si>
    <t>TRẦN THỊ THU HƯƠNG</t>
  </si>
  <si>
    <t>514</t>
  </si>
  <si>
    <t>BGD230067</t>
  </si>
  <si>
    <t>BÙI NGUYỄN HOÀNG HÀ</t>
  </si>
  <si>
    <t>515</t>
  </si>
  <si>
    <t>BIT230250</t>
  </si>
  <si>
    <t>ĐẶNG TRỌNG LƯƠNG</t>
  </si>
  <si>
    <t>516</t>
  </si>
  <si>
    <t>BKL230075</t>
  </si>
  <si>
    <t>NGUYỄN THỊ MAI HOA</t>
  </si>
  <si>
    <t>517</t>
  </si>
  <si>
    <t>BBA230137</t>
  </si>
  <si>
    <t>NGÔ THỊ THANH HẰNG</t>
  </si>
  <si>
    <t>518</t>
  </si>
  <si>
    <t>BIT230028</t>
  </si>
  <si>
    <t>519</t>
  </si>
  <si>
    <t>BIT230049</t>
  </si>
  <si>
    <t>NGUYỄN HƯNG BÁCH</t>
  </si>
  <si>
    <t>520</t>
  </si>
  <si>
    <t>BIT230111</t>
  </si>
  <si>
    <t>PHAN TIẾN DŨNG</t>
  </si>
  <si>
    <t>521</t>
  </si>
  <si>
    <t>BIT230422</t>
  </si>
  <si>
    <t>LÊ QUANG TRƯỜNG</t>
  </si>
  <si>
    <t>522</t>
  </si>
  <si>
    <t>BGD230235</t>
  </si>
  <si>
    <t>NÔNG THỊ YẾN VY</t>
  </si>
  <si>
    <t>523</t>
  </si>
  <si>
    <t>BIT230187</t>
  </si>
  <si>
    <t>NGUYỄN LƯU HƯNG</t>
  </si>
  <si>
    <t>524</t>
  </si>
  <si>
    <t>BGD230145</t>
  </si>
  <si>
    <t>TRẦN BẢO NGUYỆT MINH</t>
  </si>
  <si>
    <t>525</t>
  </si>
  <si>
    <t>BBA230332</t>
  </si>
  <si>
    <t>ĐOÀN YẾN NHI</t>
  </si>
  <si>
    <t>526</t>
  </si>
  <si>
    <t>BIT230434</t>
  </si>
  <si>
    <t>MAI THANH TÙNG</t>
  </si>
  <si>
    <t>527</t>
  </si>
  <si>
    <t>BIT230162</t>
  </si>
  <si>
    <t>VŨ VIỆT HÒA</t>
  </si>
  <si>
    <t>528</t>
  </si>
  <si>
    <t>BKL230011</t>
  </si>
  <si>
    <t>DOÃN VÂN ANH</t>
  </si>
  <si>
    <t>529</t>
  </si>
  <si>
    <t>BIT230077</t>
  </si>
  <si>
    <t>GIANG HẢI ĐĂNG</t>
  </si>
  <si>
    <t>530</t>
  </si>
  <si>
    <t>BJL230017</t>
  </si>
  <si>
    <t>NGUYỄN VIỆT HƯNG</t>
  </si>
  <si>
    <t>531</t>
  </si>
  <si>
    <t>BIT230092</t>
  </si>
  <si>
    <t>PHẠM BÌNH ĐỊNH</t>
  </si>
  <si>
    <t>532</t>
  </si>
  <si>
    <t>BBA230001</t>
  </si>
  <si>
    <t>TÁ THÁI AN</t>
  </si>
  <si>
    <t>533</t>
  </si>
  <si>
    <t>BIT230153</t>
  </si>
  <si>
    <t>PHẠM XUÂN HIẾU</t>
  </si>
  <si>
    <t>534</t>
  </si>
  <si>
    <t>BBA230406</t>
  </si>
  <si>
    <t>NGUYỄN THANH THẢO</t>
  </si>
  <si>
    <t>535</t>
  </si>
  <si>
    <t>BIT230323</t>
  </si>
  <si>
    <t>HOÀNG VĂN PHÚC</t>
  </si>
  <si>
    <t>536</t>
  </si>
  <si>
    <t>BIT230192</t>
  </si>
  <si>
    <t>TRẦN THỊ HƯỜNG</t>
  </si>
  <si>
    <t>537</t>
  </si>
  <si>
    <t>BIT230148</t>
  </si>
  <si>
    <t>NGUYỄN THU HIỀN</t>
  </si>
  <si>
    <t>538</t>
  </si>
  <si>
    <t>BIT230006</t>
  </si>
  <si>
    <t>ĐỖ XUÂN KHÁNH AN</t>
  </si>
  <si>
    <t>539</t>
  </si>
  <si>
    <t>BIT230156</t>
  </si>
  <si>
    <t>BÙI QUANG TRUNG HIẾU</t>
  </si>
  <si>
    <t>540</t>
  </si>
  <si>
    <t>BIT230027</t>
  </si>
  <si>
    <t>541</t>
  </si>
  <si>
    <t>BKL230006</t>
  </si>
  <si>
    <t>ĐOÀN THỊ HÀ ANH</t>
  </si>
  <si>
    <t>542</t>
  </si>
  <si>
    <t>543</t>
  </si>
  <si>
    <t>BGD230088</t>
  </si>
  <si>
    <t>PHƯƠNG CÔNG HÙNG</t>
  </si>
  <si>
    <t>544</t>
  </si>
  <si>
    <t>BIT230280</t>
  </si>
  <si>
    <t>ĐỖ LÝ HOÀNG NAM</t>
  </si>
  <si>
    <t>545</t>
  </si>
  <si>
    <t>BCS230091</t>
  </si>
  <si>
    <t>PHẠM THANH TÙNG</t>
  </si>
  <si>
    <t>546</t>
  </si>
  <si>
    <t>BIT230206</t>
  </si>
  <si>
    <t>TRẦN THỊ NGỌC HUYỀN</t>
  </si>
  <si>
    <t>547</t>
  </si>
  <si>
    <t>BIT230263</t>
  </si>
  <si>
    <t>PHẠM QUANG MINH</t>
  </si>
  <si>
    <t>548</t>
  </si>
  <si>
    <t>BIT230288</t>
  </si>
  <si>
    <t>BÙI TRỌNG NGHĨA</t>
  </si>
  <si>
    <t>549</t>
  </si>
  <si>
    <t>BCS230017</t>
  </si>
  <si>
    <t>VŨ MẠNH CƯỜNG</t>
  </si>
  <si>
    <t>550</t>
  </si>
  <si>
    <t>BBA230110</t>
  </si>
  <si>
    <t>NGUYỄN HỮU DƯƠNG</t>
  </si>
  <si>
    <t>551</t>
  </si>
  <si>
    <t>BBA230468</t>
  </si>
  <si>
    <t>NGUYỄN ANH TUẤN</t>
  </si>
  <si>
    <t>552</t>
  </si>
  <si>
    <t>BGD230018</t>
  </si>
  <si>
    <t>HOÀNG PHƯƠNG ANH</t>
  </si>
  <si>
    <t>553</t>
  </si>
  <si>
    <t>BGD230188</t>
  </si>
  <si>
    <t>NGUYỄN DOÃN TÀI</t>
  </si>
  <si>
    <t>554</t>
  </si>
  <si>
    <t>BKL230178</t>
  </si>
  <si>
    <t>VŨ THỊ KIM THOA</t>
  </si>
  <si>
    <t>555</t>
  </si>
  <si>
    <t>BBA230117</t>
  </si>
  <si>
    <t>PHẠM QUỐC DUY</t>
  </si>
  <si>
    <t>556</t>
  </si>
  <si>
    <t>BIT230270</t>
  </si>
  <si>
    <t>NGUYỄN KHOA MINH</t>
  </si>
  <si>
    <t>557</t>
  </si>
  <si>
    <t>BIT230122</t>
  </si>
  <si>
    <t>ĐINH NGUYỄN HOÀNG DƯƠNG</t>
  </si>
  <si>
    <t>558</t>
  </si>
  <si>
    <t>BIT230271</t>
  </si>
  <si>
    <t>DƯƠNG CAO MINH</t>
  </si>
  <si>
    <t>559</t>
  </si>
  <si>
    <t>BBA230250</t>
  </si>
  <si>
    <t>PHẠM GIA LONG</t>
  </si>
  <si>
    <t>560</t>
  </si>
  <si>
    <t>BCS230021</t>
  </si>
  <si>
    <t>PHẠM TIẾN ĐẠT</t>
  </si>
  <si>
    <t>561</t>
  </si>
  <si>
    <t>BCS230076</t>
  </si>
  <si>
    <t>NGUYỄN THỊ QUỲNH</t>
  </si>
  <si>
    <t>562</t>
  </si>
  <si>
    <t>BBA230314</t>
  </si>
  <si>
    <t>HỒ THỊ NHƯ NGỌC</t>
  </si>
  <si>
    <t>563</t>
  </si>
  <si>
    <t>BKL230182</t>
  </si>
  <si>
    <t>NGUYỄN ANH THƯ</t>
  </si>
  <si>
    <t>564</t>
  </si>
  <si>
    <t>BGD230166</t>
  </si>
  <si>
    <t>NGUYỄN QUỐC OAI</t>
  </si>
  <si>
    <t>565</t>
  </si>
  <si>
    <t>BIT230043</t>
  </si>
  <si>
    <t>ĐOÀN THỊ NGỌC ÁNH</t>
  </si>
  <si>
    <t>566</t>
  </si>
  <si>
    <t>BJL230039</t>
  </si>
  <si>
    <t>567</t>
  </si>
  <si>
    <t>BIT230061</t>
  </si>
  <si>
    <t>TRẦN PHÚC CÔNG</t>
  </si>
  <si>
    <t>568</t>
  </si>
  <si>
    <t>BCS230034</t>
  </si>
  <si>
    <t>NGUYỄN LÊ THÙY DƯƠNG</t>
  </si>
  <si>
    <t>569</t>
  </si>
  <si>
    <t>BIT230272</t>
  </si>
  <si>
    <t>VŨ THẾ NAM</t>
  </si>
  <si>
    <t>570</t>
  </si>
  <si>
    <t>BIT230314</t>
  </si>
  <si>
    <t>HOÀNG THẾ PHONG</t>
  </si>
  <si>
    <t>571</t>
  </si>
  <si>
    <t>BIT230188</t>
  </si>
  <si>
    <t>572</t>
  </si>
  <si>
    <t>BIT230170</t>
  </si>
  <si>
    <t>PHAN ANH HOÀNG</t>
  </si>
  <si>
    <t>573</t>
  </si>
  <si>
    <t>BBA230398</t>
  </si>
  <si>
    <t>NGUYỄN TIẾN THÀNH</t>
  </si>
  <si>
    <t>574</t>
  </si>
  <si>
    <t>BBA230060</t>
  </si>
  <si>
    <t>ĐINH QUỐC BẢO</t>
  </si>
  <si>
    <t>575</t>
  </si>
  <si>
    <t>BBA230426</t>
  </si>
  <si>
    <t>HOÀNG HUY THƯỢNG</t>
  </si>
  <si>
    <t>576</t>
  </si>
  <si>
    <t>BIT230267</t>
  </si>
  <si>
    <t>TẠ QUANG MINH</t>
  </si>
  <si>
    <t>577</t>
  </si>
  <si>
    <t>BIT230130</t>
  </si>
  <si>
    <t>NGUYỄN HẢI DUY</t>
  </si>
  <si>
    <t>578</t>
  </si>
  <si>
    <t>BKL230043</t>
  </si>
  <si>
    <t>HOÀNG PHƯƠNG DIỄM</t>
  </si>
  <si>
    <t>579</t>
  </si>
  <si>
    <t>BIT230383</t>
  </si>
  <si>
    <t>TÔ TRƯỜNG THÀNH</t>
  </si>
  <si>
    <t>580</t>
  </si>
  <si>
    <t>BIT230096</t>
  </si>
  <si>
    <t>NGUYỄN TRUNG ĐỨC</t>
  </si>
  <si>
    <t>581</t>
  </si>
  <si>
    <t>BIT230381</t>
  </si>
  <si>
    <t>PHẠM TIẾN THÀNH</t>
  </si>
  <si>
    <t>582</t>
  </si>
  <si>
    <t>BBA230514</t>
  </si>
  <si>
    <t>NGUYỄN THỊ HẢI YẾN</t>
  </si>
  <si>
    <t>583</t>
  </si>
  <si>
    <t>BGD230184</t>
  </si>
  <si>
    <t>NGUYỄN PHẠM THƯƠNG QUỲNH</t>
  </si>
  <si>
    <t>584</t>
  </si>
  <si>
    <t>BIT230332</t>
  </si>
  <si>
    <t>LÊ TÙNG QUÂN</t>
  </si>
  <si>
    <t>585</t>
  </si>
  <si>
    <t>BIT230368</t>
  </si>
  <si>
    <t>PHẠM HOÀNG SƠN</t>
  </si>
  <si>
    <t>586</t>
  </si>
  <si>
    <t>BKL230208</t>
  </si>
  <si>
    <t>VŨ PHƯƠNG THẢO</t>
  </si>
  <si>
    <t>587</t>
  </si>
  <si>
    <t>BIT230198</t>
  </si>
  <si>
    <t>29/08/2023</t>
  </si>
  <si>
    <t>588</t>
  </si>
  <si>
    <t>BGD230116</t>
  </si>
  <si>
    <t>LƯƠNG VŨ NGỌC KHUÊ</t>
  </si>
  <si>
    <t>589</t>
  </si>
  <si>
    <t>BCS230003</t>
  </si>
  <si>
    <t>HÀ VŨ ANH</t>
  </si>
  <si>
    <t>590</t>
  </si>
  <si>
    <t>BIT230418</t>
  </si>
  <si>
    <t>NGUYỄN THẾ TRUNG</t>
  </si>
  <si>
    <t>591</t>
  </si>
  <si>
    <t>BBA230065</t>
  </si>
  <si>
    <t>NGUYỄN THANH BÌNH</t>
  </si>
  <si>
    <t>592</t>
  </si>
  <si>
    <t>BIT230396</t>
  </si>
  <si>
    <t>LÊ TUẤN TIẾN</t>
  </si>
  <si>
    <t>593</t>
  </si>
  <si>
    <t>BCS230098</t>
  </si>
  <si>
    <t>ĐẬU QUANG Ý</t>
  </si>
  <si>
    <t>594</t>
  </si>
  <si>
    <t>BIT230178</t>
  </si>
  <si>
    <t>595</t>
  </si>
  <si>
    <t>BBA230147</t>
  </si>
  <si>
    <t>NGUYỄN VIẾT DUY HIẾU</t>
  </si>
  <si>
    <t>596</t>
  </si>
  <si>
    <t>BIT230420</t>
  </si>
  <si>
    <t>NGUYỄN MẠNH TRƯỜNG</t>
  </si>
  <si>
    <t>597</t>
  </si>
  <si>
    <t>BIT230325</t>
  </si>
  <si>
    <t>NGÔ HOÀNG PHÚC</t>
  </si>
  <si>
    <t>598</t>
  </si>
  <si>
    <t>BIT230208</t>
  </si>
  <si>
    <t>NGUYỄN MINH KHÁNH</t>
  </si>
  <si>
    <t>599</t>
  </si>
  <si>
    <t>BIT230370</t>
  </si>
  <si>
    <t>NGUYỄN TIẾN SỸ</t>
  </si>
  <si>
    <t>600</t>
  </si>
  <si>
    <t>BIT230051</t>
  </si>
  <si>
    <t>PHẠM GIA BẢO</t>
  </si>
  <si>
    <t>601</t>
  </si>
  <si>
    <t>BCS230058</t>
  </si>
  <si>
    <t>602</t>
  </si>
  <si>
    <t>bcs230008</t>
  </si>
  <si>
    <t>NGUYỄN TUẤN ANH</t>
  </si>
  <si>
    <t>603</t>
  </si>
  <si>
    <t>Bit230455</t>
  </si>
  <si>
    <t>NGUYỄN THÀNH VINH</t>
  </si>
  <si>
    <t>604</t>
  </si>
  <si>
    <t>BIT230273</t>
  </si>
  <si>
    <t>DƯƠNG HOÀNG NAM</t>
  </si>
  <si>
    <t>605</t>
  </si>
  <si>
    <t>BKL230022</t>
  </si>
  <si>
    <t>ĐỖ THỊ MINH ÁNH</t>
  </si>
  <si>
    <t>606</t>
  </si>
  <si>
    <t>BIT230345</t>
  </si>
  <si>
    <t>BÙI ĐĂNG QUANG</t>
  </si>
  <si>
    <t>607</t>
  </si>
  <si>
    <t>BIT230244</t>
  </si>
  <si>
    <t>NGÔ QUÝ LONG</t>
  </si>
  <si>
    <t>608</t>
  </si>
  <si>
    <t>BCS230013</t>
  </si>
  <si>
    <t>PHÙNG PHẠM GIA BẢO</t>
  </si>
  <si>
    <t>609</t>
  </si>
  <si>
    <t>BGD230140</t>
  </si>
  <si>
    <t>VŨ NGỌC MAI</t>
  </si>
  <si>
    <t>610</t>
  </si>
  <si>
    <t>BCS230064</t>
  </si>
  <si>
    <t>NGUYỄN THỊ NGỌC</t>
  </si>
  <si>
    <t>611</t>
  </si>
  <si>
    <t>BBA230491</t>
  </si>
  <si>
    <t>NGÔ TIẾN VINH</t>
  </si>
  <si>
    <t>612</t>
  </si>
  <si>
    <t>BIT230299</t>
  </si>
  <si>
    <t>NGUYỄN VĂN NHẤT</t>
  </si>
  <si>
    <t>613</t>
  </si>
  <si>
    <t>BIT230468</t>
  </si>
  <si>
    <t>HOÀNG ANH TUẤN</t>
  </si>
  <si>
    <t>614</t>
  </si>
  <si>
    <t>BIT230078</t>
  </si>
  <si>
    <t>BÙI HẢI ĐĂNG</t>
  </si>
  <si>
    <t>615</t>
  </si>
  <si>
    <t>BIT230118</t>
  </si>
  <si>
    <t>PHẠM THỊ THUỲ DƯƠNG</t>
  </si>
  <si>
    <t>616</t>
  </si>
  <si>
    <t>BIT230106</t>
  </si>
  <si>
    <t>KHUẤT QUANG ĐỨC</t>
  </si>
  <si>
    <t>617</t>
  </si>
  <si>
    <t>BCS230080</t>
  </si>
  <si>
    <t>PHẠM NHƯ THẮNG</t>
  </si>
  <si>
    <t>618</t>
  </si>
  <si>
    <t>BBA230464</t>
  </si>
  <si>
    <t>NGUYỄN PHÚ ANH TÚ</t>
  </si>
  <si>
    <t>619</t>
  </si>
  <si>
    <t>BCS230031</t>
  </si>
  <si>
    <t>620</t>
  </si>
  <si>
    <t>BIT230448</t>
  </si>
  <si>
    <t>ĐINH QUỐC VIỆT</t>
  </si>
  <si>
    <t>621</t>
  </si>
  <si>
    <t>BIT230339</t>
  </si>
  <si>
    <t>PHẠM MINH QUÂN</t>
  </si>
  <si>
    <t>622</t>
  </si>
  <si>
    <t>BIT230200</t>
  </si>
  <si>
    <t>NGUYỄN MẠNH HUY</t>
  </si>
  <si>
    <t>623</t>
  </si>
  <si>
    <t>BIT230002</t>
  </si>
  <si>
    <t>BẠCH KHÁNH AN</t>
  </si>
  <si>
    <t>624</t>
  </si>
  <si>
    <t>BBA230475</t>
  </si>
  <si>
    <t>PHẠM MINH TÙNG</t>
  </si>
  <si>
    <t>625</t>
  </si>
  <si>
    <t>BIT230304</t>
  </si>
  <si>
    <t>NGUYỄN TRÍ NHƯ</t>
  </si>
  <si>
    <t>626</t>
  </si>
  <si>
    <t>BIT230101</t>
  </si>
  <si>
    <t>627</t>
  </si>
  <si>
    <t>Bit230226</t>
  </si>
  <si>
    <t>DƯƠNG TÙNG LÂM</t>
  </si>
  <si>
    <t>628</t>
  </si>
  <si>
    <t>BIT230146</t>
  </si>
  <si>
    <t>NGUYỄN ANH HÀO</t>
  </si>
  <si>
    <t>629</t>
  </si>
  <si>
    <t>BCS230018</t>
  </si>
  <si>
    <t>DƯƠNG GIA ĐẮC</t>
  </si>
  <si>
    <t>630</t>
  </si>
  <si>
    <t>BCS230069</t>
  </si>
  <si>
    <t>HÀ THỊ THU PHƯƠNG</t>
  </si>
  <si>
    <t>631</t>
  </si>
  <si>
    <t>BIT230018</t>
  </si>
  <si>
    <t>PHAN HOÀNG ANH</t>
  </si>
  <si>
    <t>632</t>
  </si>
  <si>
    <t>BIT230438</t>
  </si>
  <si>
    <t>NGUYỄN DUY TÙNG</t>
  </si>
  <si>
    <t>633</t>
  </si>
  <si>
    <t>BKL230032</t>
  </si>
  <si>
    <t>NGUYỄN THỊ GIANG CHÂU</t>
  </si>
  <si>
    <t>634</t>
  </si>
  <si>
    <t>BIT230019</t>
  </si>
  <si>
    <t>NGUYỄN BÁ DUY ANH</t>
  </si>
  <si>
    <t>635</t>
  </si>
  <si>
    <t>BIT230132</t>
  </si>
  <si>
    <t>NGUYỄN VĂN GIANG</t>
  </si>
  <si>
    <t>636</t>
  </si>
  <si>
    <t>BIT230409</t>
  </si>
  <si>
    <t>NGUYỄN ĐẮC TRIỀU</t>
  </si>
  <si>
    <t>637</t>
  </si>
  <si>
    <t>BIT230082</t>
  </si>
  <si>
    <t>LÊ TIẾN ĐẠT</t>
  </si>
  <si>
    <t>638</t>
  </si>
  <si>
    <t>639</t>
  </si>
  <si>
    <t>640</t>
  </si>
  <si>
    <t>BIT230067</t>
  </si>
  <si>
    <t>NGUYỄN NGỌC CƯỜNG</t>
  </si>
  <si>
    <t>641</t>
  </si>
  <si>
    <t>BIT230128</t>
  </si>
  <si>
    <t>642</t>
  </si>
  <si>
    <t>BIT230378</t>
  </si>
  <si>
    <t>LÊ CÔNG TÔN THẮNG</t>
  </si>
  <si>
    <t>643</t>
  </si>
  <si>
    <t>BIT230319</t>
  </si>
  <si>
    <t>TRẦN GIA PHÚC</t>
  </si>
  <si>
    <t>644</t>
  </si>
  <si>
    <t>BCS230093</t>
  </si>
  <si>
    <t>NGUYỄN ĐÌNH QUANG VINH</t>
  </si>
  <si>
    <t>645</t>
  </si>
  <si>
    <t>BIT230003</t>
  </si>
  <si>
    <t>ĐẶNG QUANG AN</t>
  </si>
  <si>
    <t>646</t>
  </si>
  <si>
    <t>BCS230094</t>
  </si>
  <si>
    <t>VŨ ĐÌNH ANH VŨ</t>
  </si>
  <si>
    <t>647</t>
  </si>
  <si>
    <t>BCS230015</t>
  </si>
  <si>
    <t>NGUYỄN CÔNG BÌNH</t>
  </si>
  <si>
    <t>648</t>
  </si>
  <si>
    <t>BBA230391</t>
  </si>
  <si>
    <t>CAO ĐỨC SỸ</t>
  </si>
  <si>
    <t>651</t>
  </si>
  <si>
    <t>BIT230404</t>
  </si>
  <si>
    <t>NGUYỄN THU TRANG</t>
  </si>
  <si>
    <t>652</t>
  </si>
  <si>
    <t>BBA230188</t>
  </si>
  <si>
    <t>NGUYỄN NGỌC HUYỀN</t>
  </si>
  <si>
    <t>653</t>
  </si>
  <si>
    <t>BCS230022</t>
  </si>
  <si>
    <t>CHU VĂN ĐẠT</t>
  </si>
  <si>
    <t>672</t>
  </si>
  <si>
    <t>BIT230039</t>
  </si>
  <si>
    <t>NGUYỄN ĐÌNH ANH</t>
  </si>
  <si>
    <t>673</t>
  </si>
  <si>
    <t>BCS230050</t>
  </si>
  <si>
    <t>NGUYỄN TÙNG LÂM</t>
  </si>
  <si>
    <t>676</t>
  </si>
  <si>
    <t>BGD230001</t>
  </si>
  <si>
    <t>PHẠM MINH AN</t>
  </si>
  <si>
    <t>677</t>
  </si>
  <si>
    <t>BIT230025</t>
  </si>
  <si>
    <t>LÊ ĐỨC ANH</t>
  </si>
  <si>
    <t>678</t>
  </si>
  <si>
    <t>BIT230124</t>
  </si>
  <si>
    <t>NGUYỄN LÊ DƯƠNG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</si>
  <si>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</si>
  <si>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</si>
  <si>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</si>
  <si>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</si>
  <si>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</si>
  <si>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</si>
  <si>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</si>
  <si>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</si>
  <si>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</si>
  <si>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</si>
  <si>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</si>
  <si>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</si>
  <si>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711</t>
  </si>
  <si>
    <t>712</t>
  </si>
  <si>
    <t>713</t>
  </si>
  <si>
    <t>714</t>
  </si>
  <si>
    <t>715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</si>
  <si>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</si>
  <si>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</si>
  <si>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</si>
  <si>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</si>
  <si>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</si>
  <si>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</si>
  <si>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</si>
  <si>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</si>
  <si>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</si>
  <si>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</si>
  <si>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</si>
  <si>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</si>
  <si>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</si>
  <si>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</si>
  <si>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</si>
  <si>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</si>
  <si>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</si>
  <si>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</si>
  <si>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</si>
  <si>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</si>
  <si>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</si>
  <si>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</si>
  <si>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</si>
  <si>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</si>
  <si>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</si>
  <si>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</si>
  <si>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</si>
  <si>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</si>
  <si>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</si>
  <si>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</si>
  <si>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</si>
  <si>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</si>
  <si>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</si>
  <si>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</si>
  <si>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</si>
  <si>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</si>
  <si>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</si>
  <si>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</si>
  <si>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</si>
  <si>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</si>
  <si>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</si>
  <si>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</si>
  <si>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</si>
  <si>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</si>
  <si>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</si>
  <si>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</si>
  <si>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</si>
  <si>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</si>
  <si>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</si>
  <si>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</si>
  <si>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</si>
  <si>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</si>
  <si>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</si>
  <si>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</si>
  <si>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</si>
  <si>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</si>
  <si>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</si>
  <si>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</si>
  <si>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</si>
  <si>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</si>
  <si>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</si>
  <si>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</si>
  <si>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</si>
  <si>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</si>
  <si>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</si>
  <si>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</si>
  <si>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</si>
  <si>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</si>
  <si>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</si>
  <si>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</si>
  <si>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</si>
  <si>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</si>
  <si>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</si>
  <si>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</si>
  <si>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</si>
  <si>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id</t>
  </si>
  <si>
    <t>maso</t>
  </si>
  <si>
    <t>NGAYNOP</t>
  </si>
  <si>
    <t>SOLAN</t>
  </si>
  <si>
    <t>HOTEN</t>
  </si>
  <si>
    <t>27</t>
  </si>
  <si>
    <t>28</t>
  </si>
  <si>
    <t>52</t>
  </si>
  <si>
    <t>54</t>
  </si>
  <si>
    <t>119</t>
  </si>
  <si>
    <t>122</t>
  </si>
  <si>
    <t>138</t>
  </si>
  <si>
    <t>142</t>
  </si>
  <si>
    <t>200</t>
  </si>
  <si>
    <t>205</t>
  </si>
  <si>
    <t>649</t>
  </si>
  <si>
    <t>650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</si>
  <si>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</si>
  <si>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</si>
  <si>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</si>
  <si>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</si>
  <si>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</si>
  <si>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</si>
  <si>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</si>
  <si>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</si>
  <si>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</si>
  <si>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</si>
  <si>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</si>
  <si>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</si>
  <si>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</si>
  <si>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</si>
  <si>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</si>
  <si>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</si>
  <si>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</si>
  <si>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</si>
  <si>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674</t>
  </si>
  <si>
    <t>675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</si>
  <si>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</si>
  <si>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</si>
  <si>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</si>
  <si>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</si>
  <si>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</si>
  <si>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</si>
  <si>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</si>
  <si>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</si>
  <si>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</si>
  <si>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</si>
  <si>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</si>
  <si>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</si>
  <si>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</si>
  <si>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</si>
  <si>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</si>
  <si>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</si>
  <si>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</si>
  <si>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</si>
  <si>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</si>
  <si>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710</t>
  </si>
  <si>
    <t>716</t>
  </si>
  <si>
    <t>737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</si>
  <si>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</si>
  <si>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</si>
  <si>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</si>
  <si>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</si>
  <si>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</si>
  <si>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</si>
  <si>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</si>
  <si>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</si>
  <si>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</si>
  <si>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</si>
  <si>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</si>
  <si>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</si>
  <si>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</si>
  <si>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</si>
  <si>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</si>
  <si>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</si>
  <si>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</si>
  <si>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</si>
  <si>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</si>
  <si>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</si>
  <si>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</si>
  <si>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</si>
  <si>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</si>
  <si>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</si>
  <si>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</si>
  <si>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</si>
  <si>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</si>
  <si>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</si>
  <si>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</si>
  <si>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</si>
  <si>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</si>
  <si>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</si>
  <si>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</si>
  <si>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</si>
  <si>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</si>
  <si>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</si>
  <si>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</si>
  <si>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</si>
  <si>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</si>
  <si>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</si>
  <si>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</si>
  <si>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</si>
  <si>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</si>
  <si>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</si>
  <si>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</si>
  <si>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</si>
  <si>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</si>
  <si>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</si>
  <si>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</si>
  <si>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</si>
  <si>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</si>
  <si>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</si>
  <si>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tongtiencmc</t>
  </si>
  <si>
    <t>HOCPHIcmc</t>
  </si>
  <si>
    <t>KSKcmc</t>
  </si>
  <si>
    <t>BHYTcmc</t>
  </si>
  <si>
    <t>HINHTHUCcmc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</si>
</sst>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0" fillId="0" borderId="1" xfId="0" applyBorder="1"/>
    <xf numFmtId="0" fontId="1" fillId="0" borderId="0" xfId="0" applyFont="1"/>
    <xf numFmtId="3" fontId="0" fillId="0" borderId="0" xfId="0" applyNumberFormat="1"/>
    <xf numFmtId="49" fontId="2" fillId="0" borderId="1" xfId="1" quotePrefix="1" applyNumberFormat="1" applyFont="1" applyBorder="1"/>
    <xf numFmtId="0" fontId="1" fillId="0" borderId="1" xfId="0" applyFont="1" applyBorder="1"/>
    <xf numFmtId="0" fontId="1" fillId="3" borderId="1" xfId="0" applyFont="1" applyFill="1" applyBorder="1"/>
    <xf numFmtId="3" fontId="0" fillId="0" borderId="1" xfId="0" applyNumberFormat="1" applyBorder="1"/>
    <xf numFmtId="14" fontId="0" fillId="0" borderId="1" xfId="0" applyNumberFormat="1" applyBorder="1"/>
    <xf numFmtId="0" fontId="4" fillId="0" borderId="1" xfId="0" applyFont="1" applyBorder="1"/>
    <xf numFmtId="3" fontId="4" fillId="0" borderId="1" xfId="0" applyNumberFormat="1" applyFont="1" applyBorder="1"/>
    <xf numFmtId="3" fontId="1" fillId="0" borderId="1" xfId="0" applyNumberFormat="1" applyFont="1" applyBorder="1"/>
    <xf numFmtId="0" fontId="1" fillId="0" borderId="2" xfId="0" applyFont="1" applyBorder="1"/>
    <xf numFmtId="0" fontId="1" fillId="3" borderId="0" xfId="0" applyFont="1" applyFill="1"/>
    <xf numFmtId="49" fontId="0" fillId="0" borderId="0" xfId="0" applyNumberFormat="1"/>
    <xf numFmtId="49" fontId="2" fillId="0" borderId="1" xfId="1" applyNumberFormat="1" applyFont="1" applyBorder="1"/>
    <xf numFmtId="49" fontId="3" fillId="2" borderId="1" xfId="1" applyNumberFormat="1" applyFont="1" applyFill="1" applyBorder="1" applyAlignment="1">
      <alignment horizontal="right"/>
    </xf>
    <xf numFmtId="49" fontId="1" fillId="0" borderId="1" xfId="1" applyNumberFormat="1" applyBorder="1"/>
    <xf numFmtId="49" fontId="1" fillId="0" borderId="1" xfId="0" applyNumberFormat="1" applyFont="1" applyBorder="1"/>
  </cellXfs>
  <cellStyles count="2">
    <cellStyle name="Normal" xfId="0" builtinId="0"/>
    <cellStyle name="Normal 2" xfId="1" xr:uid="{93723B38-B27D-4FC1-8344-A6B5561D82EE}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mcuni-my.sharepoint.com/personal/lthien_cmc-u_edu_vn/Documents/1.2.t&#224;i%20ch&#237;nh%20CMC/22.%20X&#7917;%20l&#253;%20chu&#7849;n%20h&#243;a%20th&#244;ng%20tin%20sinh%20vi&#234;n%2030.06/sinh%20vi&#234;n%20nh&#7853;p%20h&#7885;c/File%20check%20d&#7919;%20li&#7879;u%2031.08.xlsx" TargetMode="External"/><Relationship Id="rId1" Type="http://schemas.openxmlformats.org/officeDocument/2006/relationships/externalLinkPath" Target="https://cmcuni-my.sharepoint.com/personal/lthien_cmc-u_edu_vn/Documents/1.2.t&#224;i%20ch&#237;nh%20CMC/22.%20X&#7917;%20l&#253;%20chu&#7849;n%20h&#243;a%20th&#244;ng%20tin%20sinh%20vi&#234;n%2030.06/sinh%20vi&#234;n%20nh&#7853;p%20h&#7885;c/File%20check%20d&#7919;%20li&#7879;u%2031.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ngHop"/>
      <sheetName val="BC tổng hợp "/>
      <sheetName val="Danh sách Hùng "/>
      <sheetName val="chi tiết dữ liệu"/>
      <sheetName val="dư liệu ngân hàng gốc "/>
      <sheetName val="BIDV gốc "/>
      <sheetName val="CK"/>
      <sheetName val=" nhật ký thu tiền"/>
      <sheetName val="TM"/>
      <sheetName val="NK gửi MR Bình"/>
      <sheetName val="bổ sung 29,08"/>
      <sheetName val="Sheet2"/>
      <sheetName val="Sheet1"/>
      <sheetName val="HB"/>
      <sheetName val="TTC"/>
      <sheetName val="Sheet3"/>
      <sheetName val="UDHP"/>
    </sheetNames>
    <sheetDataSet>
      <sheetData sheetId="0"/>
      <sheetData sheetId="1"/>
      <sheetData sheetId="2"/>
      <sheetData sheetId="3"/>
      <sheetData sheetId="4"/>
      <sheetData sheetId="5"/>
      <sheetData sheetId="6">
        <row r="674">
          <cell r="B674" t="str">
            <v>BIT230070</v>
          </cell>
          <cell r="C674" t="str">
            <v>NGUYỄN HỮU CƯỜNG</v>
          </cell>
          <cell r="F674">
            <v>15490400</v>
          </cell>
          <cell r="I674" t="str">
            <v>29/08/2023</v>
          </cell>
          <cell r="N674">
            <v>14560000</v>
          </cell>
          <cell r="O674">
            <v>250000</v>
          </cell>
          <cell r="P674">
            <v>680400</v>
          </cell>
        </row>
        <row r="675">
          <cell r="B675" t="str">
            <v>BBA230012</v>
          </cell>
          <cell r="C675" t="str">
            <v>PHAN MAI ANH</v>
          </cell>
          <cell r="F675">
            <v>4330400</v>
          </cell>
          <cell r="I675" t="str">
            <v>29/08/2023</v>
          </cell>
          <cell r="N675">
            <v>3400000</v>
          </cell>
          <cell r="O675">
            <v>250000</v>
          </cell>
          <cell r="P675">
            <v>680400</v>
          </cell>
        </row>
        <row r="676">
          <cell r="B676" t="str">
            <v>BIT230212</v>
          </cell>
          <cell r="C676" t="str">
            <v>NGUYỄN NGỌC KHÁNH</v>
          </cell>
          <cell r="F676">
            <v>10490400</v>
          </cell>
          <cell r="I676" t="str">
            <v>29/08/2023</v>
          </cell>
          <cell r="N676">
            <v>9560000</v>
          </cell>
          <cell r="O676">
            <v>250000</v>
          </cell>
          <cell r="P676">
            <v>680400</v>
          </cell>
        </row>
        <row r="677">
          <cell r="B677" t="str">
            <v>BGD230033</v>
          </cell>
          <cell r="C677" t="str">
            <v>DƯƠNG THU CÚC</v>
          </cell>
          <cell r="F677">
            <v>8250400</v>
          </cell>
          <cell r="I677" t="str">
            <v>29/08/2023</v>
          </cell>
          <cell r="N677">
            <v>7320000</v>
          </cell>
          <cell r="O677">
            <v>250000</v>
          </cell>
          <cell r="P677">
            <v>680400</v>
          </cell>
        </row>
        <row r="678">
          <cell r="B678" t="str">
            <v>BIT230014</v>
          </cell>
          <cell r="C678" t="str">
            <v>PHÙNG ĐỨC ANH</v>
          </cell>
          <cell r="F678">
            <v>17310400</v>
          </cell>
          <cell r="I678" t="str">
            <v>29/08/2023</v>
          </cell>
          <cell r="N678">
            <v>16380000</v>
          </cell>
          <cell r="O678">
            <v>250000</v>
          </cell>
          <cell r="P678">
            <v>680400</v>
          </cell>
        </row>
        <row r="679">
          <cell r="B679" t="str">
            <v>BCS230089</v>
          </cell>
          <cell r="C679" t="str">
            <v>VŨ ĐỨC TUẤN</v>
          </cell>
          <cell r="F679">
            <v>5030400</v>
          </cell>
          <cell r="I679" t="str">
            <v>29/08/2023</v>
          </cell>
          <cell r="N679">
            <v>4100000</v>
          </cell>
          <cell r="O679">
            <v>250000</v>
          </cell>
          <cell r="P679">
            <v>680400</v>
          </cell>
        </row>
        <row r="680">
          <cell r="B680" t="str">
            <v>BIT230201</v>
          </cell>
          <cell r="C680" t="str">
            <v>VŨ LONG HUY</v>
          </cell>
          <cell r="F680">
            <v>10490400</v>
          </cell>
          <cell r="I680" t="str">
            <v>29/08/2023</v>
          </cell>
          <cell r="N680">
            <v>9560000</v>
          </cell>
          <cell r="O680">
            <v>250000</v>
          </cell>
          <cell r="P680">
            <v>680400</v>
          </cell>
        </row>
        <row r="681">
          <cell r="B681" t="str">
            <v>BIT230216</v>
          </cell>
          <cell r="C681" t="str">
            <v>TRẦN ĐĂNG KHÔI</v>
          </cell>
          <cell r="F681">
            <v>17310400</v>
          </cell>
          <cell r="I681" t="str">
            <v>29/08/2023</v>
          </cell>
          <cell r="N681">
            <v>16380000</v>
          </cell>
          <cell r="O681">
            <v>250000</v>
          </cell>
          <cell r="P681">
            <v>680400</v>
          </cell>
        </row>
        <row r="682">
          <cell r="B682" t="str">
            <v>BIT230476</v>
          </cell>
          <cell r="C682" t="str">
            <v>QUÁCH TRƯỜNG AN</v>
          </cell>
          <cell r="F682">
            <v>2310400</v>
          </cell>
          <cell r="I682" t="str">
            <v>29/08/2023</v>
          </cell>
          <cell r="N682">
            <v>1380000</v>
          </cell>
          <cell r="O682">
            <v>680400</v>
          </cell>
          <cell r="P682">
            <v>250000</v>
          </cell>
        </row>
        <row r="683">
          <cell r="B683" t="str">
            <v>BIT230287</v>
          </cell>
          <cell r="C683" t="str">
            <v>NGUYỄN THỊ THANH NGÂN</v>
          </cell>
          <cell r="F683">
            <v>930400</v>
          </cell>
          <cell r="I683" t="str">
            <v>29/08/2023</v>
          </cell>
          <cell r="N683">
            <v>0</v>
          </cell>
          <cell r="O683">
            <v>250000</v>
          </cell>
          <cell r="P683">
            <v>680400</v>
          </cell>
        </row>
        <row r="684">
          <cell r="B684" t="str">
            <v>BIT230457</v>
          </cell>
          <cell r="C684" t="str">
            <v>NGUYỄN TIẾN VINH</v>
          </cell>
          <cell r="F684">
            <v>19130400</v>
          </cell>
          <cell r="I684" t="str">
            <v>29/08/2023</v>
          </cell>
          <cell r="N684">
            <v>18200000</v>
          </cell>
          <cell r="O684">
            <v>250000</v>
          </cell>
          <cell r="P684">
            <v>680400</v>
          </cell>
        </row>
        <row r="685">
          <cell r="B685" t="str">
            <v>BBA230269</v>
          </cell>
          <cell r="C685" t="str">
            <v>TRỊNH HUYỀN MAI</v>
          </cell>
          <cell r="F685">
            <v>7690400</v>
          </cell>
          <cell r="I685" t="str">
            <v>29/08/2023</v>
          </cell>
          <cell r="N685">
            <v>6760000</v>
          </cell>
          <cell r="O685">
            <v>250000</v>
          </cell>
          <cell r="P685">
            <v>680400</v>
          </cell>
        </row>
        <row r="686">
          <cell r="B686" t="str">
            <v>BGD230168</v>
          </cell>
          <cell r="C686" t="str">
            <v>ĐÀO DUY PHONG</v>
          </cell>
          <cell r="F686">
            <v>14790400</v>
          </cell>
          <cell r="I686" t="str">
            <v>29/08/2023</v>
          </cell>
          <cell r="N686">
            <v>13860000</v>
          </cell>
          <cell r="O686">
            <v>250000</v>
          </cell>
          <cell r="P686">
            <v>680400</v>
          </cell>
        </row>
        <row r="687">
          <cell r="B687" t="str">
            <v>BIT230260</v>
          </cell>
          <cell r="C687" t="str">
            <v>NGUYỄN CHÍ QUANG MINH</v>
          </cell>
          <cell r="F687">
            <v>5030400</v>
          </cell>
          <cell r="I687" t="str">
            <v>29/08/2023</v>
          </cell>
          <cell r="N687">
            <v>4100000</v>
          </cell>
          <cell r="O687">
            <v>250000</v>
          </cell>
          <cell r="P687">
            <v>680400</v>
          </cell>
        </row>
        <row r="688">
          <cell r="B688" t="str">
            <v>BIT230255</v>
          </cell>
          <cell r="C688" t="str">
            <v>NGUYỄN ĐỨC MẠNH</v>
          </cell>
          <cell r="F688">
            <v>10490400</v>
          </cell>
          <cell r="I688" t="str">
            <v>29/08/2023</v>
          </cell>
          <cell r="N688">
            <v>9560000</v>
          </cell>
          <cell r="O688">
            <v>250000</v>
          </cell>
          <cell r="P688">
            <v>680400</v>
          </cell>
        </row>
        <row r="689">
          <cell r="B689" t="str">
            <v>BIT230213</v>
          </cell>
          <cell r="C689" t="str">
            <v>TRẦN BẢO KHIÊM</v>
          </cell>
          <cell r="F689">
            <v>17310400</v>
          </cell>
          <cell r="I689" t="str">
            <v>29/08/2023</v>
          </cell>
          <cell r="N689">
            <v>16380000</v>
          </cell>
          <cell r="O689">
            <v>250000</v>
          </cell>
          <cell r="P689">
            <v>680400</v>
          </cell>
        </row>
        <row r="690">
          <cell r="B690" t="str">
            <v>BIT230036</v>
          </cell>
          <cell r="C690" t="str">
            <v>PHẠM TRẦN DUY ANH</v>
          </cell>
          <cell r="F690">
            <v>15490400</v>
          </cell>
          <cell r="I690" t="str">
            <v>29/08/2023</v>
          </cell>
          <cell r="N690">
            <v>14560000</v>
          </cell>
          <cell r="O690">
            <v>250000</v>
          </cell>
          <cell r="P690">
            <v>680400</v>
          </cell>
        </row>
        <row r="692">
          <cell r="B692" t="str">
            <v>BIT230377</v>
          </cell>
          <cell r="C692" t="str">
            <v>VŨ MINH THẮNG</v>
          </cell>
          <cell r="F692">
            <v>5030400</v>
          </cell>
          <cell r="I692" t="str">
            <v>29/08/2023</v>
          </cell>
          <cell r="N692">
            <v>4100000</v>
          </cell>
          <cell r="O692">
            <v>250000</v>
          </cell>
          <cell r="P692">
            <v>680400</v>
          </cell>
        </row>
        <row r="693">
          <cell r="B693" t="str">
            <v>BCS230004</v>
          </cell>
          <cell r="C693" t="str">
            <v>NGUYỄN HẢI ANH</v>
          </cell>
          <cell r="F693">
            <v>930400</v>
          </cell>
          <cell r="I693" t="str">
            <v>29/08/2023</v>
          </cell>
          <cell r="N693">
            <v>0</v>
          </cell>
          <cell r="O693">
            <v>250000</v>
          </cell>
          <cell r="P693">
            <v>680400</v>
          </cell>
        </row>
        <row r="694">
          <cell r="B694" t="str">
            <v>BIT230372</v>
          </cell>
          <cell r="C694" t="str">
            <v>NGUYỄN THỊ TÂM</v>
          </cell>
          <cell r="F694">
            <v>5000000</v>
          </cell>
          <cell r="I694" t="str">
            <v>29/08/2023</v>
          </cell>
          <cell r="N694">
            <v>5000000</v>
          </cell>
        </row>
        <row r="695">
          <cell r="B695" t="str">
            <v>BCS230009</v>
          </cell>
          <cell r="C695" t="str">
            <v>BÙI VIỆT ANH</v>
          </cell>
          <cell r="F695">
            <v>17310400</v>
          </cell>
          <cell r="I695" t="str">
            <v>29/08/2023</v>
          </cell>
          <cell r="N695">
            <v>16380000</v>
          </cell>
          <cell r="O695">
            <v>250000</v>
          </cell>
          <cell r="P695">
            <v>680400</v>
          </cell>
        </row>
        <row r="696">
          <cell r="B696" t="str">
            <v>BBA230115</v>
          </cell>
          <cell r="C696" t="str">
            <v>TRẦN TÙNG DƯƠNG</v>
          </cell>
          <cell r="F696">
            <v>7690400</v>
          </cell>
          <cell r="I696" t="str">
            <v>29/08/2023</v>
          </cell>
          <cell r="N696">
            <v>6760000</v>
          </cell>
          <cell r="O696">
            <v>250000</v>
          </cell>
          <cell r="P696">
            <v>680400</v>
          </cell>
        </row>
        <row r="697">
          <cell r="B697" t="str">
            <v>BBA230484</v>
          </cell>
          <cell r="C697" t="str">
            <v>PHAN THỊ PHƯƠNG UYÊN</v>
          </cell>
          <cell r="F697">
            <v>9370400</v>
          </cell>
          <cell r="I697" t="str">
            <v>29/08/2023</v>
          </cell>
          <cell r="N697">
            <v>8440000</v>
          </cell>
          <cell r="O697">
            <v>250000</v>
          </cell>
          <cell r="P697">
            <v>680400</v>
          </cell>
        </row>
        <row r="698">
          <cell r="B698" t="str">
            <v>BCS230059</v>
          </cell>
          <cell r="C698" t="str">
            <v>LÊ HOÀI NAM</v>
          </cell>
          <cell r="F698">
            <v>8670400</v>
          </cell>
          <cell r="I698" t="str">
            <v>29/08/2023</v>
          </cell>
          <cell r="N698">
            <v>7740000</v>
          </cell>
          <cell r="O698">
            <v>250000</v>
          </cell>
          <cell r="P698">
            <v>680400</v>
          </cell>
        </row>
        <row r="699">
          <cell r="B699" t="str">
            <v>BIT230103</v>
          </cell>
          <cell r="C699" t="str">
            <v>NGUYỄN QUANG ĐỨC</v>
          </cell>
          <cell r="F699">
            <v>8670400</v>
          </cell>
          <cell r="I699" t="str">
            <v>29/08/2023</v>
          </cell>
          <cell r="N699">
            <v>7740000</v>
          </cell>
          <cell r="O699">
            <v>250000</v>
          </cell>
          <cell r="P699">
            <v>680400</v>
          </cell>
        </row>
        <row r="700">
          <cell r="B700" t="str">
            <v>BGD230089</v>
          </cell>
          <cell r="C700" t="str">
            <v>LÊ BÙI NGUYÊN HƯNG</v>
          </cell>
          <cell r="F700">
            <v>14800000</v>
          </cell>
          <cell r="I700" t="str">
            <v>29/08/2023</v>
          </cell>
          <cell r="N700">
            <v>13869600</v>
          </cell>
          <cell r="O700">
            <v>250000</v>
          </cell>
          <cell r="P700">
            <v>680400</v>
          </cell>
        </row>
        <row r="701">
          <cell r="B701" t="str">
            <v>BBA230078</v>
          </cell>
          <cell r="C701" t="str">
            <v>TRẦN THỊ KIỀU CHINH</v>
          </cell>
          <cell r="F701">
            <v>1000</v>
          </cell>
          <cell r="I701" t="str">
            <v>29/08/2023</v>
          </cell>
          <cell r="N701">
            <v>600</v>
          </cell>
          <cell r="P701">
            <v>400</v>
          </cell>
        </row>
        <row r="702">
          <cell r="B702" t="str">
            <v>BBA230181</v>
          </cell>
          <cell r="C702" t="str">
            <v>NGUYỄN THỊ HUYÊN</v>
          </cell>
          <cell r="F702">
            <v>9370400</v>
          </cell>
          <cell r="I702" t="str">
            <v>29/08/2023</v>
          </cell>
          <cell r="N702">
            <v>8440000</v>
          </cell>
          <cell r="O702">
            <v>250000</v>
          </cell>
          <cell r="P702">
            <v>680400</v>
          </cell>
        </row>
        <row r="703">
          <cell r="B703" t="str">
            <v>BGD230098</v>
          </cell>
          <cell r="C703" t="str">
            <v>TRẦN THỊ THU HƯƠNG</v>
          </cell>
          <cell r="F703">
            <v>13250400</v>
          </cell>
          <cell r="I703" t="str">
            <v>29/08/2023</v>
          </cell>
          <cell r="N703">
            <v>12320000</v>
          </cell>
          <cell r="O703">
            <v>250000</v>
          </cell>
          <cell r="P703">
            <v>680400</v>
          </cell>
        </row>
        <row r="704">
          <cell r="B704" t="str">
            <v>BBA230233</v>
          </cell>
          <cell r="C704" t="str">
            <v>NGUYỄN THUỲ LINH</v>
          </cell>
          <cell r="F704">
            <v>16050400</v>
          </cell>
          <cell r="I704" t="str">
            <v>29/08/2023</v>
          </cell>
          <cell r="N704">
            <v>15120000</v>
          </cell>
          <cell r="O704">
            <v>250000</v>
          </cell>
          <cell r="P704">
            <v>680400</v>
          </cell>
        </row>
        <row r="705">
          <cell r="B705" t="str">
            <v>BBA230306</v>
          </cell>
          <cell r="C705" t="str">
            <v>TRỊNH THỊ NGÂN</v>
          </cell>
          <cell r="F705">
            <v>14370400</v>
          </cell>
          <cell r="I705" t="str">
            <v>29/08/2023</v>
          </cell>
          <cell r="N705">
            <v>13440000</v>
          </cell>
          <cell r="O705">
            <v>250000</v>
          </cell>
          <cell r="P705">
            <v>680400</v>
          </cell>
        </row>
        <row r="706">
          <cell r="B706" t="str">
            <v>BBA230392</v>
          </cell>
          <cell r="C706" t="str">
            <v>NGUYỄN ĐỨC TÀI</v>
          </cell>
          <cell r="F706">
            <v>930400</v>
          </cell>
          <cell r="I706" t="str">
            <v>29/08/2023</v>
          </cell>
          <cell r="N706">
            <v>0</v>
          </cell>
          <cell r="O706">
            <v>250000</v>
          </cell>
          <cell r="P706">
            <v>680400</v>
          </cell>
        </row>
        <row r="707">
          <cell r="B707" t="str">
            <v>BBA230490</v>
          </cell>
          <cell r="C707" t="str">
            <v>PHẠM QUANG VINH</v>
          </cell>
          <cell r="F707">
            <v>16050400</v>
          </cell>
          <cell r="I707" t="str">
            <v>29/08/2023</v>
          </cell>
          <cell r="N707">
            <v>15120000</v>
          </cell>
          <cell r="O707">
            <v>250000</v>
          </cell>
          <cell r="P707">
            <v>680400</v>
          </cell>
        </row>
        <row r="708">
          <cell r="B708" t="str">
            <v>BBA230139</v>
          </cell>
          <cell r="C708" t="str">
            <v>ĐÀO NGỌC HIỀN</v>
          </cell>
          <cell r="F708">
            <v>4330400</v>
          </cell>
          <cell r="I708" t="str">
            <v>29/08/2023</v>
          </cell>
          <cell r="N708">
            <v>3400000</v>
          </cell>
          <cell r="O708">
            <v>250000</v>
          </cell>
          <cell r="P708">
            <v>680400</v>
          </cell>
        </row>
        <row r="709">
          <cell r="B709" t="str">
            <v>BIT230329</v>
          </cell>
          <cell r="C709" t="str">
            <v>NGUYỄN HOÀNG PHƯƠNG</v>
          </cell>
          <cell r="F709">
            <v>8670400</v>
          </cell>
          <cell r="I709" t="str">
            <v>29/08/2023</v>
          </cell>
          <cell r="N709">
            <v>7740000</v>
          </cell>
          <cell r="O709">
            <v>250000</v>
          </cell>
          <cell r="P709">
            <v>680400</v>
          </cell>
        </row>
        <row r="710">
          <cell r="B710" t="str">
            <v>BBA230352</v>
          </cell>
          <cell r="C710" t="str">
            <v>NGHIÊM XUÂN PHƯƠNG</v>
          </cell>
          <cell r="F710">
            <v>9370400</v>
          </cell>
          <cell r="I710" t="str">
            <v>29/08/2023</v>
          </cell>
          <cell r="N710">
            <v>8440000</v>
          </cell>
          <cell r="O710">
            <v>250000</v>
          </cell>
          <cell r="P710">
            <v>680400</v>
          </cell>
        </row>
        <row r="711">
          <cell r="B711" t="str">
            <v>BBA230126</v>
          </cell>
          <cell r="C711" t="str">
            <v>NGUYỄN HƯƠNG GIANG</v>
          </cell>
          <cell r="F711">
            <v>7690400</v>
          </cell>
          <cell r="I711" t="str">
            <v>29/08/2023</v>
          </cell>
          <cell r="N711">
            <v>6760000</v>
          </cell>
          <cell r="O711">
            <v>250000</v>
          </cell>
          <cell r="P711">
            <v>680400</v>
          </cell>
        </row>
        <row r="713">
          <cell r="B713" t="str">
            <v>BGD230133</v>
          </cell>
          <cell r="C713" t="str">
            <v>HOÀNG TRẦN KHÁNH LY</v>
          </cell>
          <cell r="F713">
            <v>550400</v>
          </cell>
          <cell r="I713" t="str">
            <v>29/08/2023</v>
          </cell>
          <cell r="O713">
            <v>250000</v>
          </cell>
          <cell r="P713">
            <v>300400</v>
          </cell>
        </row>
        <row r="714">
          <cell r="B714" t="str">
            <v>BBA230399</v>
          </cell>
          <cell r="C714" t="str">
            <v>BÙI CAO THÀNH</v>
          </cell>
          <cell r="F714">
            <v>9370400</v>
          </cell>
          <cell r="I714" t="str">
            <v>29/08/2023</v>
          </cell>
          <cell r="N714">
            <v>8440000</v>
          </cell>
          <cell r="O714">
            <v>250000</v>
          </cell>
          <cell r="P714">
            <v>680400</v>
          </cell>
        </row>
        <row r="715">
          <cell r="B715" t="str">
            <v>BGD230028</v>
          </cell>
          <cell r="C715" t="str">
            <v>ĐỒNG THỊ HẢI BÌNH</v>
          </cell>
          <cell r="F715">
            <v>550400</v>
          </cell>
          <cell r="I715" t="str">
            <v>29/08/2023</v>
          </cell>
          <cell r="O715">
            <v>250000</v>
          </cell>
          <cell r="P715">
            <v>300400</v>
          </cell>
        </row>
        <row r="716">
          <cell r="B716" t="str">
            <v>BBA230358</v>
          </cell>
          <cell r="C716" t="str">
            <v>TRẦN THỊ PHƯƠNG</v>
          </cell>
          <cell r="F716">
            <v>7690400</v>
          </cell>
          <cell r="I716" t="str">
            <v>30/08/2023</v>
          </cell>
          <cell r="N716">
            <v>6760000</v>
          </cell>
          <cell r="O716">
            <v>250000</v>
          </cell>
          <cell r="P716">
            <v>680400</v>
          </cell>
        </row>
        <row r="717">
          <cell r="B717" t="str">
            <v>BBA230053</v>
          </cell>
          <cell r="C717" t="str">
            <v>TRẦN THỊ MINH ÁNH</v>
          </cell>
          <cell r="F717">
            <v>7690400</v>
          </cell>
          <cell r="I717" t="str">
            <v>30/08/2023</v>
          </cell>
          <cell r="N717">
            <v>6760000</v>
          </cell>
          <cell r="O717">
            <v>250000</v>
          </cell>
          <cell r="P717">
            <v>680400</v>
          </cell>
        </row>
        <row r="718">
          <cell r="B718" t="str">
            <v>BBA230261</v>
          </cell>
          <cell r="C718" t="str">
            <v>PHẠM HÀ LY</v>
          </cell>
          <cell r="F718">
            <v>4330400</v>
          </cell>
          <cell r="I718" t="str">
            <v>30/08/2023</v>
          </cell>
          <cell r="N718">
            <v>3400000</v>
          </cell>
          <cell r="O718">
            <v>250000</v>
          </cell>
          <cell r="P718">
            <v>680400</v>
          </cell>
        </row>
        <row r="719">
          <cell r="B719" t="str">
            <v>BBA230423</v>
          </cell>
          <cell r="C719" t="str">
            <v>BÙI THỊ ANH THƯ</v>
          </cell>
          <cell r="F719">
            <v>1000</v>
          </cell>
          <cell r="I719" t="str">
            <v>30/08/2023</v>
          </cell>
          <cell r="N719">
            <v>1000</v>
          </cell>
        </row>
        <row r="720">
          <cell r="B720" t="str">
            <v>Bba230448</v>
          </cell>
          <cell r="C720" t="str">
            <v>TRẦN HUYỀN TRANG</v>
          </cell>
          <cell r="F720">
            <v>16050400</v>
          </cell>
          <cell r="I720" t="str">
            <v>30/08/2023</v>
          </cell>
          <cell r="N720">
            <v>15120000</v>
          </cell>
          <cell r="O720">
            <v>250000</v>
          </cell>
          <cell r="P720">
            <v>680400</v>
          </cell>
        </row>
        <row r="721">
          <cell r="B721" t="str">
            <v>BBA230460</v>
          </cell>
          <cell r="C721" t="str">
            <v>NGUYỄN QUANG TRƯỜNG</v>
          </cell>
          <cell r="F721">
            <v>16050400</v>
          </cell>
          <cell r="I721" t="str">
            <v>30/08/2023</v>
          </cell>
          <cell r="N721">
            <v>15120000</v>
          </cell>
          <cell r="O721">
            <v>250000</v>
          </cell>
          <cell r="P721">
            <v>680400</v>
          </cell>
        </row>
        <row r="722">
          <cell r="B722" t="str">
            <v>BIT230472</v>
          </cell>
          <cell r="C722" t="str">
            <v>TRẦN VIỆT ANH</v>
          </cell>
          <cell r="F722">
            <v>19130400</v>
          </cell>
          <cell r="I722" t="str">
            <v>30/08/2023</v>
          </cell>
          <cell r="N722">
            <v>18200000</v>
          </cell>
          <cell r="O722">
            <v>250000</v>
          </cell>
          <cell r="P722">
            <v>680400</v>
          </cell>
        </row>
        <row r="723">
          <cell r="B723" t="str">
            <v>bba230155</v>
          </cell>
          <cell r="C723" t="str">
            <v>LƯU MINH HOÀNG</v>
          </cell>
          <cell r="F723">
            <v>14370400</v>
          </cell>
          <cell r="I723" t="str">
            <v>30/08/2023</v>
          </cell>
          <cell r="N723">
            <v>13440000</v>
          </cell>
          <cell r="O723">
            <v>250000</v>
          </cell>
          <cell r="P723">
            <v>680400</v>
          </cell>
        </row>
        <row r="724">
          <cell r="B724" t="str">
            <v>BBA230197</v>
          </cell>
          <cell r="C724" t="str">
            <v>ĐÀO THỊ NGỌC KHÁNH</v>
          </cell>
          <cell r="F724">
            <v>9370400</v>
          </cell>
          <cell r="I724" t="str">
            <v>30/08/2023</v>
          </cell>
          <cell r="N724">
            <v>8440000</v>
          </cell>
          <cell r="O724">
            <v>250000</v>
          </cell>
          <cell r="P724">
            <v>680400</v>
          </cell>
        </row>
        <row r="725">
          <cell r="B725" t="str">
            <v>BBA230476</v>
          </cell>
          <cell r="C725" t="str">
            <v>ĐỖ PHẠM THANH TÙNG</v>
          </cell>
          <cell r="F725">
            <v>14370400</v>
          </cell>
          <cell r="I725" t="str">
            <v>30/08/2023</v>
          </cell>
          <cell r="N725">
            <v>13440000</v>
          </cell>
          <cell r="O725">
            <v>250000</v>
          </cell>
          <cell r="P725">
            <v>680400</v>
          </cell>
        </row>
        <row r="726">
          <cell r="B726" t="str">
            <v>BBA230009</v>
          </cell>
          <cell r="C726" t="str">
            <v>ĐỖ QUANG TRƯỜNG ANH</v>
          </cell>
          <cell r="F726">
            <v>9330400</v>
          </cell>
          <cell r="I726" t="str">
            <v>30/08/2023</v>
          </cell>
          <cell r="N726">
            <v>8400000</v>
          </cell>
          <cell r="O726">
            <v>250000</v>
          </cell>
          <cell r="P726">
            <v>680400</v>
          </cell>
        </row>
        <row r="727">
          <cell r="B727" t="str">
            <v>BBA230520</v>
          </cell>
          <cell r="C727" t="str">
            <v>NGUYỄN THÙY TRANG</v>
          </cell>
          <cell r="F727">
            <v>17730400</v>
          </cell>
          <cell r="I727" t="str">
            <v>30/08/2023</v>
          </cell>
          <cell r="N727">
            <v>16800000</v>
          </cell>
          <cell r="O727">
            <v>250000</v>
          </cell>
          <cell r="P727">
            <v>680400</v>
          </cell>
        </row>
        <row r="728">
          <cell r="B728" t="str">
            <v>Bit230374</v>
          </cell>
          <cell r="C728" t="str">
            <v>TỪ VIỆT THÁI</v>
          </cell>
          <cell r="F728">
            <v>10490400</v>
          </cell>
          <cell r="I728" t="str">
            <v>30/08/2023</v>
          </cell>
          <cell r="N728">
            <v>9560000</v>
          </cell>
          <cell r="O728">
            <v>250000</v>
          </cell>
          <cell r="P728">
            <v>680400</v>
          </cell>
        </row>
        <row r="729">
          <cell r="B729" t="str">
            <v>BBA230437</v>
          </cell>
          <cell r="C729" t="str">
            <v>DƯƠNG KHÁNH TOÀN</v>
          </cell>
          <cell r="F729">
            <v>930000</v>
          </cell>
          <cell r="I729" t="str">
            <v>30/08/2023</v>
          </cell>
          <cell r="N729">
            <v>0</v>
          </cell>
          <cell r="O729">
            <v>250000</v>
          </cell>
          <cell r="P729">
            <v>680000</v>
          </cell>
        </row>
        <row r="730">
          <cell r="B730" t="str">
            <v>BBA230505</v>
          </cell>
          <cell r="C730" t="str">
            <v>NGUYỄN BÁ XUÂN</v>
          </cell>
          <cell r="F730">
            <v>7690400</v>
          </cell>
          <cell r="I730" t="str">
            <v>30/08/2023</v>
          </cell>
          <cell r="N730">
            <v>6760000</v>
          </cell>
          <cell r="O730">
            <v>250000</v>
          </cell>
          <cell r="P730">
            <v>680400</v>
          </cell>
        </row>
        <row r="731">
          <cell r="B731" t="str">
            <v>BBA230195</v>
          </cell>
          <cell r="C731" t="str">
            <v>NGUYỄN DUY KHÁNH</v>
          </cell>
          <cell r="F731">
            <v>12000000</v>
          </cell>
          <cell r="I731" t="str">
            <v>30/08/2023</v>
          </cell>
          <cell r="N731">
            <v>12000000</v>
          </cell>
        </row>
        <row r="732">
          <cell r="B732" t="str">
            <v>BBA230300</v>
          </cell>
          <cell r="C732" t="str">
            <v>TRẦN ĐỨC NAM</v>
          </cell>
          <cell r="F732">
            <v>17730400</v>
          </cell>
          <cell r="I732" t="str">
            <v>30/08/2023</v>
          </cell>
          <cell r="N732">
            <v>16800000</v>
          </cell>
          <cell r="O732">
            <v>250000</v>
          </cell>
          <cell r="P732">
            <v>680400</v>
          </cell>
        </row>
        <row r="733">
          <cell r="B733" t="str">
            <v>BBA230308</v>
          </cell>
          <cell r="C733" t="str">
            <v>NGUYỄN KIM NGÂN</v>
          </cell>
          <cell r="F733">
            <v>9370400</v>
          </cell>
          <cell r="I733" t="str">
            <v>30/08/2023</v>
          </cell>
          <cell r="N733">
            <v>8440000</v>
          </cell>
          <cell r="O733">
            <v>250000</v>
          </cell>
          <cell r="P733">
            <v>680400</v>
          </cell>
        </row>
        <row r="734">
          <cell r="B734" t="str">
            <v>bba230353</v>
          </cell>
          <cell r="C734" t="str">
            <v>NGUYỄN MAI PHƯƠNG</v>
          </cell>
          <cell r="F734">
            <v>16050400</v>
          </cell>
          <cell r="I734" t="str">
            <v>30/08/2023</v>
          </cell>
          <cell r="N734">
            <v>15120000</v>
          </cell>
          <cell r="O734">
            <v>250000</v>
          </cell>
          <cell r="P734">
            <v>680400</v>
          </cell>
        </row>
        <row r="735">
          <cell r="B735" t="str">
            <v>bba230421</v>
          </cell>
          <cell r="C735" t="str">
            <v>MẠC THỊ ANH THƯ</v>
          </cell>
          <cell r="F735">
            <v>14370400</v>
          </cell>
          <cell r="I735" t="str">
            <v>30/08/2023</v>
          </cell>
          <cell r="N735">
            <v>13440000</v>
          </cell>
          <cell r="O735">
            <v>250000</v>
          </cell>
          <cell r="P735">
            <v>680400</v>
          </cell>
        </row>
        <row r="736">
          <cell r="B736" t="str">
            <v>bba230022</v>
          </cell>
          <cell r="C736" t="str">
            <v>NINH THỊ PHƯƠNG ANH</v>
          </cell>
          <cell r="F736">
            <v>4330400</v>
          </cell>
          <cell r="I736" t="str">
            <v>30/08/2023</v>
          </cell>
          <cell r="N736">
            <v>3400000</v>
          </cell>
          <cell r="O736">
            <v>250000</v>
          </cell>
          <cell r="P736">
            <v>680400</v>
          </cell>
        </row>
        <row r="737">
          <cell r="B737" t="str">
            <v>bit230473</v>
          </cell>
          <cell r="C737" t="str">
            <v>CAO NGUYỄN MINH QUÂN</v>
          </cell>
          <cell r="F737">
            <v>12310400</v>
          </cell>
          <cell r="I737" t="str">
            <v>30/08/2023</v>
          </cell>
          <cell r="N737">
            <v>11380000</v>
          </cell>
          <cell r="O737">
            <v>250000</v>
          </cell>
          <cell r="P737">
            <v>680400</v>
          </cell>
        </row>
        <row r="738">
          <cell r="B738" t="str">
            <v>BIT230089</v>
          </cell>
          <cell r="C738" t="str">
            <v>NGUYỄN KHẢ DIỆP</v>
          </cell>
          <cell r="F738">
            <v>17310400</v>
          </cell>
          <cell r="I738" t="str">
            <v>30/08/2023</v>
          </cell>
          <cell r="N738">
            <v>16380000</v>
          </cell>
          <cell r="O738">
            <v>250000</v>
          </cell>
          <cell r="P738">
            <v>680400</v>
          </cell>
        </row>
        <row r="739">
          <cell r="B739" t="str">
            <v>BBA230519</v>
          </cell>
          <cell r="C739" t="str">
            <v>TRẦN THỊ THÙY LINH</v>
          </cell>
          <cell r="F739">
            <v>17730400</v>
          </cell>
          <cell r="I739" t="str">
            <v>30/08/2023</v>
          </cell>
          <cell r="N739">
            <v>16800000</v>
          </cell>
          <cell r="O739">
            <v>250000</v>
          </cell>
          <cell r="P739">
            <v>680400</v>
          </cell>
        </row>
        <row r="740">
          <cell r="B740" t="str">
            <v>BBA230130</v>
          </cell>
          <cell r="C740" t="str">
            <v>NGUYỄN NGỌC HÀ</v>
          </cell>
          <cell r="F740">
            <v>16050400</v>
          </cell>
          <cell r="I740" t="str">
            <v>30/08/2023</v>
          </cell>
          <cell r="N740">
            <v>15120000</v>
          </cell>
          <cell r="O740">
            <v>250000</v>
          </cell>
          <cell r="P740">
            <v>680400</v>
          </cell>
        </row>
        <row r="741">
          <cell r="B741" t="str">
            <v>BGD230124</v>
          </cell>
          <cell r="C741" t="str">
            <v>ĐỖ HÀ LINH</v>
          </cell>
          <cell r="F741">
            <v>3630400</v>
          </cell>
          <cell r="I741" t="str">
            <v>30/08/2023</v>
          </cell>
          <cell r="N741">
            <v>2700000</v>
          </cell>
          <cell r="O741">
            <v>250000</v>
          </cell>
          <cell r="P741">
            <v>680400</v>
          </cell>
        </row>
        <row r="742">
          <cell r="B742" t="str">
            <v>bba230344</v>
          </cell>
          <cell r="C742" t="str">
            <v>BÙI HUY PHÚC</v>
          </cell>
          <cell r="F742">
            <v>17730400</v>
          </cell>
          <cell r="I742" t="str">
            <v>30/08/2023</v>
          </cell>
          <cell r="N742">
            <v>16800000</v>
          </cell>
          <cell r="O742">
            <v>250000</v>
          </cell>
          <cell r="P742">
            <v>680400</v>
          </cell>
        </row>
        <row r="743">
          <cell r="B743" t="str">
            <v>bba230272</v>
          </cell>
          <cell r="C743" t="str">
            <v>NGUYỄN THỊ NGỌC MAI</v>
          </cell>
          <cell r="F743">
            <v>14370400</v>
          </cell>
          <cell r="I743" t="str">
            <v>30/08/2023</v>
          </cell>
          <cell r="N743">
            <v>13440000</v>
          </cell>
          <cell r="O743">
            <v>250000</v>
          </cell>
          <cell r="P743">
            <v>680400</v>
          </cell>
        </row>
        <row r="744">
          <cell r="B744" t="str">
            <v>BGD230228</v>
          </cell>
          <cell r="C744" t="str">
            <v>ĐINH THÚY VÂN</v>
          </cell>
          <cell r="F744">
            <v>8250400</v>
          </cell>
          <cell r="I744" t="str">
            <v>30/08/2023</v>
          </cell>
          <cell r="N744">
            <v>7320000</v>
          </cell>
          <cell r="O744">
            <v>250000</v>
          </cell>
          <cell r="P744">
            <v>680400</v>
          </cell>
        </row>
        <row r="745">
          <cell r="B745" t="str">
            <v>BGD230122</v>
          </cell>
          <cell r="C745" t="str">
            <v>NGUYỄN THỊ QUỲNH LINH</v>
          </cell>
          <cell r="F745">
            <v>930400</v>
          </cell>
          <cell r="I745" t="str">
            <v>30/08/2023</v>
          </cell>
          <cell r="N745">
            <v>0</v>
          </cell>
          <cell r="O745">
            <v>250000</v>
          </cell>
          <cell r="P745">
            <v>680400</v>
          </cell>
        </row>
        <row r="746">
          <cell r="B746" t="str">
            <v>BBA230206</v>
          </cell>
          <cell r="C746" t="str">
            <v>BÙI VÂN LAM</v>
          </cell>
          <cell r="F746">
            <v>2730400</v>
          </cell>
          <cell r="I746" t="str">
            <v>30/08/2023</v>
          </cell>
          <cell r="N746">
            <v>1800000</v>
          </cell>
          <cell r="O746">
            <v>250000</v>
          </cell>
          <cell r="P746">
            <v>680400</v>
          </cell>
        </row>
        <row r="747">
          <cell r="B747" t="str">
            <v>BBA230217</v>
          </cell>
          <cell r="C747" t="str">
            <v>HOÀNG BÍCH LIÊN</v>
          </cell>
          <cell r="F747">
            <v>7690400</v>
          </cell>
          <cell r="I747" t="str">
            <v>30/08/2023</v>
          </cell>
          <cell r="N747">
            <v>6760000</v>
          </cell>
          <cell r="O747">
            <v>250000</v>
          </cell>
          <cell r="P747">
            <v>680400</v>
          </cell>
        </row>
        <row r="748">
          <cell r="B748" t="str">
            <v>BBA230366</v>
          </cell>
          <cell r="C748" t="str">
            <v>NGUYỄN MINH QUÂN</v>
          </cell>
          <cell r="F748">
            <v>7690400</v>
          </cell>
          <cell r="I748" t="str">
            <v>30/08/2023</v>
          </cell>
          <cell r="N748">
            <v>6760000</v>
          </cell>
          <cell r="O748">
            <v>250000</v>
          </cell>
          <cell r="P748">
            <v>680400</v>
          </cell>
        </row>
        <row r="749">
          <cell r="B749" t="str">
            <v>BBA230495</v>
          </cell>
          <cell r="C749" t="str">
            <v>TRẦN VĂN VŨ</v>
          </cell>
          <cell r="F749">
            <v>17730400</v>
          </cell>
          <cell r="I749" t="str">
            <v>30/08/2023</v>
          </cell>
          <cell r="N749">
            <v>16800000</v>
          </cell>
          <cell r="O749">
            <v>250000</v>
          </cell>
          <cell r="P749">
            <v>680400</v>
          </cell>
        </row>
        <row r="750">
          <cell r="B750" t="str">
            <v>bba230121</v>
          </cell>
          <cell r="C750" t="str">
            <v>LÝ TRIỆU MỸ DUYÊN</v>
          </cell>
          <cell r="F750">
            <v>4330400</v>
          </cell>
          <cell r="I750" t="str">
            <v>30/08/2023</v>
          </cell>
          <cell r="N750">
            <v>3400000</v>
          </cell>
          <cell r="O750">
            <v>250000</v>
          </cell>
          <cell r="P750">
            <v>680400</v>
          </cell>
        </row>
        <row r="751">
          <cell r="B751" t="str">
            <v>bba230038</v>
          </cell>
          <cell r="C751" t="str">
            <v>NGUYỄN HUYỀN ANH</v>
          </cell>
          <cell r="F751">
            <v>14370400</v>
          </cell>
          <cell r="I751" t="str">
            <v>30/08/2023</v>
          </cell>
          <cell r="N751">
            <v>13440000</v>
          </cell>
          <cell r="O751">
            <v>250000</v>
          </cell>
          <cell r="P751">
            <v>680400</v>
          </cell>
        </row>
        <row r="752">
          <cell r="B752" t="str">
            <v>BBA230193</v>
          </cell>
          <cell r="C752" t="str">
            <v>NGUYỄN XUÂN TIẾN KHANG</v>
          </cell>
          <cell r="F752">
            <v>7690400</v>
          </cell>
          <cell r="I752" t="str">
            <v>30/08/2023</v>
          </cell>
          <cell r="N752">
            <v>6760000</v>
          </cell>
          <cell r="O752">
            <v>250000</v>
          </cell>
          <cell r="P752">
            <v>680400</v>
          </cell>
        </row>
        <row r="753">
          <cell r="B753" t="str">
            <v>BBA230210</v>
          </cell>
          <cell r="C753" t="str">
            <v>NGUYỄN THỊ LAN</v>
          </cell>
          <cell r="F753">
            <v>16050400</v>
          </cell>
          <cell r="I753" t="str">
            <v>30/08/2023</v>
          </cell>
          <cell r="N753">
            <v>15120000</v>
          </cell>
          <cell r="O753">
            <v>250000</v>
          </cell>
          <cell r="P753">
            <v>680400</v>
          </cell>
        </row>
        <row r="754">
          <cell r="B754" t="str">
            <v>bba230298</v>
          </cell>
          <cell r="C754" t="str">
            <v>NGÔ HẢI NAM</v>
          </cell>
          <cell r="F754">
            <v>14370400</v>
          </cell>
          <cell r="I754" t="str">
            <v>30/08/2023</v>
          </cell>
          <cell r="N754">
            <v>13440000</v>
          </cell>
          <cell r="O754">
            <v>250000</v>
          </cell>
          <cell r="P754">
            <v>680400</v>
          </cell>
        </row>
        <row r="755">
          <cell r="B755" t="str">
            <v>bba230174</v>
          </cell>
          <cell r="C755" t="str">
            <v>DƯƠNG THỊ MINH HƯỜNG</v>
          </cell>
          <cell r="F755">
            <v>7690400</v>
          </cell>
          <cell r="I755" t="str">
            <v>30/08/2023</v>
          </cell>
          <cell r="N755">
            <v>6760000</v>
          </cell>
          <cell r="O755">
            <v>250000</v>
          </cell>
          <cell r="P755">
            <v>680400</v>
          </cell>
        </row>
        <row r="756">
          <cell r="B756" t="str">
            <v>BGD230210</v>
          </cell>
          <cell r="C756" t="str">
            <v>TRẦN THỊ HUYỀN TRANG</v>
          </cell>
          <cell r="F756">
            <v>3630400</v>
          </cell>
          <cell r="I756" t="str">
            <v>30/08/2023</v>
          </cell>
          <cell r="N756">
            <v>2700000</v>
          </cell>
          <cell r="O756">
            <v>250000</v>
          </cell>
          <cell r="P756">
            <v>680400</v>
          </cell>
        </row>
        <row r="757">
          <cell r="B757" t="str">
            <v>BBA230320</v>
          </cell>
          <cell r="C757" t="str">
            <v>ĐÀO THỊ HỒNG NGỌC</v>
          </cell>
          <cell r="F757">
            <v>9370400</v>
          </cell>
          <cell r="I757" t="str">
            <v>30/08/2023</v>
          </cell>
          <cell r="N757">
            <v>8440000</v>
          </cell>
          <cell r="O757">
            <v>250000</v>
          </cell>
          <cell r="P757">
            <v>680400</v>
          </cell>
        </row>
        <row r="758">
          <cell r="B758" t="str">
            <v>bba230507</v>
          </cell>
          <cell r="C758" t="str">
            <v>ĐÀO THỊ NHƯ Ý</v>
          </cell>
          <cell r="F758">
            <v>17730400</v>
          </cell>
          <cell r="I758" t="str">
            <v>30/08/2023</v>
          </cell>
          <cell r="N758">
            <v>16800000</v>
          </cell>
          <cell r="O758">
            <v>250000</v>
          </cell>
          <cell r="P758">
            <v>680400</v>
          </cell>
        </row>
        <row r="759">
          <cell r="B759" t="str">
            <v>BBA230086</v>
          </cell>
          <cell r="C759" t="str">
            <v>LÊ DOÃN ĐẠT</v>
          </cell>
          <cell r="F759">
            <v>16050400</v>
          </cell>
          <cell r="I759" t="str">
            <v>30/08/2023</v>
          </cell>
          <cell r="N759">
            <v>15120000</v>
          </cell>
          <cell r="O759">
            <v>250000</v>
          </cell>
          <cell r="P759">
            <v>680400</v>
          </cell>
        </row>
        <row r="760">
          <cell r="B760" t="str">
            <v>bba230253</v>
          </cell>
          <cell r="C760" t="str">
            <v>NGUYỄN THÀNH LONG</v>
          </cell>
          <cell r="F760">
            <v>17730400</v>
          </cell>
          <cell r="I760" t="str">
            <v>30/08/2023</v>
          </cell>
          <cell r="N760">
            <v>16800000</v>
          </cell>
          <cell r="O760">
            <v>250000</v>
          </cell>
          <cell r="P760">
            <v>680400</v>
          </cell>
        </row>
        <row r="761">
          <cell r="B761" t="str">
            <v>BBA230216</v>
          </cell>
          <cell r="C761" t="str">
            <v>NGUYỄN THỊ THÙY LIÊN</v>
          </cell>
          <cell r="F761">
            <v>2000000</v>
          </cell>
          <cell r="I761" t="str">
            <v>30/08/2023</v>
          </cell>
          <cell r="N761">
            <v>2000000</v>
          </cell>
        </row>
        <row r="762">
          <cell r="B762" t="str">
            <v>bba230170</v>
          </cell>
          <cell r="C762" t="str">
            <v>NGUYỄN QUANG HƯNG</v>
          </cell>
          <cell r="F762">
            <v>14370400</v>
          </cell>
          <cell r="I762" t="str">
            <v>30/08/2023</v>
          </cell>
          <cell r="N762">
            <v>13440000</v>
          </cell>
          <cell r="O762">
            <v>250000</v>
          </cell>
          <cell r="P762">
            <v>680400</v>
          </cell>
        </row>
        <row r="763">
          <cell r="B763" t="str">
            <v>BIT230054</v>
          </cell>
          <cell r="C763" t="str">
            <v>TRỊNH GIA BẢO</v>
          </cell>
          <cell r="F763">
            <v>15490400</v>
          </cell>
          <cell r="I763" t="str">
            <v>30/08/2023</v>
          </cell>
          <cell r="N763">
            <v>14560000</v>
          </cell>
          <cell r="O763">
            <v>250000</v>
          </cell>
          <cell r="P763">
            <v>680400</v>
          </cell>
        </row>
        <row r="764">
          <cell r="B764" t="str">
            <v>bba230432</v>
          </cell>
          <cell r="C764" t="str">
            <v>VŨ MINH TIẾN</v>
          </cell>
          <cell r="F764">
            <v>4330400</v>
          </cell>
          <cell r="I764" t="str">
            <v>30/08/2023</v>
          </cell>
          <cell r="N764">
            <v>3400000</v>
          </cell>
          <cell r="O764">
            <v>680400</v>
          </cell>
          <cell r="P764">
            <v>250000</v>
          </cell>
        </row>
        <row r="765">
          <cell r="B765" t="str">
            <v>bba230288</v>
          </cell>
          <cell r="C765" t="str">
            <v>BÙI HOÀNG TUỆ MINH</v>
          </cell>
          <cell r="F765">
            <v>17730400</v>
          </cell>
          <cell r="I765" t="str">
            <v>30/08/2023</v>
          </cell>
          <cell r="N765">
            <v>16800000</v>
          </cell>
          <cell r="O765">
            <v>250000</v>
          </cell>
          <cell r="P765">
            <v>680400</v>
          </cell>
        </row>
        <row r="766">
          <cell r="B766" t="str">
            <v>BBA230072</v>
          </cell>
          <cell r="C766" t="str">
            <v>NGUYỄN THỊ MINH CHÂU</v>
          </cell>
          <cell r="F766">
            <v>7690400</v>
          </cell>
          <cell r="I766" t="str">
            <v>30/08/2023</v>
          </cell>
          <cell r="N766">
            <v>6760000</v>
          </cell>
          <cell r="O766">
            <v>250000</v>
          </cell>
          <cell r="P766">
            <v>680400</v>
          </cell>
        </row>
        <row r="767">
          <cell r="B767" t="str">
            <v>BBA230492</v>
          </cell>
          <cell r="C767" t="str">
            <v>NGUYỄN TUẤN VINH</v>
          </cell>
          <cell r="F767">
            <v>9370400</v>
          </cell>
          <cell r="I767" t="str">
            <v>30/08/2023</v>
          </cell>
          <cell r="N767">
            <v>8440000</v>
          </cell>
          <cell r="O767">
            <v>250000</v>
          </cell>
          <cell r="P767">
            <v>680400</v>
          </cell>
        </row>
        <row r="768">
          <cell r="B768" t="str">
            <v>BBA230415</v>
          </cell>
          <cell r="C768" t="str">
            <v>HOÀNG XUÂN THIÊN</v>
          </cell>
          <cell r="F768">
            <v>14370400</v>
          </cell>
          <cell r="I768" t="str">
            <v>30/08/2023</v>
          </cell>
          <cell r="N768">
            <v>13440000</v>
          </cell>
          <cell r="O768">
            <v>250000</v>
          </cell>
          <cell r="P768">
            <v>680400</v>
          </cell>
        </row>
        <row r="769">
          <cell r="B769" t="str">
            <v>BIT230471</v>
          </cell>
          <cell r="C769" t="str">
            <v>ĐỖ LÂM TRANG</v>
          </cell>
          <cell r="F769">
            <v>19130400</v>
          </cell>
          <cell r="I769" t="str">
            <v>30/08/2023</v>
          </cell>
          <cell r="N769">
            <v>18200000</v>
          </cell>
          <cell r="O769">
            <v>250000</v>
          </cell>
          <cell r="P769">
            <v>680400</v>
          </cell>
        </row>
        <row r="770">
          <cell r="B770" t="str">
            <v>BJL230050</v>
          </cell>
          <cell r="C770" t="str">
            <v>PHAN THỊ HIẾU</v>
          </cell>
          <cell r="F770">
            <v>6710400</v>
          </cell>
          <cell r="I770" t="str">
            <v>30/08/2023</v>
          </cell>
          <cell r="N770">
            <v>5780000</v>
          </cell>
          <cell r="O770">
            <v>250000</v>
          </cell>
          <cell r="P770">
            <v>680400</v>
          </cell>
        </row>
        <row r="771">
          <cell r="B771" t="str">
            <v>bba230328</v>
          </cell>
          <cell r="C771" t="str">
            <v>HOÀNG BẢO NHI</v>
          </cell>
          <cell r="F771">
            <v>9370400</v>
          </cell>
          <cell r="I771" t="str">
            <v>30/08/2023</v>
          </cell>
          <cell r="N771">
            <v>8440000</v>
          </cell>
          <cell r="O771">
            <v>250000</v>
          </cell>
          <cell r="P771">
            <v>680400</v>
          </cell>
        </row>
        <row r="772">
          <cell r="B772" t="str">
            <v>Bba230470</v>
          </cell>
          <cell r="C772" t="str">
            <v>NGUYỄN ANH TUẤN</v>
          </cell>
          <cell r="F772">
            <v>8000000</v>
          </cell>
          <cell r="I772" t="str">
            <v>30/08/2023</v>
          </cell>
          <cell r="N772">
            <v>8000000</v>
          </cell>
        </row>
        <row r="773">
          <cell r="B773" t="str">
            <v>BBA230394</v>
          </cell>
          <cell r="C773" t="str">
            <v>NGUYỄN HUY THẮNG</v>
          </cell>
          <cell r="F773">
            <v>14370400</v>
          </cell>
          <cell r="I773" t="str">
            <v>30/08/2023</v>
          </cell>
          <cell r="N773">
            <v>13440000</v>
          </cell>
          <cell r="O773">
            <v>250000</v>
          </cell>
          <cell r="P773">
            <v>680400</v>
          </cell>
        </row>
        <row r="774">
          <cell r="B774" t="str">
            <v>BBA230055</v>
          </cell>
          <cell r="C774" t="str">
            <v>ĐẶNG THỊ NGỌC ÁNH</v>
          </cell>
          <cell r="F774">
            <v>1730400</v>
          </cell>
          <cell r="I774" t="str">
            <v>30/08/2023</v>
          </cell>
          <cell r="N774">
            <v>800000</v>
          </cell>
          <cell r="O774">
            <v>250000</v>
          </cell>
          <cell r="P774">
            <v>680400</v>
          </cell>
        </row>
        <row r="775">
          <cell r="B775" t="str">
            <v>BBA230383</v>
          </cell>
          <cell r="C775" t="str">
            <v>NGUYỄN NHƯ QUỲNH</v>
          </cell>
          <cell r="F775">
            <v>16054000</v>
          </cell>
          <cell r="I775" t="str">
            <v>30/08/2023</v>
          </cell>
          <cell r="N775">
            <v>15123600</v>
          </cell>
          <cell r="O775">
            <v>250000</v>
          </cell>
          <cell r="P775">
            <v>680400</v>
          </cell>
        </row>
        <row r="776">
          <cell r="B776" t="str">
            <v>BBA230349</v>
          </cell>
          <cell r="C776" t="str">
            <v>NGUYỄN THỊ PHƯƠNG</v>
          </cell>
          <cell r="F776">
            <v>17730400</v>
          </cell>
          <cell r="I776" t="str">
            <v>30/08/2023</v>
          </cell>
          <cell r="N776">
            <v>16800000</v>
          </cell>
          <cell r="O776">
            <v>250000</v>
          </cell>
          <cell r="P776">
            <v>680400</v>
          </cell>
        </row>
        <row r="777">
          <cell r="B777" t="str">
            <v>BBA230414</v>
          </cell>
          <cell r="C777" t="str">
            <v>NGUYỄN PHƯƠNG THẢO</v>
          </cell>
          <cell r="F777">
            <v>9370400</v>
          </cell>
          <cell r="I777" t="str">
            <v>30/08/2023</v>
          </cell>
          <cell r="N777">
            <v>8440000</v>
          </cell>
          <cell r="O777">
            <v>250000</v>
          </cell>
          <cell r="P777">
            <v>680400</v>
          </cell>
        </row>
        <row r="778">
          <cell r="B778" t="str">
            <v>bba230165</v>
          </cell>
          <cell r="C778" t="str">
            <v>BÙI TUẤN HƯNG</v>
          </cell>
          <cell r="F778">
            <v>14370400</v>
          </cell>
          <cell r="I778" t="str">
            <v>30/08/2023</v>
          </cell>
          <cell r="N778">
            <v>13440000</v>
          </cell>
          <cell r="O778">
            <v>250000</v>
          </cell>
          <cell r="P778">
            <v>680400</v>
          </cell>
        </row>
        <row r="779">
          <cell r="B779" t="str">
            <v>bkl230105</v>
          </cell>
          <cell r="C779" t="str">
            <v>TÔ THÙY LINH</v>
          </cell>
          <cell r="F779">
            <v>3630400</v>
          </cell>
          <cell r="I779" t="str">
            <v>30/08/2023</v>
          </cell>
          <cell r="N779">
            <v>2700000</v>
          </cell>
          <cell r="O779">
            <v>250000</v>
          </cell>
          <cell r="P779">
            <v>680400</v>
          </cell>
        </row>
        <row r="780">
          <cell r="B780" t="str">
            <v>bba230369</v>
          </cell>
          <cell r="C780" t="str">
            <v>TRỊNH ĐỨC QUANG</v>
          </cell>
          <cell r="F780">
            <v>16050400</v>
          </cell>
          <cell r="I780" t="str">
            <v>30/08/2023</v>
          </cell>
          <cell r="N780">
            <v>15120000</v>
          </cell>
          <cell r="O780">
            <v>250000</v>
          </cell>
          <cell r="P780">
            <v>680400</v>
          </cell>
        </row>
        <row r="781">
          <cell r="B781" t="str">
            <v>BIT230353</v>
          </cell>
          <cell r="C781" t="str">
            <v>ĐỖ LÊ MINH QUANG</v>
          </cell>
          <cell r="F781">
            <v>1390400</v>
          </cell>
          <cell r="I781" t="str">
            <v>30/08/2023</v>
          </cell>
          <cell r="N781">
            <v>460000.00000000093</v>
          </cell>
          <cell r="O781">
            <v>250000</v>
          </cell>
          <cell r="P781">
            <v>680400</v>
          </cell>
        </row>
        <row r="782">
          <cell r="B782" t="str">
            <v>BGD230013</v>
          </cell>
          <cell r="C782" t="str">
            <v>TRẦN ĐỨC ANH</v>
          </cell>
          <cell r="F782">
            <v>67110000</v>
          </cell>
          <cell r="I782" t="str">
            <v>30/08/2023</v>
          </cell>
          <cell r="N782">
            <v>66179600</v>
          </cell>
          <cell r="O782">
            <v>250000</v>
          </cell>
          <cell r="P782">
            <v>680400</v>
          </cell>
        </row>
        <row r="783">
          <cell r="B783" t="str">
            <v>BKL230044</v>
          </cell>
          <cell r="C783" t="str">
            <v>NGUYỄN THỊ NGỌC DIỆP</v>
          </cell>
          <cell r="F783">
            <v>13250400</v>
          </cell>
          <cell r="I783" t="str">
            <v>30/08/2023</v>
          </cell>
          <cell r="N783">
            <v>12320000</v>
          </cell>
          <cell r="O783">
            <v>250000</v>
          </cell>
          <cell r="P783">
            <v>680400</v>
          </cell>
        </row>
        <row r="784">
          <cell r="B784" t="str">
            <v>bba230467</v>
          </cell>
          <cell r="C784" t="str">
            <v>PHẠM VĂN TUÂN</v>
          </cell>
          <cell r="F784">
            <v>17730400</v>
          </cell>
          <cell r="I784" t="str">
            <v>30/08/2023</v>
          </cell>
          <cell r="N784">
            <v>16800000</v>
          </cell>
          <cell r="O784">
            <v>250000</v>
          </cell>
          <cell r="P784">
            <v>680400</v>
          </cell>
        </row>
        <row r="785">
          <cell r="B785" t="str">
            <v>BIT230052</v>
          </cell>
          <cell r="C785" t="str">
            <v>NGUYỄN LÊ NGỌC BẢO</v>
          </cell>
          <cell r="F785">
            <v>19130400</v>
          </cell>
          <cell r="I785" t="str">
            <v>30/08/2023</v>
          </cell>
          <cell r="N785">
            <v>18200000</v>
          </cell>
          <cell r="O785">
            <v>250000</v>
          </cell>
          <cell r="P785">
            <v>680400</v>
          </cell>
        </row>
        <row r="786">
          <cell r="B786" t="str">
            <v>bgd230029</v>
          </cell>
          <cell r="C786" t="str">
            <v>LÊ DUY HẢI BÌNH</v>
          </cell>
          <cell r="F786">
            <v>13250400</v>
          </cell>
          <cell r="I786" t="str">
            <v>30/08/2023</v>
          </cell>
          <cell r="N786">
            <v>12320000</v>
          </cell>
          <cell r="O786">
            <v>250000</v>
          </cell>
          <cell r="P786">
            <v>680400</v>
          </cell>
        </row>
        <row r="787">
          <cell r="B787" t="str">
            <v>BBA230518</v>
          </cell>
          <cell r="C787" t="str">
            <v>NGÔ TRỌNG GIÁP</v>
          </cell>
          <cell r="F787">
            <v>9370400</v>
          </cell>
          <cell r="I787" t="str">
            <v>30/08/2023</v>
          </cell>
          <cell r="N787">
            <v>8440000</v>
          </cell>
          <cell r="O787">
            <v>250000</v>
          </cell>
          <cell r="P787">
            <v>680400</v>
          </cell>
        </row>
        <row r="788">
          <cell r="B788" t="str">
            <v>BGD230066</v>
          </cell>
          <cell r="C788" t="str">
            <v>NGUYỄN NHẬT HÀ</v>
          </cell>
          <cell r="F788">
            <v>13250400</v>
          </cell>
          <cell r="I788" t="str">
            <v>30/08/2023</v>
          </cell>
          <cell r="N788">
            <v>12320000</v>
          </cell>
          <cell r="O788">
            <v>250000</v>
          </cell>
          <cell r="P788">
            <v>680400</v>
          </cell>
        </row>
        <row r="789">
          <cell r="B789" t="str">
            <v>BIT230451</v>
          </cell>
          <cell r="C789" t="str">
            <v>NGÔ ĐỨC VIỆT</v>
          </cell>
          <cell r="F789">
            <v>930000</v>
          </cell>
          <cell r="I789" t="str">
            <v>30/08/2023</v>
          </cell>
          <cell r="O789">
            <v>250000</v>
          </cell>
          <cell r="P789">
            <v>680000</v>
          </cell>
        </row>
        <row r="790">
          <cell r="B790" t="str">
            <v>BBA230326</v>
          </cell>
          <cell r="C790" t="str">
            <v>DƯƠNG YẾN NHI</v>
          </cell>
          <cell r="F790">
            <v>4330400</v>
          </cell>
          <cell r="I790" t="str">
            <v>30/08/2023</v>
          </cell>
          <cell r="N790">
            <v>3400000</v>
          </cell>
          <cell r="O790">
            <v>250000</v>
          </cell>
          <cell r="P790">
            <v>680400</v>
          </cell>
        </row>
        <row r="791">
          <cell r="B791" t="str">
            <v>BIT230297</v>
          </cell>
          <cell r="C791" t="str">
            <v>QUÁCH NGỌC NGUYÊN</v>
          </cell>
          <cell r="F791">
            <v>8670400</v>
          </cell>
          <cell r="I791" t="str">
            <v>30/08/2023</v>
          </cell>
          <cell r="N791">
            <v>7740000</v>
          </cell>
          <cell r="O791">
            <v>250000</v>
          </cell>
          <cell r="P791">
            <v>680400</v>
          </cell>
        </row>
        <row r="792">
          <cell r="B792" t="str">
            <v>BBA230457</v>
          </cell>
          <cell r="C792" t="str">
            <v>ĐINH QUANG TRUNG</v>
          </cell>
          <cell r="F792">
            <v>4330400</v>
          </cell>
          <cell r="I792" t="str">
            <v>30/08/2023</v>
          </cell>
          <cell r="N792">
            <v>3400000</v>
          </cell>
          <cell r="O792">
            <v>250000</v>
          </cell>
          <cell r="P792">
            <v>680400</v>
          </cell>
        </row>
        <row r="793">
          <cell r="B793" t="str">
            <v>bba230172</v>
          </cell>
          <cell r="C793" t="str">
            <v>NGUYỄN THỊ THU HƯƠNG</v>
          </cell>
          <cell r="F793">
            <v>17730400</v>
          </cell>
          <cell r="I793" t="str">
            <v>30/08/2023</v>
          </cell>
          <cell r="N793">
            <v>16800000</v>
          </cell>
          <cell r="O793">
            <v>250000</v>
          </cell>
          <cell r="P793">
            <v>680400</v>
          </cell>
        </row>
        <row r="794">
          <cell r="B794" t="str">
            <v>BIT230402</v>
          </cell>
          <cell r="C794" t="str">
            <v>NGUYỄN THỊ QUỲNH TRANG</v>
          </cell>
          <cell r="F794">
            <v>15490400</v>
          </cell>
          <cell r="I794" t="str">
            <v>30/08/2023</v>
          </cell>
          <cell r="N794">
            <v>14560000</v>
          </cell>
          <cell r="O794">
            <v>250000</v>
          </cell>
          <cell r="P794">
            <v>680400</v>
          </cell>
        </row>
        <row r="795">
          <cell r="B795" t="str">
            <v>BGD230092</v>
          </cell>
          <cell r="C795" t="str">
            <v>NGUYỄN QUỲNH HƯƠNG</v>
          </cell>
          <cell r="F795">
            <v>8250400</v>
          </cell>
          <cell r="I795" t="str">
            <v>30/08/2023</v>
          </cell>
          <cell r="N795">
            <v>7320000</v>
          </cell>
          <cell r="O795">
            <v>250000</v>
          </cell>
          <cell r="P795">
            <v>680400</v>
          </cell>
        </row>
        <row r="796">
          <cell r="B796" t="str">
            <v>BIT230173</v>
          </cell>
          <cell r="C796" t="str">
            <v>MAI NHẬT HOÀNG</v>
          </cell>
          <cell r="F796">
            <v>15000000</v>
          </cell>
          <cell r="I796" t="str">
            <v>30/08/2023</v>
          </cell>
          <cell r="N796">
            <v>14069600</v>
          </cell>
          <cell r="O796">
            <v>250000</v>
          </cell>
          <cell r="P796">
            <v>680400</v>
          </cell>
        </row>
        <row r="797">
          <cell r="B797" t="str">
            <v>BKL230017</v>
          </cell>
          <cell r="C797" t="str">
            <v>CAO QUỲNH ANH</v>
          </cell>
          <cell r="F797">
            <v>6710400</v>
          </cell>
          <cell r="I797" t="str">
            <v>30/08/2023</v>
          </cell>
          <cell r="N797">
            <v>5780000</v>
          </cell>
          <cell r="O797">
            <v>250000</v>
          </cell>
          <cell r="P797">
            <v>680400</v>
          </cell>
        </row>
        <row r="798">
          <cell r="B798" t="str">
            <v>BGD230081</v>
          </cell>
          <cell r="C798" t="str">
            <v>NGUYỄN THU HOÀI</v>
          </cell>
          <cell r="F798">
            <v>6710400</v>
          </cell>
          <cell r="I798" t="str">
            <v>30/08/2023</v>
          </cell>
          <cell r="N798">
            <v>5780000</v>
          </cell>
          <cell r="O798">
            <v>250000</v>
          </cell>
          <cell r="P798">
            <v>680400</v>
          </cell>
        </row>
        <row r="799">
          <cell r="B799" t="str">
            <v>BGD230192</v>
          </cell>
          <cell r="C799" t="str">
            <v>NGUYỄN PHƯƠNG THANH</v>
          </cell>
          <cell r="F799">
            <v>16330400</v>
          </cell>
          <cell r="I799" t="str">
            <v>30/08/2023</v>
          </cell>
          <cell r="N799">
            <v>15400000</v>
          </cell>
          <cell r="O799">
            <v>250000</v>
          </cell>
          <cell r="P799">
            <v>680400</v>
          </cell>
        </row>
        <row r="800">
          <cell r="B800" t="str">
            <v>BIT230278</v>
          </cell>
          <cell r="C800" t="str">
            <v>TRẦN NHẬT NAM</v>
          </cell>
          <cell r="F800">
            <v>10490400</v>
          </cell>
          <cell r="I800" t="str">
            <v>30/08/2023</v>
          </cell>
          <cell r="N800">
            <v>9560000</v>
          </cell>
          <cell r="O800">
            <v>250000</v>
          </cell>
          <cell r="P800">
            <v>680400</v>
          </cell>
        </row>
        <row r="801">
          <cell r="B801" t="str">
            <v>BGD230231</v>
          </cell>
          <cell r="C801" t="str">
            <v>LÊ QUANG VŨ</v>
          </cell>
          <cell r="F801">
            <v>8250000</v>
          </cell>
          <cell r="I801" t="str">
            <v>30/08/2023</v>
          </cell>
          <cell r="N801">
            <v>7319600</v>
          </cell>
          <cell r="O801">
            <v>250000</v>
          </cell>
          <cell r="P801">
            <v>680400</v>
          </cell>
        </row>
        <row r="802">
          <cell r="B802" t="str">
            <v>BKL230137</v>
          </cell>
          <cell r="C802" t="str">
            <v>LÊ HỒNG NGỌC</v>
          </cell>
          <cell r="F802">
            <v>8250400</v>
          </cell>
          <cell r="I802" t="str">
            <v>30/08/2023</v>
          </cell>
          <cell r="N802">
            <v>7320000</v>
          </cell>
          <cell r="O802">
            <v>250000</v>
          </cell>
          <cell r="P802">
            <v>680400</v>
          </cell>
        </row>
        <row r="803">
          <cell r="B803" t="str">
            <v>BGD230193</v>
          </cell>
          <cell r="C803" t="str">
            <v>BÙI VIỆT THÀNH</v>
          </cell>
          <cell r="F803">
            <v>930400</v>
          </cell>
          <cell r="I803" t="str">
            <v>30/08/2023</v>
          </cell>
          <cell r="N803">
            <v>0</v>
          </cell>
          <cell r="O803">
            <v>250000</v>
          </cell>
          <cell r="P803">
            <v>680400</v>
          </cell>
        </row>
        <row r="804">
          <cell r="B804" t="str">
            <v>BBA230235</v>
          </cell>
          <cell r="C804" t="str">
            <v>TRƯƠNG THỊ THÙY LINH</v>
          </cell>
          <cell r="F804">
            <v>16050400</v>
          </cell>
          <cell r="I804" t="str">
            <v>31/08/2023</v>
          </cell>
          <cell r="N804">
            <v>15120000</v>
          </cell>
          <cell r="O804">
            <v>250000</v>
          </cell>
          <cell r="P804">
            <v>680400</v>
          </cell>
        </row>
        <row r="805">
          <cell r="B805" t="str">
            <v>bkl230046</v>
          </cell>
          <cell r="C805" t="str">
            <v>LỘC VĂN ĐỨC</v>
          </cell>
          <cell r="F805">
            <v>8630400</v>
          </cell>
          <cell r="I805" t="str">
            <v>31/08/2023</v>
          </cell>
          <cell r="N805">
            <v>7700000</v>
          </cell>
          <cell r="O805">
            <v>250000</v>
          </cell>
          <cell r="P805">
            <v>680400</v>
          </cell>
        </row>
        <row r="806">
          <cell r="B806" t="str">
            <v>bba230279</v>
          </cell>
          <cell r="C806" t="str">
            <v>HÀ NGỌC MINH</v>
          </cell>
          <cell r="F806">
            <v>9330400</v>
          </cell>
          <cell r="I806" t="str">
            <v>31/08/2023</v>
          </cell>
          <cell r="N806">
            <v>8400000</v>
          </cell>
          <cell r="O806">
            <v>250000</v>
          </cell>
          <cell r="P806">
            <v>680400</v>
          </cell>
        </row>
        <row r="807">
          <cell r="B807" t="str">
            <v>BKL230100</v>
          </cell>
          <cell r="C807" t="str">
            <v>PHẠM THỊ LIÊN</v>
          </cell>
          <cell r="F807">
            <v>3630400</v>
          </cell>
          <cell r="I807" t="str">
            <v>31/08/2023</v>
          </cell>
          <cell r="N807">
            <v>2700000</v>
          </cell>
          <cell r="O807">
            <v>250000</v>
          </cell>
          <cell r="P807">
            <v>680400</v>
          </cell>
        </row>
        <row r="808">
          <cell r="B808" t="str">
            <v>bkl230092</v>
          </cell>
          <cell r="C808" t="str">
            <v>NGUYỄN THỊ KIM HUYỀN</v>
          </cell>
          <cell r="F808">
            <v>14790400</v>
          </cell>
          <cell r="I808" t="str">
            <v>31/08/2023</v>
          </cell>
          <cell r="N808">
            <v>13860000</v>
          </cell>
          <cell r="O808">
            <v>250000</v>
          </cell>
          <cell r="P808">
            <v>680400</v>
          </cell>
        </row>
        <row r="809">
          <cell r="B809" t="str">
            <v>bkl230045</v>
          </cell>
          <cell r="C809" t="str">
            <v>NGUYỄN THỊ HOÀI DIỆP</v>
          </cell>
          <cell r="F809">
            <v>14790400</v>
          </cell>
          <cell r="I809" t="str">
            <v>31/08/2023</v>
          </cell>
          <cell r="N809">
            <v>13860000</v>
          </cell>
          <cell r="O809">
            <v>250000</v>
          </cell>
          <cell r="P809">
            <v>680400</v>
          </cell>
        </row>
        <row r="810">
          <cell r="B810" t="str">
            <v>BKL230147</v>
          </cell>
          <cell r="C810" t="str">
            <v>ĐỖ PHẠM QUÝ NHI</v>
          </cell>
          <cell r="F810">
            <v>6710400</v>
          </cell>
          <cell r="I810" t="str">
            <v>31/08/2023</v>
          </cell>
          <cell r="N810">
            <v>5780000</v>
          </cell>
          <cell r="O810">
            <v>250000</v>
          </cell>
          <cell r="P810">
            <v>680400</v>
          </cell>
        </row>
        <row r="811">
          <cell r="B811" t="str">
            <v>BKL230054</v>
          </cell>
          <cell r="C811" t="str">
            <v>VŨ THỊ HƯƠNG GIANG</v>
          </cell>
          <cell r="F811">
            <v>930400</v>
          </cell>
          <cell r="I811" t="str">
            <v>31/08/2023</v>
          </cell>
          <cell r="N811">
            <v>0</v>
          </cell>
          <cell r="O811">
            <v>250000</v>
          </cell>
          <cell r="P811">
            <v>680400</v>
          </cell>
        </row>
        <row r="812">
          <cell r="B812" t="str">
            <v>bgd230017</v>
          </cell>
          <cell r="C812" t="str">
            <v>BÙI THỊ VÂN ANH</v>
          </cell>
          <cell r="F812">
            <v>14790400</v>
          </cell>
          <cell r="I812" t="str">
            <v>31/08/2023</v>
          </cell>
          <cell r="N812">
            <v>13860000</v>
          </cell>
          <cell r="O812">
            <v>250000</v>
          </cell>
          <cell r="P812">
            <v>680400</v>
          </cell>
        </row>
        <row r="813">
          <cell r="B813" t="str">
            <v>BKL230209</v>
          </cell>
          <cell r="C813" t="str">
            <v>NGUYỄN NGỌC ÁNH</v>
          </cell>
          <cell r="F813">
            <v>16330400</v>
          </cell>
          <cell r="I813" t="str">
            <v>31/08/2023</v>
          </cell>
          <cell r="N813">
            <v>15400000</v>
          </cell>
          <cell r="O813">
            <v>250000</v>
          </cell>
          <cell r="P813">
            <v>680400</v>
          </cell>
        </row>
        <row r="814">
          <cell r="B814" t="str">
            <v>BKL230159</v>
          </cell>
          <cell r="C814" t="str">
            <v>NGUYỄN ANH QUÂN</v>
          </cell>
          <cell r="F814">
            <v>8630400</v>
          </cell>
          <cell r="I814" t="str">
            <v>31/08/2023</v>
          </cell>
          <cell r="N814">
            <v>7700000</v>
          </cell>
          <cell r="O814">
            <v>250000</v>
          </cell>
          <cell r="P814">
            <v>680400</v>
          </cell>
        </row>
        <row r="815">
          <cell r="B815" t="str">
            <v>bjl230003</v>
          </cell>
          <cell r="C815" t="str">
            <v>HOÀNG DUY ANH</v>
          </cell>
          <cell r="F815">
            <v>13250400</v>
          </cell>
          <cell r="I815" t="str">
            <v>31/08/2023</v>
          </cell>
          <cell r="N815">
            <v>12320000</v>
          </cell>
          <cell r="O815">
            <v>250000</v>
          </cell>
          <cell r="P815">
            <v>680400</v>
          </cell>
        </row>
        <row r="816">
          <cell r="B816" t="str">
            <v>bjl230002</v>
          </cell>
          <cell r="C816" t="str">
            <v>HOÀNG TÙNG ANH</v>
          </cell>
          <cell r="F816">
            <v>13250400</v>
          </cell>
          <cell r="I816" t="str">
            <v>31/08/2023</v>
          </cell>
          <cell r="N816">
            <v>12320000</v>
          </cell>
          <cell r="O816">
            <v>250000</v>
          </cell>
          <cell r="P816">
            <v>680400</v>
          </cell>
        </row>
        <row r="817">
          <cell r="B817" t="str">
            <v>bkl230199</v>
          </cell>
          <cell r="C817" t="str">
            <v>NGUYỄN DUY TÙNG</v>
          </cell>
          <cell r="F817">
            <v>6710400</v>
          </cell>
          <cell r="I817" t="str">
            <v>31/08/2023</v>
          </cell>
          <cell r="N817">
            <v>5780000</v>
          </cell>
          <cell r="O817">
            <v>250000</v>
          </cell>
          <cell r="P817">
            <v>680400</v>
          </cell>
        </row>
        <row r="818">
          <cell r="B818" t="str">
            <v>BkL230154</v>
          </cell>
          <cell r="C818" t="str">
            <v>NGUYỄN THỊ LAN PHƯƠNG</v>
          </cell>
          <cell r="F818">
            <v>13250400</v>
          </cell>
          <cell r="I818" t="str">
            <v>31/08/2023</v>
          </cell>
          <cell r="N818">
            <v>12320000</v>
          </cell>
          <cell r="O818">
            <v>250000</v>
          </cell>
          <cell r="P818">
            <v>680400</v>
          </cell>
        </row>
        <row r="819">
          <cell r="B819" t="str">
            <v>bkl230121</v>
          </cell>
          <cell r="C819" t="str">
            <v>KHƯƠNG THỊ LY</v>
          </cell>
          <cell r="F819">
            <v>14790400</v>
          </cell>
          <cell r="I819" t="str">
            <v>31/08/2023</v>
          </cell>
          <cell r="N819">
            <v>13860000</v>
          </cell>
          <cell r="O819">
            <v>250000</v>
          </cell>
          <cell r="P819">
            <v>680400</v>
          </cell>
        </row>
        <row r="820">
          <cell r="B820" t="str">
            <v>BGD230113</v>
          </cell>
          <cell r="C820" t="str">
            <v>NINH GIA KHÁNH</v>
          </cell>
          <cell r="F820">
            <v>14790400</v>
          </cell>
          <cell r="I820" t="str">
            <v>31/08/2023</v>
          </cell>
          <cell r="N820">
            <v>13860000</v>
          </cell>
          <cell r="O820">
            <v>250000</v>
          </cell>
          <cell r="P820">
            <v>680400</v>
          </cell>
        </row>
        <row r="821">
          <cell r="B821" t="str">
            <v>bkl230068</v>
          </cell>
          <cell r="C821" t="str">
            <v>NGÔ ĐỨC HIỀN</v>
          </cell>
          <cell r="F821">
            <v>13250400</v>
          </cell>
          <cell r="I821" t="str">
            <v>31/08/2023</v>
          </cell>
          <cell r="N821">
            <v>12320000</v>
          </cell>
          <cell r="O821">
            <v>250000</v>
          </cell>
          <cell r="P821">
            <v>680400</v>
          </cell>
        </row>
        <row r="822">
          <cell r="B822" t="str">
            <v>BGD230209</v>
          </cell>
          <cell r="C822" t="str">
            <v>PHAN VŨ MINH TRANG</v>
          </cell>
          <cell r="F822">
            <v>3630400</v>
          </cell>
          <cell r="I822" t="str">
            <v>31/08/2023</v>
          </cell>
          <cell r="N822">
            <v>2700000</v>
          </cell>
          <cell r="O822">
            <v>250000</v>
          </cell>
          <cell r="P822">
            <v>680400</v>
          </cell>
        </row>
        <row r="823">
          <cell r="B823" t="str">
            <v>BGD230078</v>
          </cell>
          <cell r="C823" t="str">
            <v>TRẦN VĂN HIẾU</v>
          </cell>
          <cell r="F823">
            <v>13250400</v>
          </cell>
          <cell r="I823" t="str">
            <v>31/08/2023</v>
          </cell>
          <cell r="N823">
            <v>12320000</v>
          </cell>
          <cell r="O823">
            <v>250000</v>
          </cell>
          <cell r="P823">
            <v>680400</v>
          </cell>
        </row>
        <row r="824">
          <cell r="B824" t="str">
            <v>bkl230008</v>
          </cell>
          <cell r="C824" t="str">
            <v>NGUYỄN THỊ MINH ANH</v>
          </cell>
          <cell r="F824">
            <v>14790400</v>
          </cell>
          <cell r="I824" t="str">
            <v>31/08/2023</v>
          </cell>
          <cell r="N824">
            <v>13860000</v>
          </cell>
          <cell r="O824">
            <v>250000</v>
          </cell>
          <cell r="P824">
            <v>680400</v>
          </cell>
        </row>
        <row r="825">
          <cell r="B825" t="str">
            <v>BGD230211</v>
          </cell>
          <cell r="C825" t="str">
            <v>BÙI THỊ HUYỀN TRANG</v>
          </cell>
          <cell r="F825">
            <v>14790400</v>
          </cell>
          <cell r="I825" t="str">
            <v>31/08/2023</v>
          </cell>
          <cell r="N825">
            <v>13860000</v>
          </cell>
          <cell r="O825">
            <v>250000</v>
          </cell>
          <cell r="P825">
            <v>680400</v>
          </cell>
        </row>
        <row r="826">
          <cell r="B826" t="str">
            <v>BKL230122</v>
          </cell>
          <cell r="C826" t="str">
            <v>LÊ HÀ LY</v>
          </cell>
          <cell r="F826">
            <v>13250400</v>
          </cell>
          <cell r="I826" t="str">
            <v>31/08/2023</v>
          </cell>
          <cell r="N826">
            <v>12320000</v>
          </cell>
          <cell r="O826">
            <v>250000</v>
          </cell>
          <cell r="P826">
            <v>680400</v>
          </cell>
        </row>
        <row r="827">
          <cell r="B827" t="str">
            <v>bkl230063</v>
          </cell>
          <cell r="C827" t="str">
            <v>CHỬ GIA HÂN</v>
          </cell>
          <cell r="F827">
            <v>16330400</v>
          </cell>
          <cell r="I827" t="str">
            <v>31/08/2023</v>
          </cell>
          <cell r="N827">
            <v>15400000</v>
          </cell>
          <cell r="O827">
            <v>250000</v>
          </cell>
          <cell r="P827">
            <v>680400</v>
          </cell>
        </row>
        <row r="828">
          <cell r="B828" t="str">
            <v>BGD230126</v>
          </cell>
          <cell r="C828" t="str">
            <v>VƯƠNG THÀNH LINH</v>
          </cell>
          <cell r="F828">
            <v>6710400</v>
          </cell>
          <cell r="I828" t="str">
            <v>31/08/2023</v>
          </cell>
          <cell r="N828">
            <v>5780000</v>
          </cell>
          <cell r="O828">
            <v>250000</v>
          </cell>
          <cell r="P828">
            <v>680400</v>
          </cell>
        </row>
        <row r="829">
          <cell r="B829" t="str">
            <v>bgd230024</v>
          </cell>
          <cell r="C829" t="str">
            <v>NGUYỄN THỊ MINH ÁNH</v>
          </cell>
          <cell r="F829">
            <v>16330400</v>
          </cell>
          <cell r="I829" t="str">
            <v>31/08/2023</v>
          </cell>
          <cell r="N829">
            <v>15400000</v>
          </cell>
          <cell r="O829">
            <v>250000</v>
          </cell>
          <cell r="P829">
            <v>680400</v>
          </cell>
        </row>
        <row r="830">
          <cell r="B830" t="str">
            <v>bgd230043</v>
          </cell>
          <cell r="C830" t="str">
            <v>LÊ MINH ĐỨC</v>
          </cell>
          <cell r="F830">
            <v>8250400</v>
          </cell>
          <cell r="I830" t="str">
            <v>31/08/2023</v>
          </cell>
          <cell r="N830">
            <v>7320000</v>
          </cell>
          <cell r="O830">
            <v>250000</v>
          </cell>
          <cell r="P830">
            <v>680400</v>
          </cell>
        </row>
        <row r="831">
          <cell r="B831" t="str">
            <v>BKL230080</v>
          </cell>
          <cell r="C831" t="str">
            <v>PHẠM THU HƯƠNG</v>
          </cell>
          <cell r="F831">
            <v>5550400</v>
          </cell>
          <cell r="I831" t="str">
            <v>31/08/2023</v>
          </cell>
          <cell r="N831">
            <v>4620000</v>
          </cell>
          <cell r="O831">
            <v>250000</v>
          </cell>
          <cell r="P831">
            <v>680400</v>
          </cell>
        </row>
        <row r="832">
          <cell r="B832" t="str">
            <v>bit230477</v>
          </cell>
          <cell r="C832" t="str">
            <v>NGUYỄN TUẤN ANH</v>
          </cell>
          <cell r="F832">
            <v>19130400</v>
          </cell>
          <cell r="I832" t="str">
            <v>31/08/2023</v>
          </cell>
          <cell r="N832">
            <v>18200000</v>
          </cell>
          <cell r="O832">
            <v>250000</v>
          </cell>
          <cell r="P832">
            <v>680400</v>
          </cell>
        </row>
        <row r="833">
          <cell r="B833" t="str">
            <v>bgd230084</v>
          </cell>
          <cell r="C833" t="str">
            <v>NGUYỄN HUY HOÀNG</v>
          </cell>
          <cell r="F833">
            <v>13250400</v>
          </cell>
          <cell r="I833" t="str">
            <v>31/08/2023</v>
          </cell>
          <cell r="N833">
            <v>12320000</v>
          </cell>
          <cell r="O833">
            <v>250000</v>
          </cell>
          <cell r="P833">
            <v>680400</v>
          </cell>
        </row>
        <row r="834">
          <cell r="B834" t="str">
            <v>bgd230205</v>
          </cell>
          <cell r="C834" t="str">
            <v>NGUYỄN XUÂN TIẾN</v>
          </cell>
          <cell r="F834">
            <v>6710400</v>
          </cell>
          <cell r="I834" t="str">
            <v>31/08/2023</v>
          </cell>
          <cell r="N834">
            <v>5780000</v>
          </cell>
          <cell r="O834">
            <v>250000</v>
          </cell>
          <cell r="P834">
            <v>680400</v>
          </cell>
        </row>
        <row r="835">
          <cell r="B835" t="str">
            <v>bgd230197</v>
          </cell>
          <cell r="C835" t="str">
            <v>NGUYỄN VY THẢO</v>
          </cell>
          <cell r="F835">
            <v>6710400</v>
          </cell>
          <cell r="I835" t="str">
            <v>31/08/2023</v>
          </cell>
          <cell r="N835">
            <v>5780000</v>
          </cell>
          <cell r="O835">
            <v>250000</v>
          </cell>
          <cell r="P835">
            <v>680400</v>
          </cell>
        </row>
        <row r="836">
          <cell r="B836" t="str">
            <v>bit230474</v>
          </cell>
          <cell r="C836" t="str">
            <v>NGUYỄN PHÚ TRỌNG</v>
          </cell>
          <cell r="F836">
            <v>19130400</v>
          </cell>
          <cell r="I836" t="str">
            <v>31/08/2023</v>
          </cell>
          <cell r="N836">
            <v>18200000</v>
          </cell>
          <cell r="O836">
            <v>250000</v>
          </cell>
          <cell r="P836">
            <v>680400</v>
          </cell>
        </row>
        <row r="837">
          <cell r="B837" t="str">
            <v>BGD230097</v>
          </cell>
          <cell r="C837" t="str">
            <v>NGUYỄN QUỲNH HƯƠNG</v>
          </cell>
          <cell r="F837">
            <v>14790400</v>
          </cell>
          <cell r="I837" t="str">
            <v>31/08/2023</v>
          </cell>
          <cell r="N837">
            <v>13860000</v>
          </cell>
          <cell r="O837">
            <v>250000</v>
          </cell>
          <cell r="P837">
            <v>680400</v>
          </cell>
        </row>
        <row r="838">
          <cell r="B838" t="str">
            <v>bkl230020</v>
          </cell>
          <cell r="C838" t="str">
            <v>NGUYỄN NGUYỆT ÁNH</v>
          </cell>
          <cell r="F838">
            <v>16330400</v>
          </cell>
          <cell r="I838" t="str">
            <v>31/08/2023</v>
          </cell>
          <cell r="N838">
            <v>15400000</v>
          </cell>
          <cell r="O838">
            <v>250000</v>
          </cell>
          <cell r="P838">
            <v>680400</v>
          </cell>
        </row>
        <row r="839">
          <cell r="B839" t="str">
            <v>bba230143</v>
          </cell>
          <cell r="C839" t="str">
            <v>VŨ VĂN HIỆP</v>
          </cell>
          <cell r="F839">
            <v>16050400</v>
          </cell>
          <cell r="I839" t="str">
            <v>31/08/2023</v>
          </cell>
          <cell r="N839">
            <v>15120000</v>
          </cell>
          <cell r="O839">
            <v>250000</v>
          </cell>
          <cell r="P839">
            <v>680400</v>
          </cell>
        </row>
        <row r="840">
          <cell r="B840" t="str">
            <v>bjl230036</v>
          </cell>
          <cell r="C840" t="str">
            <v>ĐÀO THỊ PHƯƠNG</v>
          </cell>
          <cell r="F840">
            <v>16330400</v>
          </cell>
          <cell r="I840" t="str">
            <v>31/08/2023</v>
          </cell>
          <cell r="N840">
            <v>15400000</v>
          </cell>
          <cell r="O840">
            <v>250000</v>
          </cell>
          <cell r="P840">
            <v>680400</v>
          </cell>
        </row>
        <row r="841">
          <cell r="B841" t="str">
            <v>BGD230045</v>
          </cell>
          <cell r="C841" t="str">
            <v>TRƯƠNG NGỌC ĐỨC</v>
          </cell>
          <cell r="F841">
            <v>3630400</v>
          </cell>
          <cell r="I841" t="str">
            <v>31/08/2023</v>
          </cell>
          <cell r="N841">
            <v>2700000</v>
          </cell>
          <cell r="O841">
            <v>250000</v>
          </cell>
          <cell r="P841">
            <v>680400</v>
          </cell>
        </row>
        <row r="842">
          <cell r="B842" t="str">
            <v>BKL230018</v>
          </cell>
          <cell r="C842" t="str">
            <v>TRẦN TUẤN ANH</v>
          </cell>
          <cell r="F842">
            <v>13250400</v>
          </cell>
          <cell r="I842" t="str">
            <v>31/08/2023</v>
          </cell>
          <cell r="N842">
            <v>12320000</v>
          </cell>
          <cell r="O842">
            <v>250000</v>
          </cell>
          <cell r="P842">
            <v>680400</v>
          </cell>
        </row>
        <row r="843">
          <cell r="B843" t="str">
            <v>BKL230089</v>
          </cell>
          <cell r="C843" t="str">
            <v>LÊ MINH HUYỀN</v>
          </cell>
          <cell r="F843">
            <v>6710400</v>
          </cell>
          <cell r="I843" t="str">
            <v>31/08/2023</v>
          </cell>
          <cell r="N843">
            <v>5780000</v>
          </cell>
          <cell r="O843">
            <v>250000</v>
          </cell>
          <cell r="P843">
            <v>680400</v>
          </cell>
        </row>
        <row r="844">
          <cell r="B844" t="str">
            <v>bba230198</v>
          </cell>
          <cell r="C844" t="str">
            <v>ĐÀM DUY KHÁNH</v>
          </cell>
          <cell r="F844">
            <v>9370400</v>
          </cell>
          <cell r="I844" t="str">
            <v>31/08/2023</v>
          </cell>
          <cell r="N844">
            <v>8440000</v>
          </cell>
          <cell r="O844">
            <v>250000</v>
          </cell>
          <cell r="P844">
            <v>680400</v>
          </cell>
        </row>
        <row r="845">
          <cell r="B845" t="str">
            <v>BGD230222</v>
          </cell>
          <cell r="C845" t="str">
            <v>NGUYỄN SƠN TÙNG</v>
          </cell>
          <cell r="F845">
            <v>6710400</v>
          </cell>
          <cell r="I845" t="str">
            <v>31/08/2023</v>
          </cell>
          <cell r="N845">
            <v>5780000</v>
          </cell>
          <cell r="O845">
            <v>250000</v>
          </cell>
          <cell r="P845">
            <v>680400</v>
          </cell>
        </row>
        <row r="846">
          <cell r="B846" t="str">
            <v>BBA230084</v>
          </cell>
          <cell r="C846" t="str">
            <v>LÊ NGUYỄN HẢI ĐĂNG</v>
          </cell>
          <cell r="F846">
            <v>9370400</v>
          </cell>
          <cell r="I846" t="str">
            <v>31/08/2023</v>
          </cell>
          <cell r="N846">
            <v>8440000</v>
          </cell>
          <cell r="O846">
            <v>250000</v>
          </cell>
          <cell r="P846">
            <v>680400</v>
          </cell>
        </row>
        <row r="847">
          <cell r="B847" t="str">
            <v>BKL230210</v>
          </cell>
          <cell r="C847" t="str">
            <v>VŨ HÀ GIANG</v>
          </cell>
          <cell r="F847">
            <v>10000000</v>
          </cell>
          <cell r="I847" t="str">
            <v>31/08/2023</v>
          </cell>
          <cell r="N847">
            <v>10000000</v>
          </cell>
        </row>
        <row r="848">
          <cell r="B848" t="str">
            <v>BKL230111</v>
          </cell>
          <cell r="C848" t="str">
            <v>TRẦN NGỌC LINH</v>
          </cell>
          <cell r="F848">
            <v>2000000</v>
          </cell>
          <cell r="I848" t="str">
            <v>31/08/2023</v>
          </cell>
          <cell r="N848">
            <v>2000000</v>
          </cell>
        </row>
        <row r="849">
          <cell r="B849" t="str">
            <v>bgd230132</v>
          </cell>
          <cell r="C849" t="str">
            <v>PHẠM THỊ LUYÊN</v>
          </cell>
          <cell r="F849">
            <v>14790400</v>
          </cell>
          <cell r="I849" t="str">
            <v>31/08/2023</v>
          </cell>
          <cell r="N849">
            <v>13860000</v>
          </cell>
          <cell r="O849">
            <v>250000</v>
          </cell>
          <cell r="P849">
            <v>680400</v>
          </cell>
        </row>
        <row r="850">
          <cell r="B850" t="str">
            <v>BGD230149</v>
          </cell>
          <cell r="C850" t="str">
            <v>LÊ PHƯƠNG NAM</v>
          </cell>
          <cell r="F850">
            <v>16330400</v>
          </cell>
          <cell r="I850" t="str">
            <v>31/08/2023</v>
          </cell>
          <cell r="N850">
            <v>15400000</v>
          </cell>
          <cell r="O850">
            <v>250000</v>
          </cell>
          <cell r="P850">
            <v>680400</v>
          </cell>
        </row>
        <row r="851">
          <cell r="B851" t="str">
            <v>bgd230054</v>
          </cell>
          <cell r="C851" t="str">
            <v>NGÔ MINH DƯƠNG</v>
          </cell>
          <cell r="F851">
            <v>8250400</v>
          </cell>
          <cell r="I851" t="str">
            <v>31/08/2023</v>
          </cell>
          <cell r="N851">
            <v>7320000</v>
          </cell>
          <cell r="O851">
            <v>250000</v>
          </cell>
          <cell r="P851">
            <v>680400</v>
          </cell>
        </row>
        <row r="852">
          <cell r="B852" t="str">
            <v>BGD230080</v>
          </cell>
          <cell r="C852" t="str">
            <v>NGUYỄN TUẤN HIẾU</v>
          </cell>
          <cell r="F852">
            <v>6710400</v>
          </cell>
          <cell r="I852" t="str">
            <v>31/08/2023</v>
          </cell>
          <cell r="N852">
            <v>5780000</v>
          </cell>
          <cell r="O852">
            <v>250000</v>
          </cell>
          <cell r="P852">
            <v>680400</v>
          </cell>
        </row>
        <row r="853">
          <cell r="B853" t="str">
            <v>bgd230022</v>
          </cell>
          <cell r="C853" t="str">
            <v>NGUYỄN NGỌC ÁNH</v>
          </cell>
          <cell r="F853">
            <v>13250400</v>
          </cell>
          <cell r="I853" t="str">
            <v>31/08/2023</v>
          </cell>
          <cell r="N853">
            <v>12320000</v>
          </cell>
          <cell r="O853">
            <v>250000</v>
          </cell>
          <cell r="P853">
            <v>680400</v>
          </cell>
        </row>
        <row r="855">
          <cell r="B855" t="str">
            <v>BGD230028</v>
          </cell>
          <cell r="C855" t="str">
            <v>ĐỒNG THỊ HẢI BÌNH</v>
          </cell>
          <cell r="F855">
            <v>380000</v>
          </cell>
          <cell r="I855" t="str">
            <v>31/08/2023</v>
          </cell>
          <cell r="N855">
            <v>0</v>
          </cell>
          <cell r="P855">
            <v>380000</v>
          </cell>
        </row>
        <row r="856">
          <cell r="B856" t="str">
            <v>bgd230051</v>
          </cell>
          <cell r="C856" t="str">
            <v>ĐỖ THÙY DƯƠNG</v>
          </cell>
          <cell r="F856">
            <v>8250400</v>
          </cell>
          <cell r="I856" t="str">
            <v>31/08/2023</v>
          </cell>
          <cell r="N856">
            <v>7320000</v>
          </cell>
          <cell r="O856">
            <v>250000</v>
          </cell>
          <cell r="P856">
            <v>680400</v>
          </cell>
        </row>
        <row r="857">
          <cell r="B857" t="str">
            <v>BGD230156</v>
          </cell>
          <cell r="C857" t="str">
            <v>BẠCH ĐĂNG NGUYÊN</v>
          </cell>
          <cell r="F857">
            <v>380000</v>
          </cell>
          <cell r="I857" t="str">
            <v>31/08/2023</v>
          </cell>
          <cell r="N857">
            <v>0</v>
          </cell>
          <cell r="P857">
            <v>380000</v>
          </cell>
        </row>
        <row r="858">
          <cell r="B858" t="str">
            <v>BGD230203</v>
          </cell>
          <cell r="C858" t="str">
            <v>NGUYỄN THỊ THANH THUÝ</v>
          </cell>
          <cell r="F858">
            <v>16330400</v>
          </cell>
          <cell r="I858" t="str">
            <v>31/08/2023</v>
          </cell>
          <cell r="N858">
            <v>15400000</v>
          </cell>
          <cell r="O858">
            <v>250000</v>
          </cell>
          <cell r="P858">
            <v>680400</v>
          </cell>
        </row>
        <row r="859">
          <cell r="B859" t="str">
            <v>BGD230144</v>
          </cell>
          <cell r="C859" t="str">
            <v>CHU TRỌNG MINH</v>
          </cell>
          <cell r="F859">
            <v>14790400</v>
          </cell>
          <cell r="I859" t="str">
            <v>31/08/2023</v>
          </cell>
          <cell r="N859">
            <v>13860000</v>
          </cell>
          <cell r="O859">
            <v>250000</v>
          </cell>
          <cell r="P859">
            <v>680400</v>
          </cell>
        </row>
        <row r="860">
          <cell r="B860" t="str">
            <v>BGD230086</v>
          </cell>
          <cell r="C860" t="str">
            <v>TRẦN VĂN HUẤN</v>
          </cell>
          <cell r="F860">
            <v>8250400</v>
          </cell>
          <cell r="I860" t="str">
            <v>31/08/2023</v>
          </cell>
          <cell r="N860">
            <v>7320000</v>
          </cell>
          <cell r="O860">
            <v>250000</v>
          </cell>
          <cell r="P860">
            <v>680400</v>
          </cell>
        </row>
        <row r="861">
          <cell r="B861" t="str">
            <v>BGD230031</v>
          </cell>
          <cell r="C861" t="str">
            <v>NGUYỄN NGỌC ANH CHI</v>
          </cell>
          <cell r="F861">
            <v>6710400</v>
          </cell>
          <cell r="I861" t="str">
            <v>31/08/2023</v>
          </cell>
          <cell r="N861">
            <v>5780000</v>
          </cell>
          <cell r="O861">
            <v>250000</v>
          </cell>
          <cell r="P861">
            <v>680400</v>
          </cell>
        </row>
        <row r="862">
          <cell r="B862" t="str">
            <v>BGD230171</v>
          </cell>
          <cell r="C862" t="str">
            <v>LÊ HOÀNG PHÚC</v>
          </cell>
          <cell r="F862">
            <v>6710400</v>
          </cell>
          <cell r="I862" t="str">
            <v>31/08/2023</v>
          </cell>
          <cell r="N862">
            <v>5780000</v>
          </cell>
          <cell r="O862">
            <v>250000</v>
          </cell>
          <cell r="P862">
            <v>680400</v>
          </cell>
        </row>
        <row r="863">
          <cell r="B863" t="str">
            <v>bcs230087</v>
          </cell>
          <cell r="C863" t="str">
            <v>LÊ VĂN TÚ</v>
          </cell>
          <cell r="F863">
            <v>10000000</v>
          </cell>
          <cell r="I863" t="str">
            <v>31/08/2023</v>
          </cell>
          <cell r="N863">
            <v>10000000</v>
          </cell>
        </row>
        <row r="864">
          <cell r="B864" t="str">
            <v>BKL230148</v>
          </cell>
          <cell r="C864" t="str">
            <v>LÊ THỊ YẾN NHI</v>
          </cell>
          <cell r="F864">
            <v>8250400</v>
          </cell>
          <cell r="I864" t="str">
            <v>31/08/2023</v>
          </cell>
          <cell r="N864">
            <v>7320000</v>
          </cell>
          <cell r="O864">
            <v>250000</v>
          </cell>
          <cell r="P864">
            <v>680400</v>
          </cell>
        </row>
        <row r="865">
          <cell r="B865" t="str">
            <v>bjl230021</v>
          </cell>
          <cell r="C865" t="str">
            <v>VŨ QUANG HUY</v>
          </cell>
          <cell r="F865">
            <v>6710400</v>
          </cell>
          <cell r="I865" t="str">
            <v>31/08/2023</v>
          </cell>
          <cell r="N865">
            <v>5780000</v>
          </cell>
          <cell r="O865">
            <v>250000</v>
          </cell>
          <cell r="P865">
            <v>680400</v>
          </cell>
        </row>
        <row r="866">
          <cell r="B866" t="str">
            <v>BJL230049</v>
          </cell>
          <cell r="C866" t="str">
            <v>NGUYỄN THỊ HẢI YẾN</v>
          </cell>
          <cell r="F866">
            <v>14790400</v>
          </cell>
          <cell r="I866" t="str">
            <v>31/08/2023</v>
          </cell>
          <cell r="N866">
            <v>13860000</v>
          </cell>
          <cell r="O866">
            <v>250000</v>
          </cell>
          <cell r="P866">
            <v>680400</v>
          </cell>
        </row>
        <row r="867">
          <cell r="B867" t="str">
            <v>BGD230239</v>
          </cell>
          <cell r="C867" t="str">
            <v>BÙI THỊ HẢI YẾN</v>
          </cell>
          <cell r="F867">
            <v>14790400</v>
          </cell>
          <cell r="I867" t="str">
            <v>31/08/2023</v>
          </cell>
          <cell r="N867">
            <v>13860000</v>
          </cell>
          <cell r="O867">
            <v>250000</v>
          </cell>
          <cell r="P867">
            <v>680400</v>
          </cell>
        </row>
        <row r="868">
          <cell r="B868" t="str">
            <v>bgd230242</v>
          </cell>
          <cell r="C868" t="str">
            <v>NGUYỄN MẠNH THẮNG</v>
          </cell>
          <cell r="F868">
            <v>16330400</v>
          </cell>
          <cell r="I868" t="str">
            <v>31/08/2023</v>
          </cell>
          <cell r="N868">
            <v>15400000</v>
          </cell>
          <cell r="O868">
            <v>250000</v>
          </cell>
          <cell r="P868">
            <v>680400</v>
          </cell>
        </row>
        <row r="869">
          <cell r="B869" t="str">
            <v>BIT230232</v>
          </cell>
          <cell r="C869" t="str">
            <v>NGUYỄN HOÀNG LÂN</v>
          </cell>
          <cell r="F869">
            <v>940000</v>
          </cell>
          <cell r="I869" t="str">
            <v>31/08/2023</v>
          </cell>
          <cell r="N869">
            <v>9600</v>
          </cell>
          <cell r="O869">
            <v>250000</v>
          </cell>
          <cell r="P869">
            <v>680400</v>
          </cell>
        </row>
        <row r="870">
          <cell r="B870" t="str">
            <v>BKL230030</v>
          </cell>
          <cell r="C870" t="str">
            <v>HỨA ĐỨC BƯU</v>
          </cell>
          <cell r="F870">
            <v>5550400</v>
          </cell>
          <cell r="I870" t="str">
            <v>31/08/2023</v>
          </cell>
          <cell r="N870">
            <v>4620000.0000000009</v>
          </cell>
          <cell r="O870">
            <v>250000</v>
          </cell>
          <cell r="P870">
            <v>680400</v>
          </cell>
        </row>
        <row r="871">
          <cell r="B871" t="str">
            <v>bit230259</v>
          </cell>
          <cell r="C871" t="str">
            <v>NGUYỄN NHẬT MINH</v>
          </cell>
          <cell r="F871">
            <v>10030400</v>
          </cell>
          <cell r="I871" t="str">
            <v>31/08/2023</v>
          </cell>
          <cell r="N871">
            <v>9100000</v>
          </cell>
          <cell r="O871">
            <v>250000</v>
          </cell>
          <cell r="P871">
            <v>680400</v>
          </cell>
        </row>
        <row r="872">
          <cell r="B872" t="str">
            <v>BGD230170</v>
          </cell>
          <cell r="C872" t="str">
            <v>ĐỖ TRỌNG PHÚ</v>
          </cell>
          <cell r="F872">
            <v>14790400</v>
          </cell>
          <cell r="I872" t="str">
            <v>31/08/2023</v>
          </cell>
          <cell r="N872">
            <v>13860000</v>
          </cell>
          <cell r="O872">
            <v>250000</v>
          </cell>
          <cell r="P872">
            <v>680400</v>
          </cell>
        </row>
        <row r="873">
          <cell r="B873" t="str">
            <v>bba230095</v>
          </cell>
          <cell r="C873" t="str">
            <v>DƯƠNG TUẤN ĐỨC</v>
          </cell>
          <cell r="F873">
            <v>16050400</v>
          </cell>
          <cell r="I873" t="str">
            <v>31/08/2023</v>
          </cell>
          <cell r="N873">
            <v>15120000</v>
          </cell>
          <cell r="O873">
            <v>250000</v>
          </cell>
          <cell r="P873">
            <v>680400</v>
          </cell>
        </row>
        <row r="874">
          <cell r="B874" t="str">
            <v>CMC200700380</v>
          </cell>
          <cell r="C874" t="str">
            <v>HOÀNG LÊ  THÙY DƯƠNG</v>
          </cell>
          <cell r="F874">
            <v>5000000</v>
          </cell>
          <cell r="I874" t="str">
            <v>31/08/2023</v>
          </cell>
          <cell r="N874">
            <v>5000000</v>
          </cell>
        </row>
      </sheetData>
      <sheetData sheetId="7"/>
      <sheetData sheetId="8">
        <row r="10">
          <cell r="B10" t="str">
            <v>LÊ THỊ KHÁNH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C82FD-D1CE-4934-A47E-0C69AC43DF50}">
  <dimension ref="A1:AB845"/>
  <sheetViews>
    <sheetView tabSelected="1" workbookViewId="0">
      <selection activeCell="J1" sqref="J1"/>
    </sheetView>
  </sheetViews>
  <sheetFormatPr defaultRowHeight="12.75" x14ac:dyDescent="0.2"/>
  <cols>
    <col min="2" max="2" width="13.140625" customWidth="1"/>
    <col min="3" max="3" width="25.5703125" customWidth="1"/>
    <col min="4" max="4" width="10" customWidth="1"/>
    <col min="5" max="5" width="15.28515625" customWidth="1"/>
    <col min="6" max="6" width="12.5703125" customWidth="1"/>
    <col min="7" max="7" width="13.85546875" customWidth="1"/>
    <col min="8" max="9" width="14.28515625" customWidth="1"/>
    <col min="10" max="10" width="13.5703125" customWidth="1"/>
    <col min="13" max="13" width="0" hidden="1" customWidth="1"/>
    <col min="14" max="14" width="14.42578125" hidden="1" customWidth="1"/>
    <col min="15" max="15" width="11.5703125" hidden="1" customWidth="1"/>
    <col min="16" max="16" width="18.28515625" hidden="1" customWidth="1"/>
    <col min="17" max="17" width="12.28515625" hidden="1" customWidth="1"/>
    <col min="18" max="18" width="13.28515625" hidden="1" customWidth="1"/>
    <col min="19" max="19" width="13.5703125" hidden="1" customWidth="1"/>
    <col min="20" max="21" width="15.28515625" hidden="1" customWidth="1"/>
    <col min="22" max="26" width="12" hidden="1" customWidth="1"/>
    <col min="27" max="27" width="12.85546875" hidden="1" customWidth="1"/>
    <col min="28" max="28" width="9.7109375" bestFit="1" customWidth="1"/>
  </cols>
  <sheetData>
    <row r="1" spans="1:27" x14ac:dyDescent="0.2">
      <c r="A1" s="14" t="s">
        <v>1994</v>
      </c>
      <c r="B1" s="14" t="s">
        <v>1995</v>
      </c>
      <c r="C1" s="14" t="s">
        <v>1998</v>
      </c>
      <c r="D1" s="14" t="s">
        <v>1997</v>
      </c>
      <c r="E1" s="14" t="s">
        <v>1996</v>
      </c>
      <c r="F1" s="14" t="s">
        <v>2105</v>
      </c>
      <c r="G1" s="14" t="s">
        <v>2106</v>
      </c>
      <c r="H1" s="14" t="s">
        <v>2107</v>
      </c>
      <c r="I1" s="14" t="s">
        <v>2108</v>
      </c>
      <c r="J1" s="14" t="s">
        <v>2109</v>
      </c>
    </row>
    <row r="2" spans="1:27" x14ac:dyDescent="0.2">
      <c r="A2" s="4" t="s">
        <v>4</v>
      </c>
      <c r="B2" s="15" t="s">
        <v>5</v>
      </c>
      <c r="C2" s="15" t="s">
        <v>6</v>
      </c>
      <c r="D2" s="15">
        <v>1</v>
      </c>
      <c r="E2" s="16" t="s">
        <v>7</v>
      </c>
      <c r="F2" s="15">
        <v>5030400</v>
      </c>
      <c r="G2" s="15">
        <v>4100000</v>
      </c>
      <c r="H2" s="17">
        <v>250000</v>
      </c>
      <c r="I2" s="17">
        <v>680400</v>
      </c>
      <c r="J2" s="18" t="s">
        <v>8</v>
      </c>
      <c r="M2" s="2" t="s">
        <v>8</v>
      </c>
      <c r="N2" s="3">
        <f>SUMIF($J$2:$J$1997,M2,$F$2:$F$1997)</f>
        <v>7577088207</v>
      </c>
    </row>
    <row r="3" spans="1:27" x14ac:dyDescent="0.2">
      <c r="A3" s="4" t="s">
        <v>10</v>
      </c>
      <c r="B3" s="15" t="s">
        <v>11</v>
      </c>
      <c r="C3" s="15" t="s">
        <v>12</v>
      </c>
      <c r="D3" s="15">
        <v>1</v>
      </c>
      <c r="E3" s="16" t="s">
        <v>7</v>
      </c>
      <c r="F3" s="15">
        <v>930400</v>
      </c>
      <c r="G3" s="15">
        <v>0</v>
      </c>
      <c r="H3" s="17">
        <v>250000</v>
      </c>
      <c r="I3" s="17">
        <v>680400</v>
      </c>
      <c r="J3" s="18" t="s">
        <v>8</v>
      </c>
      <c r="M3" s="2" t="s">
        <v>13</v>
      </c>
      <c r="N3" s="3">
        <f>SUMIF($J$2:$J$1997,M3,$F$2:$F$1997)</f>
        <v>0</v>
      </c>
    </row>
    <row r="4" spans="1:27" x14ac:dyDescent="0.2">
      <c r="A4" s="4" t="s">
        <v>15</v>
      </c>
      <c r="B4" s="15" t="s">
        <v>16</v>
      </c>
      <c r="C4" s="15" t="s">
        <v>17</v>
      </c>
      <c r="D4" s="15">
        <v>1</v>
      </c>
      <c r="E4" s="16" t="s">
        <v>7</v>
      </c>
      <c r="F4" s="15">
        <v>970400</v>
      </c>
      <c r="G4" s="15">
        <v>40000.000000000931</v>
      </c>
      <c r="H4" s="17">
        <v>250000</v>
      </c>
      <c r="I4" s="17">
        <v>680400</v>
      </c>
      <c r="J4" s="18" t="s">
        <v>8</v>
      </c>
      <c r="M4" s="2"/>
      <c r="N4" s="3">
        <f>SUMIF($J$2:$J$1997,M4,$F$2:$F$1997)</f>
        <v>0</v>
      </c>
      <c r="P4" s="3"/>
    </row>
    <row r="5" spans="1:27" x14ac:dyDescent="0.2">
      <c r="A5" s="4" t="s">
        <v>19</v>
      </c>
      <c r="B5" s="15" t="s">
        <v>20</v>
      </c>
      <c r="C5" s="15" t="s">
        <v>21</v>
      </c>
      <c r="D5" s="15">
        <v>1</v>
      </c>
      <c r="E5" s="16" t="s">
        <v>7</v>
      </c>
      <c r="F5" s="15">
        <v>8630400</v>
      </c>
      <c r="G5" s="15">
        <v>7700000</v>
      </c>
      <c r="H5" s="17">
        <v>250000</v>
      </c>
      <c r="I5" s="17">
        <v>680400</v>
      </c>
      <c r="J5" s="18" t="s">
        <v>8</v>
      </c>
    </row>
    <row r="6" spans="1:27" x14ac:dyDescent="0.2">
      <c r="A6" s="4" t="s">
        <v>22</v>
      </c>
      <c r="B6" s="15" t="s">
        <v>23</v>
      </c>
      <c r="C6" s="15" t="s">
        <v>24</v>
      </c>
      <c r="D6" s="15">
        <v>1</v>
      </c>
      <c r="E6" s="16" t="s">
        <v>7</v>
      </c>
      <c r="F6" s="15">
        <v>8250400</v>
      </c>
      <c r="G6" s="15">
        <v>7320000</v>
      </c>
      <c r="H6" s="17">
        <v>250000</v>
      </c>
      <c r="I6" s="17">
        <v>680400</v>
      </c>
      <c r="J6" s="18" t="s">
        <v>8</v>
      </c>
    </row>
    <row r="7" spans="1:27" x14ac:dyDescent="0.2">
      <c r="A7" s="4" t="s">
        <v>26</v>
      </c>
      <c r="B7" s="15" t="s">
        <v>27</v>
      </c>
      <c r="C7" s="15" t="s">
        <v>28</v>
      </c>
      <c r="D7" s="15">
        <v>1</v>
      </c>
      <c r="E7" s="16" t="s">
        <v>7</v>
      </c>
      <c r="F7" s="15">
        <v>14790400</v>
      </c>
      <c r="G7" s="15">
        <v>13860000</v>
      </c>
      <c r="H7" s="17">
        <v>250000</v>
      </c>
      <c r="I7" s="17">
        <v>680400</v>
      </c>
      <c r="J7" s="18" t="s">
        <v>8</v>
      </c>
    </row>
    <row r="8" spans="1:27" x14ac:dyDescent="0.2">
      <c r="A8" s="4" t="s">
        <v>30</v>
      </c>
      <c r="B8" s="15" t="s">
        <v>31</v>
      </c>
      <c r="C8" s="15" t="s">
        <v>32</v>
      </c>
      <c r="D8" s="15">
        <v>1</v>
      </c>
      <c r="E8" s="16" t="s">
        <v>7</v>
      </c>
      <c r="F8" s="15">
        <v>10030400</v>
      </c>
      <c r="G8" s="15">
        <v>9100000</v>
      </c>
      <c r="H8" s="17">
        <v>250000</v>
      </c>
      <c r="I8" s="17">
        <v>680400</v>
      </c>
      <c r="J8" s="18" t="s">
        <v>8</v>
      </c>
    </row>
    <row r="9" spans="1:27" x14ac:dyDescent="0.2">
      <c r="A9" s="4" t="s">
        <v>33</v>
      </c>
      <c r="B9" s="15" t="s">
        <v>34</v>
      </c>
      <c r="C9" s="15" t="s">
        <v>35</v>
      </c>
      <c r="D9" s="15">
        <v>1</v>
      </c>
      <c r="E9" s="16" t="s">
        <v>7</v>
      </c>
      <c r="F9" s="15">
        <v>930400</v>
      </c>
      <c r="G9" s="15">
        <v>0</v>
      </c>
      <c r="H9" s="17">
        <v>250000</v>
      </c>
      <c r="I9" s="17">
        <v>680400</v>
      </c>
      <c r="J9" s="18" t="s">
        <v>8</v>
      </c>
      <c r="M9" s="6" t="s">
        <v>13</v>
      </c>
      <c r="N9" s="7"/>
      <c r="O9" s="7" t="str">
        <f>E2</f>
        <v>24/08/2023</v>
      </c>
      <c r="P9" s="8">
        <f>O9+1</f>
        <v>45163</v>
      </c>
      <c r="Q9" s="8">
        <f t="shared" ref="Q9:V9" si="0">P9+1</f>
        <v>45164</v>
      </c>
      <c r="R9" s="8">
        <f t="shared" si="0"/>
        <v>45165</v>
      </c>
      <c r="S9" s="8">
        <f t="shared" si="0"/>
        <v>45166</v>
      </c>
      <c r="T9" s="8">
        <f t="shared" si="0"/>
        <v>45167</v>
      </c>
      <c r="U9" s="8">
        <f t="shared" si="0"/>
        <v>45168</v>
      </c>
      <c r="V9" s="8">
        <f t="shared" si="0"/>
        <v>45169</v>
      </c>
      <c r="W9" s="8">
        <v>45171</v>
      </c>
      <c r="X9" s="8">
        <v>45172</v>
      </c>
      <c r="Y9" s="8">
        <v>45173</v>
      </c>
      <c r="Z9" s="8">
        <v>45174</v>
      </c>
      <c r="AA9" s="5" t="s">
        <v>36</v>
      </c>
    </row>
    <row r="10" spans="1:27" x14ac:dyDescent="0.2">
      <c r="A10" s="4" t="s">
        <v>37</v>
      </c>
      <c r="B10" s="15" t="s">
        <v>38</v>
      </c>
      <c r="C10" s="15" t="s">
        <v>39</v>
      </c>
      <c r="D10" s="15">
        <v>1</v>
      </c>
      <c r="E10" s="16" t="s">
        <v>7</v>
      </c>
      <c r="F10" s="15">
        <v>14370400</v>
      </c>
      <c r="G10" s="15">
        <v>13440000</v>
      </c>
      <c r="H10" s="17">
        <v>250000</v>
      </c>
      <c r="I10" s="17">
        <v>680400</v>
      </c>
      <c r="J10" s="18" t="s">
        <v>8</v>
      </c>
      <c r="M10" s="9"/>
      <c r="N10" s="9"/>
      <c r="O10" s="10" t="e">
        <f>SUM(O11:O28)</f>
        <v>#REF!</v>
      </c>
      <c r="P10" s="10" t="e">
        <f t="shared" ref="P10:Z10" si="1">SUM(P11:P28)</f>
        <v>#REF!</v>
      </c>
      <c r="Q10" s="10" t="e">
        <f t="shared" si="1"/>
        <v>#REF!</v>
      </c>
      <c r="R10" s="10" t="e">
        <f t="shared" si="1"/>
        <v>#REF!</v>
      </c>
      <c r="S10" s="10" t="e">
        <f t="shared" si="1"/>
        <v>#REF!</v>
      </c>
      <c r="T10" s="10" t="e">
        <f t="shared" si="1"/>
        <v>#REF!</v>
      </c>
      <c r="U10" s="10" t="e">
        <f t="shared" si="1"/>
        <v>#REF!</v>
      </c>
      <c r="V10" s="10" t="e">
        <f t="shared" si="1"/>
        <v>#REF!</v>
      </c>
      <c r="W10" s="10" t="e">
        <f t="shared" si="1"/>
        <v>#REF!</v>
      </c>
      <c r="X10" s="10" t="e">
        <f t="shared" si="1"/>
        <v>#REF!</v>
      </c>
      <c r="Y10" s="10" t="e">
        <f t="shared" si="1"/>
        <v>#REF!</v>
      </c>
      <c r="Z10" s="10" t="e">
        <f t="shared" si="1"/>
        <v>#REF!</v>
      </c>
      <c r="AA10" s="10" t="e">
        <f>SUM(O10:Z10)</f>
        <v>#REF!</v>
      </c>
    </row>
    <row r="11" spans="1:27" x14ac:dyDescent="0.2">
      <c r="A11" s="4" t="s">
        <v>40</v>
      </c>
      <c r="B11" s="15" t="s">
        <v>41</v>
      </c>
      <c r="C11" s="15" t="s">
        <v>42</v>
      </c>
      <c r="D11" s="15">
        <v>1</v>
      </c>
      <c r="E11" s="16" t="s">
        <v>7</v>
      </c>
      <c r="F11" s="15">
        <v>10490400</v>
      </c>
      <c r="G11" s="15">
        <v>9560000</v>
      </c>
      <c r="H11" s="17">
        <v>250000</v>
      </c>
      <c r="I11" s="17">
        <v>680400</v>
      </c>
      <c r="J11" s="18" t="s">
        <v>8</v>
      </c>
      <c r="M11" s="1" t="s">
        <v>3</v>
      </c>
      <c r="N11" s="7" t="s">
        <v>0</v>
      </c>
      <c r="O11" s="7" t="e">
        <f>SUMIFS($H$2:$H$1997,#REF!,$M12,$J$2:$J$1997,$M$9,$E$2:$E$1997,O$9)</f>
        <v>#REF!</v>
      </c>
      <c r="P11" s="7" t="e">
        <f>SUMIFS($G$2:$G$1997,#REF!,$M11,$J$2:$J$1997,$M$9,$E$2:$E$1997,P$9)</f>
        <v>#REF!</v>
      </c>
      <c r="Q11" s="7" t="e">
        <f>SUMIFS($G$2:$G$1997,#REF!,$M11,$J$2:$J$1997,$M$9,$E$2:$E$1997,Q$9)</f>
        <v>#REF!</v>
      </c>
      <c r="R11" s="7" t="e">
        <f>SUMIFS($G$2:$G$1997,#REF!,$M11,$J$2:$J$1997,$M$9,$E$2:$E$1997,R$9)</f>
        <v>#REF!</v>
      </c>
      <c r="S11" s="7" t="e">
        <f>SUMIFS($G$2:$G$1997,#REF!,$M11,$J$2:$J$1997,$M$9,$E$2:$E$1997,S$9)</f>
        <v>#REF!</v>
      </c>
      <c r="T11" s="7" t="e">
        <f>SUMIFS($G$2:$G$1997,#REF!,$M11,$J$2:$J$1997,$M$9,$E$2:$E$1997,T$9)</f>
        <v>#REF!</v>
      </c>
      <c r="U11" s="7" t="e">
        <f>SUMIFS($G$2:$G$1997,#REF!,$M11,$J$2:$J$1997,$M$9,$E$2:$E$1997,U$9)</f>
        <v>#REF!</v>
      </c>
      <c r="V11" s="7" t="e">
        <f>SUMIFS($G$2:$G$1997,#REF!,$M11,$J$2:$J$1997,$M$9,$E$2:$E$1997,V$9)</f>
        <v>#REF!</v>
      </c>
      <c r="W11" s="7" t="e">
        <f>SUMIFS($G$2:$G$1997,#REF!,$M11,$J$2:$J$1997,$M$9,$E$2:$E$1997,W$9)</f>
        <v>#REF!</v>
      </c>
      <c r="X11" s="7" t="e">
        <f>SUMIFS($G$2:$G$1997,#REF!,$M11,$J$2:$J$1997,$M$9,$E$2:$E$1997,X$9)</f>
        <v>#REF!</v>
      </c>
      <c r="Y11" s="7" t="e">
        <f>SUMIFS($G$2:$G$1997,#REF!,$M11,$J$2:$J$1997,$M$9,$E$2:$E$1997,Y$9)</f>
        <v>#REF!</v>
      </c>
      <c r="Z11" s="7" t="e">
        <f>SUMIFS($G$2:$G$1997,#REF!,$M11,$J$2:$J$1997,$M$9,$E$2:$E$1997,Z$9)</f>
        <v>#REF!</v>
      </c>
      <c r="AA11" s="11" t="e">
        <f t="shared" ref="AA11:AA28" si="2">SUM(O11:Z11)</f>
        <v>#REF!</v>
      </c>
    </row>
    <row r="12" spans="1:27" x14ac:dyDescent="0.2">
      <c r="A12" s="4" t="s">
        <v>43</v>
      </c>
      <c r="B12" s="15" t="s">
        <v>44</v>
      </c>
      <c r="C12" s="15" t="s">
        <v>45</v>
      </c>
      <c r="D12" s="15">
        <v>1</v>
      </c>
      <c r="E12" s="16" t="s">
        <v>7</v>
      </c>
      <c r="F12" s="15">
        <v>13250400</v>
      </c>
      <c r="G12" s="15">
        <v>12320000</v>
      </c>
      <c r="H12" s="17">
        <v>250000</v>
      </c>
      <c r="I12" s="17">
        <v>680400</v>
      </c>
      <c r="J12" s="18" t="s">
        <v>8</v>
      </c>
      <c r="M12" s="1" t="s">
        <v>3</v>
      </c>
      <c r="N12" s="7" t="e">
        <f>#REF!</f>
        <v>#REF!</v>
      </c>
      <c r="O12" s="7" t="e">
        <f>SUMIFS($H$2:$H$1997,#REF!,$M13,$J$2:$J$1997,$M$9,$E$2:$E$1997,O$9)</f>
        <v>#REF!</v>
      </c>
      <c r="P12" s="7" t="e">
        <f>SUMIFS($H$2:$H$1997,#REF!,$M12,$J$2:$J$1997,$M$9,$E$2:$E$1997,P$9)</f>
        <v>#REF!</v>
      </c>
      <c r="Q12" s="7" t="e">
        <f>SUMIFS($H$2:$H$1997,#REF!,$M12,$J$2:$J$1997,$M$9,$E$2:$E$1997,Q$9)</f>
        <v>#REF!</v>
      </c>
      <c r="R12" s="7" t="e">
        <f>SUMIFS($H$2:$H$1997,#REF!,$M12,$J$2:$J$1997,$M$9,$E$2:$E$1997,R$9)</f>
        <v>#REF!</v>
      </c>
      <c r="S12" s="7" t="e">
        <f>SUMIFS($H$2:$H$1997,#REF!,$M12,$J$2:$J$1997,$M$9,$E$2:$E$1997,S$9)</f>
        <v>#REF!</v>
      </c>
      <c r="T12" s="7" t="e">
        <f>SUMIFS($H$2:$H$1997,#REF!,$M12,$J$2:$J$1997,$M$9,$E$2:$E$1997,T$9)</f>
        <v>#REF!</v>
      </c>
      <c r="U12" s="7" t="e">
        <f>SUMIFS($H$2:$H$1997,#REF!,$M12,$J$2:$J$1997,$M$9,$E$2:$E$1997,U$9)</f>
        <v>#REF!</v>
      </c>
      <c r="V12" s="7" t="e">
        <f>SUMIFS($H$2:$H$1997,#REF!,$M12,$J$2:$J$1997,$M$9,$E$2:$E$1997,V$9)</f>
        <v>#REF!</v>
      </c>
      <c r="W12" s="7" t="e">
        <f>SUMIFS($H$2:$H$1997,#REF!,$M12,$J$2:$J$1997,$M$9,$E$2:$E$1997,W$9)</f>
        <v>#REF!</v>
      </c>
      <c r="X12" s="7" t="e">
        <f>SUMIFS($H$2:$H$1997,#REF!,$M12,$J$2:$J$1997,$M$9,$E$2:$E$1997,X$9)</f>
        <v>#REF!</v>
      </c>
      <c r="Y12" s="7" t="e">
        <f>SUMIFS($H$2:$H$1997,#REF!,$M12,$J$2:$J$1997,$M$9,$E$2:$E$1997,Y$9)</f>
        <v>#REF!</v>
      </c>
      <c r="Z12" s="7" t="e">
        <f>SUMIFS($H$2:$H$1997,#REF!,$M12,$J$2:$J$1997,$M$9,$E$2:$E$1997,Z$9)</f>
        <v>#REF!</v>
      </c>
      <c r="AA12" s="11" t="e">
        <f t="shared" si="2"/>
        <v>#REF!</v>
      </c>
    </row>
    <row r="13" spans="1:27" x14ac:dyDescent="0.2">
      <c r="A13" s="4" t="s">
        <v>46</v>
      </c>
      <c r="B13" s="15" t="s">
        <v>47</v>
      </c>
      <c r="C13" s="15" t="s">
        <v>48</v>
      </c>
      <c r="D13" s="15">
        <v>1</v>
      </c>
      <c r="E13" s="16" t="s">
        <v>7</v>
      </c>
      <c r="F13" s="15">
        <v>13250400</v>
      </c>
      <c r="G13" s="15">
        <v>12320000</v>
      </c>
      <c r="H13" s="17">
        <v>250000</v>
      </c>
      <c r="I13" s="17">
        <v>680400</v>
      </c>
      <c r="J13" s="18" t="s">
        <v>8</v>
      </c>
      <c r="M13" s="1" t="s">
        <v>3</v>
      </c>
      <c r="N13" s="7" t="e">
        <f>#REF!</f>
        <v>#REF!</v>
      </c>
      <c r="O13" s="7" t="e">
        <f>SUMIFS($I$2:$I$1997,#REF!,$M13,$J$2:$J$1997,$M$9,$E$2:$E$1997,O$9)</f>
        <v>#REF!</v>
      </c>
      <c r="P13" s="7" t="e">
        <f>SUMIFS($I$2:$I$1997,#REF!,$M13,$J$2:$J$1997,$M$9,$E$2:$E$1997,P$9)</f>
        <v>#REF!</v>
      </c>
      <c r="Q13" s="7" t="e">
        <f>SUMIFS($I$2:$I$1997,#REF!,$M13,$J$2:$J$1997,$M$9,$E$2:$E$1997,Q$9)</f>
        <v>#REF!</v>
      </c>
      <c r="R13" s="7" t="e">
        <f>SUMIFS($I$2:$I$1997,#REF!,$M13,$J$2:$J$1997,$M$9,$E$2:$E$1997,R$9)</f>
        <v>#REF!</v>
      </c>
      <c r="S13" s="7" t="e">
        <f>SUMIFS($I$2:$I$1997,#REF!,$M13,$J$2:$J$1997,$M$9,$E$2:$E$1997,S$9)</f>
        <v>#REF!</v>
      </c>
      <c r="T13" s="7" t="e">
        <f>SUMIFS($I$2:$I$1997,#REF!,$M13,$J$2:$J$1997,$M$9,$E$2:$E$1997,T$9)</f>
        <v>#REF!</v>
      </c>
      <c r="U13" s="7" t="e">
        <f>SUMIFS($I$2:$I$1997,#REF!,$M13,$J$2:$J$1997,$M$9,$E$2:$E$1997,U$9)</f>
        <v>#REF!</v>
      </c>
      <c r="V13" s="7" t="e">
        <f>SUMIFS($I$2:$I$1997,#REF!,$M13,$J$2:$J$1997,$M$9,$E$2:$E$1997,V$9)</f>
        <v>#REF!</v>
      </c>
      <c r="W13" s="7" t="e">
        <f>SUMIFS($I$2:$I$1997,#REF!,$M13,$J$2:$J$1997,$M$9,$E$2:$E$1997,W$9)</f>
        <v>#REF!</v>
      </c>
      <c r="X13" s="7" t="e">
        <f>SUMIFS($I$2:$I$1997,#REF!,$M13,$J$2:$J$1997,$M$9,$E$2:$E$1997,X$9)</f>
        <v>#REF!</v>
      </c>
      <c r="Y13" s="7" t="e">
        <f>SUMIFS($I$2:$I$1997,#REF!,$M13,$J$2:$J$1997,$M$9,$E$2:$E$1997,Y$9)</f>
        <v>#REF!</v>
      </c>
      <c r="Z13" s="7" t="e">
        <f>SUMIFS($I$2:$I$1997,#REF!,$M13,$J$2:$J$1997,$M$9,$E$2:$E$1997,Z$9)</f>
        <v>#REF!</v>
      </c>
      <c r="AA13" s="11" t="e">
        <f t="shared" si="2"/>
        <v>#REF!</v>
      </c>
    </row>
    <row r="14" spans="1:27" x14ac:dyDescent="0.2">
      <c r="A14" s="4" t="s">
        <v>49</v>
      </c>
      <c r="B14" s="15" t="s">
        <v>50</v>
      </c>
      <c r="C14" s="15" t="s">
        <v>51</v>
      </c>
      <c r="D14" s="15">
        <v>1</v>
      </c>
      <c r="E14" s="16" t="s">
        <v>7</v>
      </c>
      <c r="F14" s="15">
        <v>8670400</v>
      </c>
      <c r="G14" s="15">
        <v>7740000</v>
      </c>
      <c r="H14" s="17">
        <v>250000</v>
      </c>
      <c r="I14" s="17">
        <v>680400</v>
      </c>
      <c r="J14" s="18" t="s">
        <v>8</v>
      </c>
      <c r="M14" s="1" t="s">
        <v>29</v>
      </c>
      <c r="N14" s="7" t="s">
        <v>0</v>
      </c>
      <c r="O14" s="7" t="e">
        <f>SUMIFS($G$2:$G$1997,#REF!,$M14,$J$2:$J$1997,$M$9,$E$2:$E$1997,O$9)</f>
        <v>#REF!</v>
      </c>
      <c r="P14" s="7" t="e">
        <f>SUMIFS($G$2:$G$1997,#REF!,$M14,$J$2:$J$1997,$M$9,$E$2:$E$1997,P$9)</f>
        <v>#REF!</v>
      </c>
      <c r="Q14" s="7" t="e">
        <f>SUMIFS($G$2:$G$1997,#REF!,$M14,$J$2:$J$1997,$M$9,$E$2:$E$1997,Q$9)</f>
        <v>#REF!</v>
      </c>
      <c r="R14" s="7" t="e">
        <f>SUMIFS($G$2:$G$1997,#REF!,$M14,$J$2:$J$1997,$M$9,$E$2:$E$1997,R$9)</f>
        <v>#REF!</v>
      </c>
      <c r="S14" s="7" t="e">
        <f>SUMIFS($G$2:$G$1997,#REF!,$M14,$J$2:$J$1997,$M$9,$E$2:$E$1997,S$9)</f>
        <v>#REF!</v>
      </c>
      <c r="T14" s="7" t="e">
        <f>SUMIFS($G$2:$G$1997,#REF!,$M14,$J$2:$J$1997,$M$9,$E$2:$E$1997,T$9)</f>
        <v>#REF!</v>
      </c>
      <c r="U14" s="7" t="e">
        <f>SUMIFS($G$2:$G$1997,#REF!,$M14,$J$2:$J$1997,$M$9,$E$2:$E$1997,U$9)</f>
        <v>#REF!</v>
      </c>
      <c r="V14" s="7" t="e">
        <f>SUMIFS($G$2:$G$1997,#REF!,$M14,$J$2:$J$1997,$M$9,$E$2:$E$1997,V$9)</f>
        <v>#REF!</v>
      </c>
      <c r="W14" s="7" t="e">
        <f>SUMIFS($G$2:$G$1997,#REF!,$M14,$J$2:$J$1997,$M$9,$E$2:$E$1997,W$9)</f>
        <v>#REF!</v>
      </c>
      <c r="X14" s="7" t="e">
        <f>SUMIFS($G$2:$G$1997,#REF!,$M14,$J$2:$J$1997,$M$9,$E$2:$E$1997,X$9)</f>
        <v>#REF!</v>
      </c>
      <c r="Y14" s="7" t="e">
        <f>SUMIFS($G$2:$G$1997,#REF!,$M14,$J$2:$J$1997,$M$9,$E$2:$E$1997,Y$9)</f>
        <v>#REF!</v>
      </c>
      <c r="Z14" s="7" t="e">
        <f>SUMIFS($G$2:$G$1997,#REF!,$M14,$J$2:$J$1997,$M$9,$E$2:$E$1997,Z$9)</f>
        <v>#REF!</v>
      </c>
      <c r="AA14" s="11" t="e">
        <f t="shared" si="2"/>
        <v>#REF!</v>
      </c>
    </row>
    <row r="15" spans="1:27" x14ac:dyDescent="0.2">
      <c r="A15" s="4" t="s">
        <v>52</v>
      </c>
      <c r="B15" s="15" t="s">
        <v>53</v>
      </c>
      <c r="C15" s="15" t="s">
        <v>54</v>
      </c>
      <c r="D15" s="15">
        <v>1</v>
      </c>
      <c r="E15" s="16" t="s">
        <v>7</v>
      </c>
      <c r="F15" s="15">
        <v>5030400</v>
      </c>
      <c r="G15" s="15">
        <v>4100000</v>
      </c>
      <c r="H15" s="17">
        <v>250000</v>
      </c>
      <c r="I15" s="17">
        <v>680400</v>
      </c>
      <c r="J15" s="18" t="s">
        <v>8</v>
      </c>
      <c r="M15" s="1" t="s">
        <v>29</v>
      </c>
      <c r="N15" s="7" t="s">
        <v>1</v>
      </c>
      <c r="O15" s="7" t="e">
        <f>SUMIFS($H$2:$H$1997,#REF!,$M15,$J$2:$J$1997,$M$9,$E$2:$E$1997,O$9)</f>
        <v>#REF!</v>
      </c>
      <c r="P15" s="7" t="e">
        <f>SUMIFS($H$2:$H$1997,#REF!,$M15,$J$2:$J$1997,$M$9,$E$2:$E$1997,P$9)</f>
        <v>#REF!</v>
      </c>
      <c r="Q15" s="7" t="e">
        <f>SUMIFS($H$2:$H$1997,#REF!,$M15,$J$2:$J$1997,$M$9,$E$2:$E$1997,Q$9)</f>
        <v>#REF!</v>
      </c>
      <c r="R15" s="7" t="e">
        <f>SUMIFS($H$2:$H$1997,#REF!,$M15,$J$2:$J$1997,$M$9,$E$2:$E$1997,R$9)</f>
        <v>#REF!</v>
      </c>
      <c r="S15" s="7" t="e">
        <f>SUMIFS($H$2:$H$1997,#REF!,$M15,$J$2:$J$1997,$M$9,$E$2:$E$1997,S$9)</f>
        <v>#REF!</v>
      </c>
      <c r="T15" s="7" t="e">
        <f>SUMIFS($H$2:$H$1997,#REF!,$M15,$J$2:$J$1997,$M$9,$E$2:$E$1997,T$9)</f>
        <v>#REF!</v>
      </c>
      <c r="U15" s="7" t="e">
        <f>SUMIFS($H$2:$H$1997,#REF!,$M15,$J$2:$J$1997,$M$9,$E$2:$E$1997,U$9)</f>
        <v>#REF!</v>
      </c>
      <c r="V15" s="7" t="e">
        <f>SUMIFS($H$2:$H$1997,#REF!,$M15,$J$2:$J$1997,$M$9,$E$2:$E$1997,V$9)</f>
        <v>#REF!</v>
      </c>
      <c r="W15" s="7" t="e">
        <f>SUMIFS($H$2:$H$1997,#REF!,$M15,$J$2:$J$1997,$M$9,$E$2:$E$1997,W$9)</f>
        <v>#REF!</v>
      </c>
      <c r="X15" s="7" t="e">
        <f>SUMIFS($H$2:$H$1997,#REF!,$M15,$J$2:$J$1997,$M$9,$E$2:$E$1997,X$9)</f>
        <v>#REF!</v>
      </c>
      <c r="Y15" s="7" t="e">
        <f>SUMIFS($H$2:$H$1997,#REF!,$M15,$J$2:$J$1997,$M$9,$E$2:$E$1997,Y$9)</f>
        <v>#REF!</v>
      </c>
      <c r="Z15" s="7" t="e">
        <f>SUMIFS($H$2:$H$1997,#REF!,$M15,$J$2:$J$1997,$M$9,$E$2:$E$1997,Z$9)</f>
        <v>#REF!</v>
      </c>
      <c r="AA15" s="11" t="e">
        <f t="shared" si="2"/>
        <v>#REF!</v>
      </c>
    </row>
    <row r="16" spans="1:27" x14ac:dyDescent="0.2">
      <c r="A16" s="4" t="s">
        <v>55</v>
      </c>
      <c r="B16" s="15" t="s">
        <v>56</v>
      </c>
      <c r="C16" s="15" t="s">
        <v>57</v>
      </c>
      <c r="D16" s="15">
        <v>1</v>
      </c>
      <c r="E16" s="16" t="s">
        <v>7</v>
      </c>
      <c r="F16" s="15">
        <v>5030400</v>
      </c>
      <c r="G16" s="15">
        <v>4100000</v>
      </c>
      <c r="H16" s="17">
        <v>250000</v>
      </c>
      <c r="I16" s="17">
        <v>680400</v>
      </c>
      <c r="J16" s="18" t="s">
        <v>8</v>
      </c>
      <c r="M16" s="1" t="s">
        <v>29</v>
      </c>
      <c r="N16" s="7" t="s">
        <v>2</v>
      </c>
      <c r="O16" s="7" t="e">
        <f>SUMIFS($I$2:$I$1997,#REF!,$M16,$J$2:$J$1997,$M$9,$E$2:$E$1997,O$9)</f>
        <v>#REF!</v>
      </c>
      <c r="P16" s="7" t="e">
        <f>SUMIFS($I$2:$I$1997,#REF!,$M16,$J$2:$J$1997,$M$9,$E$2:$E$1997,P$9)</f>
        <v>#REF!</v>
      </c>
      <c r="Q16" s="7" t="e">
        <f>SUMIFS($I$2:$I$1997,#REF!,$M16,$J$2:$J$1997,$M$9,$E$2:$E$1997,Q$9)</f>
        <v>#REF!</v>
      </c>
      <c r="R16" s="7" t="e">
        <f>SUMIFS($I$2:$I$1997,#REF!,$M16,$J$2:$J$1997,$M$9,$E$2:$E$1997,R$9)</f>
        <v>#REF!</v>
      </c>
      <c r="S16" s="7" t="e">
        <f>SUMIFS($I$2:$I$1997,#REF!,$M16,$J$2:$J$1997,$M$9,$E$2:$E$1997,S$9)</f>
        <v>#REF!</v>
      </c>
      <c r="T16" s="7" t="e">
        <f>SUMIFS($I$2:$I$1997,#REF!,$M16,$J$2:$J$1997,$M$9,$E$2:$E$1997,T$9)</f>
        <v>#REF!</v>
      </c>
      <c r="U16" s="7" t="e">
        <f>SUMIFS($I$2:$I$1997,#REF!,$M16,$J$2:$J$1997,$M$9,$E$2:$E$1997,U$9)</f>
        <v>#REF!</v>
      </c>
      <c r="V16" s="7" t="e">
        <f>SUMIFS($I$2:$I$1997,#REF!,$M16,$J$2:$J$1997,$M$9,$E$2:$E$1997,V$9)</f>
        <v>#REF!</v>
      </c>
      <c r="W16" s="7" t="e">
        <f>SUMIFS($I$2:$I$1997,#REF!,$M16,$J$2:$J$1997,$M$9,$E$2:$E$1997,W$9)</f>
        <v>#REF!</v>
      </c>
      <c r="X16" s="7" t="e">
        <f>SUMIFS($I$2:$I$1997,#REF!,$M16,$J$2:$J$1997,$M$9,$E$2:$E$1997,X$9)</f>
        <v>#REF!</v>
      </c>
      <c r="Y16" s="7" t="e">
        <f>SUMIFS($I$2:$I$1997,#REF!,$M16,$J$2:$J$1997,$M$9,$E$2:$E$1997,Y$9)</f>
        <v>#REF!</v>
      </c>
      <c r="Z16" s="7" t="e">
        <f>SUMIFS($I$2:$I$1997,#REF!,$M16,$J$2:$J$1997,$M$9,$E$2:$E$1997,Z$9)</f>
        <v>#REF!</v>
      </c>
      <c r="AA16" s="11" t="e">
        <f t="shared" si="2"/>
        <v>#REF!</v>
      </c>
    </row>
    <row r="17" spans="1:27" x14ac:dyDescent="0.2">
      <c r="A17" s="4" t="s">
        <v>58</v>
      </c>
      <c r="B17" s="15" t="s">
        <v>59</v>
      </c>
      <c r="C17" s="15" t="s">
        <v>60</v>
      </c>
      <c r="D17" s="15">
        <v>1</v>
      </c>
      <c r="E17" s="16" t="s">
        <v>7</v>
      </c>
      <c r="F17" s="15">
        <v>15490400</v>
      </c>
      <c r="G17" s="15">
        <v>14560000</v>
      </c>
      <c r="H17" s="17">
        <v>250000</v>
      </c>
      <c r="I17" s="17">
        <v>680400</v>
      </c>
      <c r="J17" s="18" t="s">
        <v>8</v>
      </c>
      <c r="M17" s="1" t="s">
        <v>14</v>
      </c>
      <c r="N17" s="7" t="s">
        <v>0</v>
      </c>
      <c r="O17" s="7" t="e">
        <f>SUMIFS($G$2:$G$1997,#REF!,$M17,$J$2:$J$1997,$M$9,$E$2:$E$1997,O$9)</f>
        <v>#REF!</v>
      </c>
      <c r="P17" s="7" t="e">
        <f>SUMIFS($G$2:$G$1997,#REF!,$M17,$J$2:$J$1997,$M$9,$E$2:$E$1997,P$9)</f>
        <v>#REF!</v>
      </c>
      <c r="Q17" s="7" t="e">
        <f>SUMIFS($G$2:$G$1997,#REF!,$M17,$J$2:$J$1997,$M$9,$E$2:$E$1997,Q$9)</f>
        <v>#REF!</v>
      </c>
      <c r="R17" s="7" t="e">
        <f>SUMIFS($G$2:$G$1997,#REF!,$M17,$J$2:$J$1997,$M$9,$E$2:$E$1997,R$9)</f>
        <v>#REF!</v>
      </c>
      <c r="S17" s="7" t="e">
        <f>SUMIFS($G$2:$G$1997,#REF!,$M17,$J$2:$J$1997,$M$9,$E$2:$E$1997,S$9)</f>
        <v>#REF!</v>
      </c>
      <c r="T17" s="7" t="e">
        <f>SUMIFS($G$2:$G$1997,#REF!,$M17,$J$2:$J$1997,$M$9,$E$2:$E$1997,T$9)</f>
        <v>#REF!</v>
      </c>
      <c r="U17" s="7" t="e">
        <f>SUMIFS($G$2:$G$1997,#REF!,$M17,$J$2:$J$1997,$M$9,$E$2:$E$1997,U$9)</f>
        <v>#REF!</v>
      </c>
      <c r="V17" s="7" t="e">
        <f>SUMIFS($G$2:$G$1997,#REF!,$M17,$J$2:$J$1997,$M$9,$E$2:$E$1997,V$9)</f>
        <v>#REF!</v>
      </c>
      <c r="W17" s="7" t="e">
        <f>SUMIFS($G$2:$G$1997,#REF!,$M17,$J$2:$J$1997,$M$9,$E$2:$E$1997,W$9)</f>
        <v>#REF!</v>
      </c>
      <c r="X17" s="7" t="e">
        <f>SUMIFS($G$2:$G$1997,#REF!,$M17,$J$2:$J$1997,$M$9,$E$2:$E$1997,X$9)</f>
        <v>#REF!</v>
      </c>
      <c r="Y17" s="7" t="e">
        <f>SUMIFS($G$2:$G$1997,#REF!,$M17,$J$2:$J$1997,$M$9,$E$2:$E$1997,Y$9)</f>
        <v>#REF!</v>
      </c>
      <c r="Z17" s="7" t="e">
        <f>SUMIFS($G$2:$G$1997,#REF!,$M17,$J$2:$J$1997,$M$9,$E$2:$E$1997,Z$9)</f>
        <v>#REF!</v>
      </c>
      <c r="AA17" s="11" t="e">
        <f t="shared" si="2"/>
        <v>#REF!</v>
      </c>
    </row>
    <row r="18" spans="1:27" x14ac:dyDescent="0.2">
      <c r="A18" s="4" t="s">
        <v>61</v>
      </c>
      <c r="B18" s="15" t="s">
        <v>62</v>
      </c>
      <c r="C18" s="15" t="s">
        <v>63</v>
      </c>
      <c r="D18" s="15">
        <v>1</v>
      </c>
      <c r="E18" s="16" t="s">
        <v>7</v>
      </c>
      <c r="F18" s="15">
        <v>13250400</v>
      </c>
      <c r="G18" s="15">
        <v>12320000</v>
      </c>
      <c r="H18" s="17">
        <v>250000</v>
      </c>
      <c r="I18" s="17">
        <v>680400</v>
      </c>
      <c r="J18" s="18" t="s">
        <v>8</v>
      </c>
      <c r="M18" s="1" t="s">
        <v>14</v>
      </c>
      <c r="N18" s="7" t="s">
        <v>1</v>
      </c>
      <c r="O18" s="7" t="e">
        <f>SUMIFS($H$2:$H$1997,#REF!,$M18,$J$2:$J$1997,$M$9,$E$2:$E$1997,O$9)</f>
        <v>#REF!</v>
      </c>
      <c r="P18" s="7" t="e">
        <f>SUMIFS($H$2:$H$1997,#REF!,$M18,$J$2:$J$1997,$M$9,$E$2:$E$1997,P$9)</f>
        <v>#REF!</v>
      </c>
      <c r="Q18" s="7" t="e">
        <f>SUMIFS($H$2:$H$1997,#REF!,$M18,$J$2:$J$1997,$M$9,$E$2:$E$1997,Q$9)</f>
        <v>#REF!</v>
      </c>
      <c r="R18" s="7" t="e">
        <f>SUMIFS($H$2:$H$1997,#REF!,$M18,$J$2:$J$1997,$M$9,$E$2:$E$1997,R$9)</f>
        <v>#REF!</v>
      </c>
      <c r="S18" s="7" t="e">
        <f>SUMIFS($H$2:$H$1997,#REF!,$M18,$J$2:$J$1997,$M$9,$E$2:$E$1997,S$9)</f>
        <v>#REF!</v>
      </c>
      <c r="T18" s="7" t="e">
        <f>SUMIFS($H$2:$H$1997,#REF!,$M18,$J$2:$J$1997,$M$9,$E$2:$E$1997,T$9)</f>
        <v>#REF!</v>
      </c>
      <c r="U18" s="7" t="e">
        <f>SUMIFS($H$2:$H$1997,#REF!,$M18,$J$2:$J$1997,$M$9,$E$2:$E$1997,U$9)</f>
        <v>#REF!</v>
      </c>
      <c r="V18" s="7" t="e">
        <f>SUMIFS($H$2:$H$1997,#REF!,$M18,$J$2:$J$1997,$M$9,$E$2:$E$1997,V$9)</f>
        <v>#REF!</v>
      </c>
      <c r="W18" s="7" t="e">
        <f>SUMIFS($H$2:$H$1997,#REF!,$M18,$J$2:$J$1997,$M$9,$E$2:$E$1997,W$9)</f>
        <v>#REF!</v>
      </c>
      <c r="X18" s="7" t="e">
        <f>SUMIFS($H$2:$H$1997,#REF!,$M18,$J$2:$J$1997,$M$9,$E$2:$E$1997,X$9)</f>
        <v>#REF!</v>
      </c>
      <c r="Y18" s="7" t="e">
        <f>SUMIFS($H$2:$H$1997,#REF!,$M18,$J$2:$J$1997,$M$9,$E$2:$E$1997,Y$9)</f>
        <v>#REF!</v>
      </c>
      <c r="Z18" s="7" t="e">
        <f>SUMIFS($H$2:$H$1997,#REF!,$M18,$J$2:$J$1997,$M$9,$E$2:$E$1997,Z$9)</f>
        <v>#REF!</v>
      </c>
      <c r="AA18" s="11" t="e">
        <f t="shared" si="2"/>
        <v>#REF!</v>
      </c>
    </row>
    <row r="19" spans="1:27" x14ac:dyDescent="0.2">
      <c r="A19" s="4" t="s">
        <v>64</v>
      </c>
      <c r="B19" s="15" t="s">
        <v>65</v>
      </c>
      <c r="C19" s="15" t="s">
        <v>66</v>
      </c>
      <c r="D19" s="15">
        <v>1</v>
      </c>
      <c r="E19" s="16" t="s">
        <v>7</v>
      </c>
      <c r="F19" s="15">
        <v>1390400</v>
      </c>
      <c r="G19" s="15">
        <v>460000.00000000093</v>
      </c>
      <c r="H19" s="17">
        <v>250000</v>
      </c>
      <c r="I19" s="17">
        <v>680400</v>
      </c>
      <c r="J19" s="18" t="s">
        <v>8</v>
      </c>
      <c r="M19" s="1" t="s">
        <v>14</v>
      </c>
      <c r="N19" s="7" t="s">
        <v>2</v>
      </c>
      <c r="O19" s="7" t="e">
        <f>SUMIFS($I$2:$I$1997,#REF!,$M19,$J$2:$J$1997,$M$9,$E$2:$E$1997,O$9)</f>
        <v>#REF!</v>
      </c>
      <c r="P19" s="7" t="e">
        <f>SUMIFS($I$2:$I$1997,#REF!,$M19,$J$2:$J$1997,$M$9,$E$2:$E$1997,P$9)</f>
        <v>#REF!</v>
      </c>
      <c r="Q19" s="7" t="e">
        <f>SUMIFS($I$2:$I$1997,#REF!,$M19,$J$2:$J$1997,$M$9,$E$2:$E$1997,Q$9)</f>
        <v>#REF!</v>
      </c>
      <c r="R19" s="7" t="e">
        <f>SUMIFS($I$2:$I$1997,#REF!,$M19,$J$2:$J$1997,$M$9,$E$2:$E$1997,R$9)</f>
        <v>#REF!</v>
      </c>
      <c r="S19" s="7" t="e">
        <f>SUMIFS($I$2:$I$1997,#REF!,$M19,$J$2:$J$1997,$M$9,$E$2:$E$1997,S$9)</f>
        <v>#REF!</v>
      </c>
      <c r="T19" s="7" t="e">
        <f>SUMIFS($I$2:$I$1997,#REF!,$M19,$J$2:$J$1997,$M$9,$E$2:$E$1997,T$9)</f>
        <v>#REF!</v>
      </c>
      <c r="U19" s="7" t="e">
        <f>SUMIFS($I$2:$I$1997,#REF!,$M19,$J$2:$J$1997,$M$9,$E$2:$E$1997,U$9)</f>
        <v>#REF!</v>
      </c>
      <c r="V19" s="7" t="e">
        <f>SUMIFS($I$2:$I$1997,#REF!,$M19,$J$2:$J$1997,$M$9,$E$2:$E$1997,V$9)</f>
        <v>#REF!</v>
      </c>
      <c r="W19" s="7" t="e">
        <f>SUMIFS($I$2:$I$1997,#REF!,$M19,$J$2:$J$1997,$M$9,$E$2:$E$1997,W$9)</f>
        <v>#REF!</v>
      </c>
      <c r="X19" s="7" t="e">
        <f>SUMIFS($I$2:$I$1997,#REF!,$M19,$J$2:$J$1997,$M$9,$E$2:$E$1997,X$9)</f>
        <v>#REF!</v>
      </c>
      <c r="Y19" s="7" t="e">
        <f>SUMIFS($I$2:$I$1997,#REF!,$M19,$J$2:$J$1997,$M$9,$E$2:$E$1997,Y$9)</f>
        <v>#REF!</v>
      </c>
      <c r="Z19" s="7" t="e">
        <f>SUMIFS($I$2:$I$1997,#REF!,$M19,$J$2:$J$1997,$M$9,$E$2:$E$1997,Z$9)</f>
        <v>#REF!</v>
      </c>
      <c r="AA19" s="11" t="e">
        <f t="shared" si="2"/>
        <v>#REF!</v>
      </c>
    </row>
    <row r="20" spans="1:27" x14ac:dyDescent="0.2">
      <c r="A20" s="4" t="s">
        <v>67</v>
      </c>
      <c r="B20" s="15" t="s">
        <v>68</v>
      </c>
      <c r="C20" s="15" t="s">
        <v>69</v>
      </c>
      <c r="D20" s="15">
        <v>1</v>
      </c>
      <c r="E20" s="16" t="s">
        <v>7</v>
      </c>
      <c r="F20" s="15">
        <v>930400</v>
      </c>
      <c r="G20" s="15">
        <v>0</v>
      </c>
      <c r="H20" s="17">
        <v>250000</v>
      </c>
      <c r="I20" s="17">
        <v>680400</v>
      </c>
      <c r="J20" s="18" t="s">
        <v>8</v>
      </c>
      <c r="M20" s="5" t="s">
        <v>18</v>
      </c>
      <c r="N20" s="7" t="s">
        <v>0</v>
      </c>
      <c r="O20" s="7" t="e">
        <f>SUMIFS($G$2:$G$1997,#REF!,$M20,$J$2:$J$1997,$M$9,$E$2:$E$1997,O$9)</f>
        <v>#REF!</v>
      </c>
      <c r="P20" s="7" t="e">
        <f>SUMIFS($G$2:$G$1997,#REF!,$M20,$J$2:$J$1997,$M$9,$E$2:$E$1997,P$9)</f>
        <v>#REF!</v>
      </c>
      <c r="Q20" s="7" t="e">
        <f>SUMIFS($G$2:$G$1997,#REF!,$M20,$J$2:$J$1997,$M$9,$E$2:$E$1997,Q$9)</f>
        <v>#REF!</v>
      </c>
      <c r="R20" s="7" t="e">
        <f>SUMIFS($G$2:$G$1997,#REF!,$M20,$J$2:$J$1997,$M$9,$E$2:$E$1997,R$9)</f>
        <v>#REF!</v>
      </c>
      <c r="S20" s="7" t="e">
        <f>SUMIFS($G$2:$G$1997,#REF!,$M20,$J$2:$J$1997,$M$9,$E$2:$E$1997,S$9)</f>
        <v>#REF!</v>
      </c>
      <c r="T20" s="7" t="e">
        <f>SUMIFS($G$2:$G$1997,#REF!,$M20,$J$2:$J$1997,$M$9,$E$2:$E$1997,T$9)</f>
        <v>#REF!</v>
      </c>
      <c r="U20" s="7" t="e">
        <f>SUMIFS($G$2:$G$1997,#REF!,$M20,$J$2:$J$1997,$M$9,$E$2:$E$1997,U$9)</f>
        <v>#REF!</v>
      </c>
      <c r="V20" s="7" t="e">
        <f>SUMIFS($G$2:$G$1997,#REF!,$M20,$J$2:$J$1997,$M$9,$E$2:$E$1997,V$9)</f>
        <v>#REF!</v>
      </c>
      <c r="W20" s="7" t="e">
        <f>SUMIFS($G$2:$G$1997,#REF!,$M20,$J$2:$J$1997,$M$9,$E$2:$E$1997,W$9)</f>
        <v>#REF!</v>
      </c>
      <c r="X20" s="7" t="e">
        <f>SUMIFS($G$2:$G$1997,#REF!,$M20,$J$2:$J$1997,$M$9,$E$2:$E$1997,X$9)</f>
        <v>#REF!</v>
      </c>
      <c r="Y20" s="7" t="e">
        <f>SUMIFS($G$2:$G$1997,#REF!,$M20,$J$2:$J$1997,$M$9,$E$2:$E$1997,Y$9)</f>
        <v>#REF!</v>
      </c>
      <c r="Z20" s="7" t="e">
        <f>SUMIFS($G$2:$G$1997,#REF!,$M20,$J$2:$J$1997,$M$9,$E$2:$E$1997,Z$9)</f>
        <v>#REF!</v>
      </c>
      <c r="AA20" s="11" t="e">
        <f t="shared" si="2"/>
        <v>#REF!</v>
      </c>
    </row>
    <row r="21" spans="1:27" x14ac:dyDescent="0.2">
      <c r="A21" s="4" t="s">
        <v>70</v>
      </c>
      <c r="B21" s="15" t="s">
        <v>71</v>
      </c>
      <c r="C21" s="15" t="s">
        <v>72</v>
      </c>
      <c r="D21" s="15">
        <v>1</v>
      </c>
      <c r="E21" s="16" t="s">
        <v>7</v>
      </c>
      <c r="F21" s="15">
        <v>5030400</v>
      </c>
      <c r="G21" s="15">
        <v>4100000</v>
      </c>
      <c r="H21" s="17">
        <v>250000</v>
      </c>
      <c r="I21" s="17">
        <v>680400</v>
      </c>
      <c r="J21" s="18" t="s">
        <v>8</v>
      </c>
      <c r="M21" s="5" t="s">
        <v>18</v>
      </c>
      <c r="N21" s="7" t="s">
        <v>1</v>
      </c>
      <c r="O21" s="7" t="e">
        <f>SUMIFS($H$2:$H$1997,#REF!,$M21,$J$2:$J$1997,$M$9,$E$2:$E$1997,O$9)</f>
        <v>#REF!</v>
      </c>
      <c r="P21" s="7" t="e">
        <f>SUMIFS($H$2:$H$1997,#REF!,$M21,$J$2:$J$1997,$M$9,$E$2:$E$1997,P$9)</f>
        <v>#REF!</v>
      </c>
      <c r="Q21" s="7" t="e">
        <f>SUMIFS($H$2:$H$1997,#REF!,$M21,$J$2:$J$1997,$M$9,$E$2:$E$1997,Q$9)</f>
        <v>#REF!</v>
      </c>
      <c r="R21" s="7" t="e">
        <f>SUMIFS($H$2:$H$1997,#REF!,$M21,$J$2:$J$1997,$M$9,$E$2:$E$1997,R$9)</f>
        <v>#REF!</v>
      </c>
      <c r="S21" s="7" t="e">
        <f>SUMIFS($H$2:$H$1997,#REF!,$M21,$J$2:$J$1997,$M$9,$E$2:$E$1997,S$9)</f>
        <v>#REF!</v>
      </c>
      <c r="T21" s="7" t="e">
        <f>SUMIFS($H$2:$H$1997,#REF!,$M21,$J$2:$J$1997,$M$9,$E$2:$E$1997,T$9)</f>
        <v>#REF!</v>
      </c>
      <c r="U21" s="7" t="e">
        <f>SUMIFS($H$2:$H$1997,#REF!,$M21,$J$2:$J$1997,$M$9,$E$2:$E$1997,U$9)</f>
        <v>#REF!</v>
      </c>
      <c r="V21" s="7" t="e">
        <f>SUMIFS($H$2:$H$1997,#REF!,$M21,$J$2:$J$1997,$M$9,$E$2:$E$1997,V$9)</f>
        <v>#REF!</v>
      </c>
      <c r="W21" s="7" t="e">
        <f>SUMIFS($H$2:$H$1997,#REF!,$M21,$J$2:$J$1997,$M$9,$E$2:$E$1997,W$9)</f>
        <v>#REF!</v>
      </c>
      <c r="X21" s="7" t="e">
        <f>SUMIFS($H$2:$H$1997,#REF!,$M21,$J$2:$J$1997,$M$9,$E$2:$E$1997,X$9)</f>
        <v>#REF!</v>
      </c>
      <c r="Y21" s="7" t="e">
        <f>SUMIFS($H$2:$H$1997,#REF!,$M21,$J$2:$J$1997,$M$9,$E$2:$E$1997,Y$9)</f>
        <v>#REF!</v>
      </c>
      <c r="Z21" s="7" t="e">
        <f>SUMIFS($H$2:$H$1997,#REF!,$M21,$J$2:$J$1997,$M$9,$E$2:$E$1997,Z$9)</f>
        <v>#REF!</v>
      </c>
      <c r="AA21" s="11" t="e">
        <f t="shared" si="2"/>
        <v>#REF!</v>
      </c>
    </row>
    <row r="22" spans="1:27" x14ac:dyDescent="0.2">
      <c r="A22" s="4" t="s">
        <v>73</v>
      </c>
      <c r="B22" s="15" t="s">
        <v>74</v>
      </c>
      <c r="C22" s="15" t="s">
        <v>75</v>
      </c>
      <c r="D22" s="15">
        <v>1</v>
      </c>
      <c r="E22" s="16" t="s">
        <v>7</v>
      </c>
      <c r="F22" s="15">
        <v>13250400</v>
      </c>
      <c r="G22" s="15">
        <v>12320000</v>
      </c>
      <c r="H22" s="17">
        <v>250000</v>
      </c>
      <c r="I22" s="17">
        <v>680400</v>
      </c>
      <c r="J22" s="18" t="s">
        <v>8</v>
      </c>
      <c r="M22" s="5" t="s">
        <v>18</v>
      </c>
      <c r="N22" s="7" t="s">
        <v>2</v>
      </c>
      <c r="O22" s="7" t="e">
        <f>SUMIFS($I$2:$I$1997,#REF!,$M22,$J$2:$J$1997,$M$9,$E$2:$E$1997,O$9)</f>
        <v>#REF!</v>
      </c>
      <c r="P22" s="7" t="e">
        <f>SUMIFS($I$2:$I$1997,#REF!,$M22,$J$2:$J$1997,$M$9,$E$2:$E$1997,P$9)</f>
        <v>#REF!</v>
      </c>
      <c r="Q22" s="7" t="e">
        <f>SUMIFS($I$2:$I$1997,#REF!,$M22,$J$2:$J$1997,$M$9,$E$2:$E$1997,Q$9)</f>
        <v>#REF!</v>
      </c>
      <c r="R22" s="7" t="e">
        <f>SUMIFS($I$2:$I$1997,#REF!,$M22,$J$2:$J$1997,$M$9,$E$2:$E$1997,R$9)</f>
        <v>#REF!</v>
      </c>
      <c r="S22" s="7" t="e">
        <f>SUMIFS($I$2:$I$1997,#REF!,$M22,$J$2:$J$1997,$M$9,$E$2:$E$1997,S$9)</f>
        <v>#REF!</v>
      </c>
      <c r="T22" s="7" t="e">
        <f>SUMIFS($I$2:$I$1997,#REF!,$M22,$J$2:$J$1997,$M$9,$E$2:$E$1997,T$9)</f>
        <v>#REF!</v>
      </c>
      <c r="U22" s="7" t="e">
        <f>SUMIFS($I$2:$I$1997,#REF!,$M22,$J$2:$J$1997,$M$9,$E$2:$E$1997,U$9)</f>
        <v>#REF!</v>
      </c>
      <c r="V22" s="7" t="e">
        <f>SUMIFS($I$2:$I$1997,#REF!,$M22,$J$2:$J$1997,$M$9,$E$2:$E$1997,V$9)</f>
        <v>#REF!</v>
      </c>
      <c r="W22" s="7" t="e">
        <f>SUMIFS($I$2:$I$1997,#REF!,$M22,$J$2:$J$1997,$M$9,$E$2:$E$1997,W$9)</f>
        <v>#REF!</v>
      </c>
      <c r="X22" s="7" t="e">
        <f>SUMIFS($I$2:$I$1997,#REF!,$M22,$J$2:$J$1997,$M$9,$E$2:$E$1997,X$9)</f>
        <v>#REF!</v>
      </c>
      <c r="Y22" s="7" t="e">
        <f>SUMIFS($I$2:$I$1997,#REF!,$M22,$J$2:$J$1997,$M$9,$E$2:$E$1997,Y$9)</f>
        <v>#REF!</v>
      </c>
      <c r="Z22" s="7" t="e">
        <f>SUMIFS($I$2:$I$1997,#REF!,$M22,$J$2:$J$1997,$M$9,$E$2:$E$1997,Z$9)</f>
        <v>#REF!</v>
      </c>
      <c r="AA22" s="11" t="e">
        <f t="shared" si="2"/>
        <v>#REF!</v>
      </c>
    </row>
    <row r="23" spans="1:27" x14ac:dyDescent="0.2">
      <c r="A23" s="4" t="s">
        <v>76</v>
      </c>
      <c r="B23" s="15" t="s">
        <v>77</v>
      </c>
      <c r="C23" s="15" t="s">
        <v>78</v>
      </c>
      <c r="D23" s="15">
        <v>1</v>
      </c>
      <c r="E23" s="16" t="s">
        <v>7</v>
      </c>
      <c r="F23" s="15">
        <v>8250400</v>
      </c>
      <c r="G23" s="15">
        <v>7320000</v>
      </c>
      <c r="H23" s="17">
        <v>250000</v>
      </c>
      <c r="I23" s="17">
        <v>680400</v>
      </c>
      <c r="J23" s="18" t="s">
        <v>8</v>
      </c>
      <c r="M23" s="5" t="s">
        <v>9</v>
      </c>
      <c r="N23" s="7" t="s">
        <v>0</v>
      </c>
      <c r="O23" s="7" t="e">
        <f>SUMIFS($G$2:$G$1997,#REF!,$M23,$J$2:$J$1997,$M$9,$E$2:$E$1997,O$9)</f>
        <v>#REF!</v>
      </c>
      <c r="P23" s="7" t="e">
        <f>SUMIFS($G$2:$G$1997,#REF!,$M23,$J$2:$J$1997,$M$9,$E$2:$E$1997,P$9)</f>
        <v>#REF!</v>
      </c>
      <c r="Q23" s="7" t="e">
        <f>SUMIFS($G$2:$G$1997,#REF!,$M23,$J$2:$J$1997,$M$9,$E$2:$E$1997,Q$9)</f>
        <v>#REF!</v>
      </c>
      <c r="R23" s="7" t="e">
        <f>SUMIFS($G$2:$G$1997,#REF!,$M23,$J$2:$J$1997,$M$9,$E$2:$E$1997,R$9)</f>
        <v>#REF!</v>
      </c>
      <c r="S23" s="7" t="e">
        <f>SUMIFS($G$2:$G$1997,#REF!,$M23,$J$2:$J$1997,$M$9,$E$2:$E$1997,S$9)</f>
        <v>#REF!</v>
      </c>
      <c r="T23" s="7" t="e">
        <f>SUMIFS($G$2:$G$1997,#REF!,$M23,$J$2:$J$1997,$M$9,$E$2:$E$1997,T$9)</f>
        <v>#REF!</v>
      </c>
      <c r="U23" s="7" t="e">
        <f>SUMIFS($G$2:$G$1997,#REF!,$M23,$J$2:$J$1997,$M$9,$E$2:$E$1997,U$9)</f>
        <v>#REF!</v>
      </c>
      <c r="V23" s="7" t="e">
        <f>SUMIFS($G$2:$G$1997,#REF!,$M23,$J$2:$J$1997,$M$9,$E$2:$E$1997,V$9)</f>
        <v>#REF!</v>
      </c>
      <c r="W23" s="7" t="e">
        <f>SUMIFS($G$2:$G$1997,#REF!,$M23,$J$2:$J$1997,$M$9,$E$2:$E$1997,W$9)</f>
        <v>#REF!</v>
      </c>
      <c r="X23" s="7" t="e">
        <f>SUMIFS($G$2:$G$1997,#REF!,$M23,$J$2:$J$1997,$M$9,$E$2:$E$1997,X$9)</f>
        <v>#REF!</v>
      </c>
      <c r="Y23" s="7" t="e">
        <f>SUMIFS($G$2:$G$1997,#REF!,$M23,$J$2:$J$1997,$M$9,$E$2:$E$1997,Y$9)</f>
        <v>#REF!</v>
      </c>
      <c r="Z23" s="7" t="e">
        <f>SUMIFS($G$2:$G$1997,#REF!,$M23,$J$2:$J$1997,$M$9,$E$2:$E$1997,Z$9)</f>
        <v>#REF!</v>
      </c>
      <c r="AA23" s="11" t="e">
        <f t="shared" si="2"/>
        <v>#REF!</v>
      </c>
    </row>
    <row r="24" spans="1:27" x14ac:dyDescent="0.2">
      <c r="A24" s="4" t="s">
        <v>79</v>
      </c>
      <c r="B24" s="15" t="s">
        <v>80</v>
      </c>
      <c r="C24" s="15" t="s">
        <v>81</v>
      </c>
      <c r="D24" s="15">
        <v>1</v>
      </c>
      <c r="E24" s="16" t="s">
        <v>7</v>
      </c>
      <c r="F24" s="15">
        <v>5030400</v>
      </c>
      <c r="G24" s="15">
        <v>4100000</v>
      </c>
      <c r="H24" s="17">
        <v>250000</v>
      </c>
      <c r="I24" s="17">
        <v>680400</v>
      </c>
      <c r="J24" s="18" t="s">
        <v>8</v>
      </c>
      <c r="M24" s="5" t="s">
        <v>9</v>
      </c>
      <c r="N24" s="7" t="s">
        <v>1</v>
      </c>
      <c r="O24" s="7" t="e">
        <f>SUMIFS($H$2:$H$1997,#REF!,$M24,$J$2:$J$1997,$M$9,$E$2:$E$1997,O$9)</f>
        <v>#REF!</v>
      </c>
      <c r="P24" s="7" t="e">
        <f>SUMIFS($H$2:$H$1997,#REF!,$M24,$J$2:$J$1997,$M$9,$E$2:$E$1997,P$9)</f>
        <v>#REF!</v>
      </c>
      <c r="Q24" s="7" t="e">
        <f>SUMIFS($H$2:$H$1997,#REF!,$M24,$J$2:$J$1997,$M$9,$E$2:$E$1997,Q$9)</f>
        <v>#REF!</v>
      </c>
      <c r="R24" s="7" t="e">
        <f>SUMIFS($H$2:$H$1997,#REF!,$M24,$J$2:$J$1997,$M$9,$E$2:$E$1997,R$9)</f>
        <v>#REF!</v>
      </c>
      <c r="S24" s="7" t="e">
        <f>SUMIFS($H$2:$H$1997,#REF!,$M24,$J$2:$J$1997,$M$9,$E$2:$E$1997,S$9)</f>
        <v>#REF!</v>
      </c>
      <c r="T24" s="7" t="e">
        <f>SUMIFS($H$2:$H$1997,#REF!,$M24,$J$2:$J$1997,$M$9,$E$2:$E$1997,T$9)</f>
        <v>#REF!</v>
      </c>
      <c r="U24" s="7" t="e">
        <f>SUMIFS($H$2:$H$1997,#REF!,$M24,$J$2:$J$1997,$M$9,$E$2:$E$1997,U$9)</f>
        <v>#REF!</v>
      </c>
      <c r="V24" s="7" t="e">
        <f>SUMIFS($H$2:$H$1997,#REF!,$M24,$J$2:$J$1997,$M$9,$E$2:$E$1997,V$9)</f>
        <v>#REF!</v>
      </c>
      <c r="W24" s="7" t="e">
        <f>SUMIFS($H$2:$H$1997,#REF!,$M24,$J$2:$J$1997,$M$9,$E$2:$E$1997,W$9)</f>
        <v>#REF!</v>
      </c>
      <c r="X24" s="7" t="e">
        <f>SUMIFS($H$2:$H$1997,#REF!,$M24,$J$2:$J$1997,$M$9,$E$2:$E$1997,X$9)</f>
        <v>#REF!</v>
      </c>
      <c r="Y24" s="7" t="e">
        <f>SUMIFS($H$2:$H$1997,#REF!,$M24,$J$2:$J$1997,$M$9,$E$2:$E$1997,Y$9)</f>
        <v>#REF!</v>
      </c>
      <c r="Z24" s="7" t="e">
        <f>SUMIFS($H$2:$H$1997,#REF!,$M24,$J$2:$J$1997,$M$9,$E$2:$E$1997,Z$9)</f>
        <v>#REF!</v>
      </c>
      <c r="AA24" s="11" t="e">
        <f t="shared" si="2"/>
        <v>#REF!</v>
      </c>
    </row>
    <row r="25" spans="1:27" x14ac:dyDescent="0.2">
      <c r="A25" s="4" t="s">
        <v>82</v>
      </c>
      <c r="B25" s="15" t="s">
        <v>83</v>
      </c>
      <c r="C25" s="15" t="s">
        <v>84</v>
      </c>
      <c r="D25" s="15">
        <v>1</v>
      </c>
      <c r="E25" s="16" t="s">
        <v>7</v>
      </c>
      <c r="F25" s="15">
        <v>5030400</v>
      </c>
      <c r="G25" s="15">
        <v>4100000</v>
      </c>
      <c r="H25" s="17">
        <v>250000</v>
      </c>
      <c r="I25" s="17">
        <v>680400</v>
      </c>
      <c r="J25" s="18" t="s">
        <v>8</v>
      </c>
      <c r="M25" s="5" t="s">
        <v>9</v>
      </c>
      <c r="N25" s="7" t="s">
        <v>2</v>
      </c>
      <c r="O25" s="7" t="e">
        <f>SUMIFS($I$2:$I$1997,#REF!,$M25,$J$2:$J$1997,$M$9,$E$2:$E$1997,O$9)</f>
        <v>#REF!</v>
      </c>
      <c r="P25" s="7" t="e">
        <f>SUMIFS($I$2:$I$1997,#REF!,$M25,$J$2:$J$1997,$M$9,$E$2:$E$1997,P$9)</f>
        <v>#REF!</v>
      </c>
      <c r="Q25" s="7" t="e">
        <f>SUMIFS($I$2:$I$1997,#REF!,$M25,$J$2:$J$1997,$M$9,$E$2:$E$1997,Q$9)</f>
        <v>#REF!</v>
      </c>
      <c r="R25" s="7" t="e">
        <f>SUMIFS($I$2:$I$1997,#REF!,$M25,$J$2:$J$1997,$M$9,$E$2:$E$1997,R$9)</f>
        <v>#REF!</v>
      </c>
      <c r="S25" s="7" t="e">
        <f>SUMIFS($I$2:$I$1997,#REF!,$M25,$J$2:$J$1997,$M$9,$E$2:$E$1997,S$9)</f>
        <v>#REF!</v>
      </c>
      <c r="T25" s="7" t="e">
        <f>SUMIFS($I$2:$I$1997,#REF!,$M25,$J$2:$J$1997,$M$9,$E$2:$E$1997,T$9)</f>
        <v>#REF!</v>
      </c>
      <c r="U25" s="7" t="e">
        <f>SUMIFS($I$2:$I$1997,#REF!,$M25,$J$2:$J$1997,$M$9,$E$2:$E$1997,U$9)</f>
        <v>#REF!</v>
      </c>
      <c r="V25" s="7" t="e">
        <f>SUMIFS($I$2:$I$1997,#REF!,$M25,$J$2:$J$1997,$M$9,$E$2:$E$1997,V$9)</f>
        <v>#REF!</v>
      </c>
      <c r="W25" s="7" t="e">
        <f>SUMIFS($I$2:$I$1997,#REF!,$M25,$J$2:$J$1997,$M$9,$E$2:$E$1997,W$9)</f>
        <v>#REF!</v>
      </c>
      <c r="X25" s="7" t="e">
        <f>SUMIFS($I$2:$I$1997,#REF!,$M25,$J$2:$J$1997,$M$9,$E$2:$E$1997,X$9)</f>
        <v>#REF!</v>
      </c>
      <c r="Y25" s="7" t="e">
        <f>SUMIFS($I$2:$I$1997,#REF!,$M25,$J$2:$J$1997,$M$9,$E$2:$E$1997,Y$9)</f>
        <v>#REF!</v>
      </c>
      <c r="Z25" s="7" t="e">
        <f>SUMIFS($I$2:$I$1997,#REF!,$M25,$J$2:$J$1997,$M$9,$E$2:$E$1997,Z$9)</f>
        <v>#REF!</v>
      </c>
      <c r="AA25" s="11" t="e">
        <f t="shared" si="2"/>
        <v>#REF!</v>
      </c>
    </row>
    <row r="26" spans="1:27" x14ac:dyDescent="0.2">
      <c r="A26" s="4" t="s">
        <v>85</v>
      </c>
      <c r="B26" s="15" t="s">
        <v>86</v>
      </c>
      <c r="C26" s="15" t="s">
        <v>87</v>
      </c>
      <c r="D26" s="15">
        <v>1</v>
      </c>
      <c r="E26" s="16" t="s">
        <v>7</v>
      </c>
      <c r="F26" s="15">
        <v>10490400</v>
      </c>
      <c r="G26" s="15">
        <v>9560000</v>
      </c>
      <c r="H26" s="17">
        <v>250000</v>
      </c>
      <c r="I26" s="17">
        <v>680400</v>
      </c>
      <c r="J26" s="18" t="s">
        <v>8</v>
      </c>
      <c r="M26" s="5" t="s">
        <v>25</v>
      </c>
      <c r="N26" s="7" t="s">
        <v>0</v>
      </c>
      <c r="O26" s="7" t="e">
        <f>SUMIFS($G$2:$G$1997,#REF!,$M26,$J$2:$J$1997,$M$9,$E$2:$E$1997,O$9)</f>
        <v>#REF!</v>
      </c>
      <c r="P26" s="7" t="e">
        <f>SUMIFS($G$2:$G$1997,#REF!,$M26,$J$2:$J$1997,$M$9,$E$2:$E$1997,P$9)</f>
        <v>#REF!</v>
      </c>
      <c r="Q26" s="7" t="e">
        <f>SUMIFS($G$2:$G$1997,#REF!,$M26,$J$2:$J$1997,$M$9,$E$2:$E$1997,Q$9)</f>
        <v>#REF!</v>
      </c>
      <c r="R26" s="7" t="e">
        <f>SUMIFS($G$2:$G$1997,#REF!,$M26,$J$2:$J$1997,$M$9,$E$2:$E$1997,R$9)</f>
        <v>#REF!</v>
      </c>
      <c r="S26" s="7" t="e">
        <f>SUMIFS($G$2:$G$1997,#REF!,$M26,$J$2:$J$1997,$M$9,$E$2:$E$1997,S$9)</f>
        <v>#REF!</v>
      </c>
      <c r="T26" s="7" t="e">
        <f>SUMIFS($G$2:$G$1997,#REF!,$M26,$J$2:$J$1997,$M$9,$E$2:$E$1997,T$9)</f>
        <v>#REF!</v>
      </c>
      <c r="U26" s="7" t="e">
        <f>SUMIFS($G$2:$G$1997,#REF!,$M26,$J$2:$J$1997,$M$9,$E$2:$E$1997,U$9)</f>
        <v>#REF!</v>
      </c>
      <c r="V26" s="7" t="e">
        <f>SUMIFS($G$2:$G$1997,#REF!,$M26,$J$2:$J$1997,$M$9,$E$2:$E$1997,V$9)</f>
        <v>#REF!</v>
      </c>
      <c r="W26" s="7" t="e">
        <f>SUMIFS($G$2:$G$1997,#REF!,$M26,$J$2:$J$1997,$M$9,$E$2:$E$1997,W$9)</f>
        <v>#REF!</v>
      </c>
      <c r="X26" s="7" t="e">
        <f>SUMIFS($G$2:$G$1997,#REF!,$M26,$J$2:$J$1997,$M$9,$E$2:$E$1997,X$9)</f>
        <v>#REF!</v>
      </c>
      <c r="Y26" s="7" t="e">
        <f>SUMIFS($G$2:$G$1997,#REF!,$M26,$J$2:$J$1997,$M$9,$E$2:$E$1997,Y$9)</f>
        <v>#REF!</v>
      </c>
      <c r="Z26" s="7" t="e">
        <f>SUMIFS($G$2:$G$1997,#REF!,$M26,$J$2:$J$1997,$M$9,$E$2:$E$1997,Z$9)</f>
        <v>#REF!</v>
      </c>
      <c r="AA26" s="11" t="e">
        <f t="shared" si="2"/>
        <v>#REF!</v>
      </c>
    </row>
    <row r="27" spans="1:27" x14ac:dyDescent="0.2">
      <c r="A27" s="4" t="s">
        <v>88</v>
      </c>
      <c r="B27" s="15" t="s">
        <v>89</v>
      </c>
      <c r="C27" s="15" t="s">
        <v>90</v>
      </c>
      <c r="D27" s="15">
        <v>1</v>
      </c>
      <c r="E27" s="16" t="s">
        <v>7</v>
      </c>
      <c r="F27" s="15">
        <v>5030400</v>
      </c>
      <c r="G27" s="15">
        <v>4100000</v>
      </c>
      <c r="H27" s="17">
        <v>250000</v>
      </c>
      <c r="I27" s="17">
        <v>680400</v>
      </c>
      <c r="J27" s="18" t="s">
        <v>8</v>
      </c>
      <c r="M27" s="5" t="s">
        <v>25</v>
      </c>
      <c r="N27" s="7" t="s">
        <v>1</v>
      </c>
      <c r="O27" s="7" t="e">
        <f>SUMIFS($H$2:$H$1997,#REF!,$M27,$J$2:$J$1997,$M$9,$E$2:$E$1997,O$9)</f>
        <v>#REF!</v>
      </c>
      <c r="P27" s="7" t="e">
        <f>SUMIFS($H$2:$H$1997,#REF!,$M27,$J$2:$J$1997,$M$9,$E$2:$E$1997,P$9)</f>
        <v>#REF!</v>
      </c>
      <c r="Q27" s="7" t="e">
        <f>SUMIFS($H$2:$H$1997,#REF!,$M27,$J$2:$J$1997,$M$9,$E$2:$E$1997,Q$9)</f>
        <v>#REF!</v>
      </c>
      <c r="R27" s="7" t="e">
        <f>SUMIFS($H$2:$H$1997,#REF!,$M27,$J$2:$J$1997,$M$9,$E$2:$E$1997,R$9)</f>
        <v>#REF!</v>
      </c>
      <c r="S27" s="7" t="e">
        <f>SUMIFS($H$2:$H$1997,#REF!,$M27,$J$2:$J$1997,$M$9,$E$2:$E$1997,S$9)</f>
        <v>#REF!</v>
      </c>
      <c r="T27" s="7" t="e">
        <f>SUMIFS($H$2:$H$1997,#REF!,$M27,$J$2:$J$1997,$M$9,$E$2:$E$1997,T$9)</f>
        <v>#REF!</v>
      </c>
      <c r="U27" s="7" t="e">
        <f>SUMIFS($H$2:$H$1997,#REF!,$M27,$J$2:$J$1997,$M$9,$E$2:$E$1997,U$9)</f>
        <v>#REF!</v>
      </c>
      <c r="V27" s="7" t="e">
        <f>SUMIFS($H$2:$H$1997,#REF!,$M27,$J$2:$J$1997,$M$9,$E$2:$E$1997,V$9)</f>
        <v>#REF!</v>
      </c>
      <c r="W27" s="7" t="e">
        <f>SUMIFS($H$2:$H$1997,#REF!,$M27,$J$2:$J$1997,$M$9,$E$2:$E$1997,W$9)</f>
        <v>#REF!</v>
      </c>
      <c r="X27" s="7" t="e">
        <f>SUMIFS($H$2:$H$1997,#REF!,$M27,$J$2:$J$1997,$M$9,$E$2:$E$1997,X$9)</f>
        <v>#REF!</v>
      </c>
      <c r="Y27" s="7" t="e">
        <f>SUMIFS($H$2:$H$1997,#REF!,$M27,$J$2:$J$1997,$M$9,$E$2:$E$1997,Y$9)</f>
        <v>#REF!</v>
      </c>
      <c r="Z27" s="7" t="e">
        <f>SUMIFS($H$2:$H$1997,#REF!,$M27,$J$2:$J$1997,$M$9,$E$2:$E$1997,Z$9)</f>
        <v>#REF!</v>
      </c>
      <c r="AA27" s="11" t="e">
        <f t="shared" si="2"/>
        <v>#REF!</v>
      </c>
    </row>
    <row r="28" spans="1:27" x14ac:dyDescent="0.2">
      <c r="A28" s="4" t="s">
        <v>1999</v>
      </c>
      <c r="B28" s="15" t="s">
        <v>92</v>
      </c>
      <c r="C28" s="15" t="s">
        <v>93</v>
      </c>
      <c r="D28" s="15">
        <v>1</v>
      </c>
      <c r="E28" s="16" t="s">
        <v>7</v>
      </c>
      <c r="F28" s="15">
        <v>10490400</v>
      </c>
      <c r="G28" s="15">
        <v>9560000</v>
      </c>
      <c r="H28" s="17">
        <v>250000</v>
      </c>
      <c r="I28" s="17">
        <v>680400</v>
      </c>
      <c r="J28" s="18" t="s">
        <v>8</v>
      </c>
      <c r="M28" s="5" t="s">
        <v>25</v>
      </c>
      <c r="N28" s="7" t="s">
        <v>2</v>
      </c>
      <c r="O28" s="7" t="e">
        <f>SUMIFS($I$2:$I$1997,#REF!,$M28,$J$2:$J$1997,$M$9,$E$2:$E$1997,O$9)</f>
        <v>#REF!</v>
      </c>
      <c r="P28" s="7" t="e">
        <f>SUMIFS($I$2:$I$1997,#REF!,$M28,$J$2:$J$1997,$M$9,$E$2:$E$1997,P$9)</f>
        <v>#REF!</v>
      </c>
      <c r="Q28" s="7" t="e">
        <f>SUMIFS($I$2:$I$1997,#REF!,$M28,$J$2:$J$1997,$M$9,$E$2:$E$1997,Q$9)</f>
        <v>#REF!</v>
      </c>
      <c r="R28" s="7" t="e">
        <f>SUMIFS($I$2:$I$1997,#REF!,$M28,$J$2:$J$1997,$M$9,$E$2:$E$1997,R$9)</f>
        <v>#REF!</v>
      </c>
      <c r="S28" s="7" t="e">
        <f>SUMIFS($I$2:$I$1997,#REF!,$M28,$J$2:$J$1997,$M$9,$E$2:$E$1997,S$9)</f>
        <v>#REF!</v>
      </c>
      <c r="T28" s="7" t="e">
        <f>SUMIFS($I$2:$I$1997,#REF!,$M28,$J$2:$J$1997,$M$9,$E$2:$E$1997,T$9)</f>
        <v>#REF!</v>
      </c>
      <c r="U28" s="7" t="e">
        <f>SUMIFS($I$2:$I$1997,#REF!,$M28,$J$2:$J$1997,$M$9,$E$2:$E$1997,U$9)</f>
        <v>#REF!</v>
      </c>
      <c r="V28" s="7" t="e">
        <f>SUMIFS($I$2:$I$1997,#REF!,$M28,$J$2:$J$1997,$M$9,$E$2:$E$1997,V$9)</f>
        <v>#REF!</v>
      </c>
      <c r="W28" s="7" t="e">
        <f>SUMIFS($I$2:$I$1997,#REF!,$M28,$J$2:$J$1997,$M$9,$E$2:$E$1997,W$9)</f>
        <v>#REF!</v>
      </c>
      <c r="X28" s="7" t="e">
        <f>SUMIFS($I$2:$I$1997,#REF!,$M28,$J$2:$J$1997,$M$9,$E$2:$E$1997,X$9)</f>
        <v>#REF!</v>
      </c>
      <c r="Y28" s="7" t="e">
        <f>SUMIFS($I$2:$I$1997,#REF!,$M28,$J$2:$J$1997,$M$9,$E$2:$E$1997,Y$9)</f>
        <v>#REF!</v>
      </c>
      <c r="Z28" s="7" t="e">
        <f>SUMIFS($I$2:$I$1997,#REF!,$M28,$J$2:$J$1997,$M$9,$E$2:$E$1997,Z$9)</f>
        <v>#REF!</v>
      </c>
      <c r="AA28" s="11" t="e">
        <f t="shared" si="2"/>
        <v>#REF!</v>
      </c>
    </row>
    <row r="29" spans="1:27" x14ac:dyDescent="0.2">
      <c r="A29" s="4" t="s">
        <v>2000</v>
      </c>
      <c r="B29" s="15" t="s">
        <v>95</v>
      </c>
      <c r="C29" s="15" t="s">
        <v>96</v>
      </c>
      <c r="D29" s="15">
        <v>1</v>
      </c>
      <c r="E29" s="16" t="s">
        <v>7</v>
      </c>
      <c r="F29" s="15">
        <v>5030400</v>
      </c>
      <c r="G29" s="15">
        <v>4100000</v>
      </c>
      <c r="H29" s="17">
        <v>250000</v>
      </c>
      <c r="I29" s="17">
        <v>680400</v>
      </c>
      <c r="J29" s="18" t="s">
        <v>8</v>
      </c>
      <c r="M29" s="12" t="s">
        <v>97</v>
      </c>
    </row>
    <row r="30" spans="1:27" x14ac:dyDescent="0.2">
      <c r="A30" s="4" t="s">
        <v>91</v>
      </c>
      <c r="B30" s="15" t="s">
        <v>99</v>
      </c>
      <c r="C30" s="15" t="s">
        <v>100</v>
      </c>
      <c r="D30" s="15">
        <v>1</v>
      </c>
      <c r="E30" s="16" t="s">
        <v>7</v>
      </c>
      <c r="F30" s="15">
        <v>8670400</v>
      </c>
      <c r="G30" s="15">
        <v>7740000</v>
      </c>
      <c r="H30" s="17">
        <v>250000</v>
      </c>
      <c r="I30" s="17">
        <v>680400</v>
      </c>
      <c r="J30" s="18" t="s">
        <v>8</v>
      </c>
    </row>
    <row r="31" spans="1:27" x14ac:dyDescent="0.2">
      <c r="A31" s="4" t="s">
        <v>94</v>
      </c>
      <c r="B31" s="15" t="s">
        <v>102</v>
      </c>
      <c r="C31" s="15" t="s">
        <v>103</v>
      </c>
      <c r="D31" s="15">
        <v>1</v>
      </c>
      <c r="E31" s="16" t="s">
        <v>7</v>
      </c>
      <c r="F31" s="15">
        <v>1390400</v>
      </c>
      <c r="G31" s="15">
        <v>460000.00000000093</v>
      </c>
      <c r="H31" s="17">
        <v>250000</v>
      </c>
      <c r="I31" s="17">
        <v>680400</v>
      </c>
      <c r="J31" s="18" t="s">
        <v>8</v>
      </c>
    </row>
    <row r="32" spans="1:27" x14ac:dyDescent="0.2">
      <c r="A32" s="4" t="s">
        <v>98</v>
      </c>
      <c r="B32" s="15" t="s">
        <v>105</v>
      </c>
      <c r="C32" s="15" t="s">
        <v>106</v>
      </c>
      <c r="D32" s="15">
        <v>2</v>
      </c>
      <c r="E32" s="16" t="s">
        <v>7</v>
      </c>
      <c r="F32" s="15">
        <v>550400</v>
      </c>
      <c r="G32" s="15">
        <v>0</v>
      </c>
      <c r="H32" s="17">
        <v>250000</v>
      </c>
      <c r="I32" s="17">
        <v>300400</v>
      </c>
      <c r="J32" s="18" t="s">
        <v>8</v>
      </c>
      <c r="M32" s="13" t="s">
        <v>8</v>
      </c>
      <c r="N32" s="7"/>
      <c r="O32" s="7" t="str">
        <f>E25</f>
        <v>24/08/2023</v>
      </c>
      <c r="P32" s="8">
        <f>O32+1</f>
        <v>45163</v>
      </c>
      <c r="Q32" s="8">
        <f t="shared" ref="Q32:V32" si="3">P32+1</f>
        <v>45164</v>
      </c>
      <c r="R32" s="8">
        <f t="shared" si="3"/>
        <v>45165</v>
      </c>
      <c r="S32" s="8">
        <f t="shared" si="3"/>
        <v>45166</v>
      </c>
      <c r="T32" s="8">
        <f t="shared" si="3"/>
        <v>45167</v>
      </c>
      <c r="U32" s="8">
        <f t="shared" si="3"/>
        <v>45168</v>
      </c>
      <c r="V32" s="8">
        <f t="shared" si="3"/>
        <v>45169</v>
      </c>
      <c r="W32" s="8">
        <v>45171</v>
      </c>
      <c r="X32" s="8">
        <v>45172</v>
      </c>
      <c r="Y32" s="8">
        <v>45173</v>
      </c>
      <c r="Z32" s="8">
        <v>45174</v>
      </c>
      <c r="AA32" s="5" t="s">
        <v>36</v>
      </c>
    </row>
    <row r="33" spans="1:28" x14ac:dyDescent="0.2">
      <c r="A33" s="4" t="s">
        <v>101</v>
      </c>
      <c r="B33" s="15" t="s">
        <v>108</v>
      </c>
      <c r="C33" s="15" t="s">
        <v>109</v>
      </c>
      <c r="D33" s="15">
        <v>1</v>
      </c>
      <c r="E33" s="16" t="s">
        <v>7</v>
      </c>
      <c r="F33" s="15">
        <v>9330400</v>
      </c>
      <c r="G33" s="15">
        <v>8400000</v>
      </c>
      <c r="H33" s="17">
        <v>250000</v>
      </c>
      <c r="I33" s="17">
        <v>680400</v>
      </c>
      <c r="J33" s="18" t="s">
        <v>8</v>
      </c>
      <c r="M33" s="9"/>
      <c r="N33" s="9"/>
      <c r="O33" s="10" t="e">
        <f>SUM(O34:O52)</f>
        <v>#REF!</v>
      </c>
      <c r="P33" s="10" t="e">
        <f t="shared" ref="P33:Z33" si="4">SUM(P34:P52)</f>
        <v>#REF!</v>
      </c>
      <c r="Q33" s="10" t="e">
        <f t="shared" si="4"/>
        <v>#REF!</v>
      </c>
      <c r="R33" s="10" t="e">
        <f t="shared" si="4"/>
        <v>#REF!</v>
      </c>
      <c r="S33" s="10" t="e">
        <f t="shared" si="4"/>
        <v>#REF!</v>
      </c>
      <c r="T33" s="10" t="e">
        <f t="shared" si="4"/>
        <v>#REF!</v>
      </c>
      <c r="U33" s="10" t="e">
        <f t="shared" si="4"/>
        <v>#REF!</v>
      </c>
      <c r="V33" s="10" t="e">
        <f t="shared" si="4"/>
        <v>#REF!</v>
      </c>
      <c r="W33" s="10" t="e">
        <f t="shared" si="4"/>
        <v>#REF!</v>
      </c>
      <c r="X33" s="10" t="e">
        <f t="shared" si="4"/>
        <v>#REF!</v>
      </c>
      <c r="Y33" s="10" t="e">
        <f t="shared" si="4"/>
        <v>#REF!</v>
      </c>
      <c r="Z33" s="10" t="e">
        <f t="shared" si="4"/>
        <v>#REF!</v>
      </c>
      <c r="AA33" s="10" t="e">
        <f>SUM(O33:Z33)</f>
        <v>#REF!</v>
      </c>
      <c r="AB33" s="3"/>
    </row>
    <row r="34" spans="1:28" x14ac:dyDescent="0.2">
      <c r="A34" s="4" t="s">
        <v>104</v>
      </c>
      <c r="B34" s="15" t="s">
        <v>111</v>
      </c>
      <c r="C34" s="15" t="s">
        <v>112</v>
      </c>
      <c r="D34" s="15">
        <v>1</v>
      </c>
      <c r="E34" s="16" t="s">
        <v>7</v>
      </c>
      <c r="F34" s="15">
        <v>5030400</v>
      </c>
      <c r="G34" s="15">
        <v>4100000</v>
      </c>
      <c r="H34" s="17">
        <v>250000</v>
      </c>
      <c r="I34" s="17">
        <v>680400</v>
      </c>
      <c r="J34" s="18" t="s">
        <v>8</v>
      </c>
      <c r="M34" s="1" t="s">
        <v>3</v>
      </c>
      <c r="N34" s="7" t="s">
        <v>0</v>
      </c>
      <c r="O34" s="7" t="e">
        <f>SUMIFS($G$2:$G$1997,#REF!,$M34,$J$2:$J$1997,$M$32,$E$2:$E$1997,O$9)</f>
        <v>#REF!</v>
      </c>
      <c r="P34" s="7" t="e">
        <f>SUMIFS($G$2:$G$1997,#REF!,$M34,$J$2:$J$1997,$M$32,$E$2:$E$1997,P$9)</f>
        <v>#REF!</v>
      </c>
      <c r="Q34" s="7" t="e">
        <f>SUMIFS($G$2:$G$1997,#REF!,$M34,$J$2:$J$1997,$M$32,$E$2:$E$1997,Q$9)</f>
        <v>#REF!</v>
      </c>
      <c r="R34" s="7" t="e">
        <f>SUMIFS($G$2:$G$1997,#REF!,$M34,$J$2:$J$1997,$M$32,$E$2:$E$1997,R$9)</f>
        <v>#REF!</v>
      </c>
      <c r="S34" s="7" t="e">
        <f>SUMIFS($G$2:$G$1997,#REF!,$M34,$J$2:$J$1997,$M$32,$E$2:$E$1997,S$9)</f>
        <v>#REF!</v>
      </c>
      <c r="T34" s="7" t="e">
        <f>SUMIFS($G$2:$G$1997,#REF!,$M34,$J$2:$J$1997,$M$32,$E$2:$E$1997,T$9)</f>
        <v>#REF!</v>
      </c>
      <c r="U34" s="7" t="e">
        <f>SUMIFS($G$2:$G$1997,#REF!,$M34,$J$2:$J$1997,$M$32,$E$2:$E$1997,U$9)</f>
        <v>#REF!</v>
      </c>
      <c r="V34" s="7" t="e">
        <f>SUMIFS($G$2:$G$1997,#REF!,$M34,$J$2:$J$1997,$M$32,$E$2:$E$1997,V$9)</f>
        <v>#REF!</v>
      </c>
      <c r="W34" s="7" t="e">
        <f>SUMIFS($G$2:$G$1997,#REF!,$M34,$J$2:$J$1997,$M$32,$E$2:$E$1997,W$9)</f>
        <v>#REF!</v>
      </c>
      <c r="X34" s="7" t="e">
        <f>SUMIFS($G$2:$G$1997,#REF!,$M34,$J$2:$J$1997,$M$32,$E$2:$E$1997,X$9)</f>
        <v>#REF!</v>
      </c>
      <c r="Y34" s="7" t="e">
        <f>SUMIFS($G$2:$G$1997,#REF!,$M34,$J$2:$J$1997,$M$32,$E$2:$E$1997,Y$9)</f>
        <v>#REF!</v>
      </c>
      <c r="Z34" s="7" t="e">
        <f>SUMIFS($G$2:$G$1997,#REF!,$M34,$J$2:$J$1997,$M$32,$E$2:$E$1997,Z$9)</f>
        <v>#REF!</v>
      </c>
      <c r="AA34" s="10" t="e">
        <f t="shared" ref="AA34:AA52" si="5">SUM(O34:Z34)</f>
        <v>#REF!</v>
      </c>
    </row>
    <row r="35" spans="1:28" x14ac:dyDescent="0.2">
      <c r="A35" s="4" t="s">
        <v>107</v>
      </c>
      <c r="B35" s="15" t="s">
        <v>114</v>
      </c>
      <c r="C35" s="15" t="s">
        <v>115</v>
      </c>
      <c r="D35" s="15">
        <v>1</v>
      </c>
      <c r="E35" s="16" t="s">
        <v>7</v>
      </c>
      <c r="F35" s="15">
        <v>930400</v>
      </c>
      <c r="G35" s="15">
        <v>0</v>
      </c>
      <c r="H35" s="17">
        <v>250000</v>
      </c>
      <c r="I35" s="17">
        <v>680400</v>
      </c>
      <c r="J35" s="18" t="s">
        <v>8</v>
      </c>
      <c r="M35" s="1" t="s">
        <v>3</v>
      </c>
      <c r="N35" s="7" t="s">
        <v>1</v>
      </c>
      <c r="O35" s="7" t="e">
        <f>SUMIFS($H$2:$H$1997,#REF!,$M35,$J$2:$J$1997,$M$32,$E$2:$E$1997,O$9)</f>
        <v>#REF!</v>
      </c>
      <c r="P35" s="7" t="e">
        <f>SUMIFS($H$2:$H$1997,#REF!,$M35,$J$2:$J$1997,$M$32,$E$2:$E$1997,P$9)</f>
        <v>#REF!</v>
      </c>
      <c r="Q35" s="7" t="e">
        <f>SUMIFS($H$2:$H$1997,#REF!,$M35,$J$2:$J$1997,$M$32,$E$2:$E$1997,Q$9)</f>
        <v>#REF!</v>
      </c>
      <c r="R35" s="7" t="e">
        <f>SUMIFS($H$2:$H$1997,#REF!,$M35,$J$2:$J$1997,$M$32,$E$2:$E$1997,R$9)</f>
        <v>#REF!</v>
      </c>
      <c r="S35" s="7" t="e">
        <f>SUMIFS($H$2:$H$1997,#REF!,$M35,$J$2:$J$1997,$M$32,$E$2:$E$1997,S$9)</f>
        <v>#REF!</v>
      </c>
      <c r="T35" s="7" t="e">
        <f>SUMIFS($H$2:$H$1997,#REF!,$M35,$J$2:$J$1997,$M$32,$E$2:$E$1997,T$9)</f>
        <v>#REF!</v>
      </c>
      <c r="U35" s="7" t="e">
        <f>SUMIFS($H$2:$H$1997,#REF!,$M35,$J$2:$J$1997,$M$32,$E$2:$E$1997,U$9)</f>
        <v>#REF!</v>
      </c>
      <c r="V35" s="7" t="e">
        <f>SUMIFS($H$2:$H$1997,#REF!,$M35,$J$2:$J$1997,$M$32,$E$2:$E$1997,V$9)</f>
        <v>#REF!</v>
      </c>
      <c r="W35" s="7" t="e">
        <f>SUMIFS($H$2:$H$1997,#REF!,$M35,$J$2:$J$1997,$M$32,$E$2:$E$1997,W$9)</f>
        <v>#REF!</v>
      </c>
      <c r="X35" s="7" t="e">
        <f>SUMIFS($H$2:$H$1997,#REF!,$M35,$J$2:$J$1997,$M$32,$E$2:$E$1997,X$9)</f>
        <v>#REF!</v>
      </c>
      <c r="Y35" s="7" t="e">
        <f>SUMIFS($H$2:$H$1997,#REF!,$M35,$J$2:$J$1997,$M$32,$E$2:$E$1997,Y$9)</f>
        <v>#REF!</v>
      </c>
      <c r="Z35" s="7" t="e">
        <f>SUMIFS($H$2:$H$1997,#REF!,$M35,$J$2:$J$1997,$M$32,$E$2:$E$1997,Z$9)</f>
        <v>#REF!</v>
      </c>
      <c r="AA35" s="10" t="e">
        <f t="shared" si="5"/>
        <v>#REF!</v>
      </c>
    </row>
    <row r="36" spans="1:28" x14ac:dyDescent="0.2">
      <c r="A36" s="4" t="s">
        <v>110</v>
      </c>
      <c r="B36" s="15" t="s">
        <v>117</v>
      </c>
      <c r="C36" s="15" t="s">
        <v>118</v>
      </c>
      <c r="D36" s="15">
        <v>1</v>
      </c>
      <c r="E36" s="16" t="s">
        <v>7</v>
      </c>
      <c r="F36" s="15">
        <v>10490400</v>
      </c>
      <c r="G36" s="15">
        <v>9560000</v>
      </c>
      <c r="H36" s="17">
        <v>250000</v>
      </c>
      <c r="I36" s="17">
        <v>680400</v>
      </c>
      <c r="J36" s="18" t="s">
        <v>8</v>
      </c>
      <c r="M36" s="1" t="s">
        <v>3</v>
      </c>
      <c r="N36" s="7" t="s">
        <v>2</v>
      </c>
      <c r="O36" s="7" t="e">
        <f>SUMIFS($I$2:$I$1997,#REF!,$M36,$J$2:$J$1997,$M$32,$E$2:$E$1997,O$9)</f>
        <v>#REF!</v>
      </c>
      <c r="P36" s="7" t="e">
        <f>SUMIFS($I$2:$I$1997,#REF!,$M36,$J$2:$J$1997,$M$32,$E$2:$E$1997,P$9)</f>
        <v>#REF!</v>
      </c>
      <c r="Q36" s="7" t="e">
        <f>SUMIFS($I$2:$I$1997,#REF!,$M36,$J$2:$J$1997,$M$32,$E$2:$E$1997,Q$9)</f>
        <v>#REF!</v>
      </c>
      <c r="R36" s="7" t="e">
        <f>SUMIFS($I$2:$I$1997,#REF!,$M36,$J$2:$J$1997,$M$32,$E$2:$E$1997,R$9)</f>
        <v>#REF!</v>
      </c>
      <c r="S36" s="7" t="e">
        <f>SUMIFS($I$2:$I$1997,#REF!,$M36,$J$2:$J$1997,$M$32,$E$2:$E$1997,S$9)</f>
        <v>#REF!</v>
      </c>
      <c r="T36" s="7" t="e">
        <f>SUMIFS($I$2:$I$1997,#REF!,$M36,$J$2:$J$1997,$M$32,$E$2:$E$1997,T$9)</f>
        <v>#REF!</v>
      </c>
      <c r="U36" s="7" t="e">
        <f>SUMIFS($I$2:$I$1997,#REF!,$M36,$J$2:$J$1997,$M$32,$E$2:$E$1997,U$9)</f>
        <v>#REF!</v>
      </c>
      <c r="V36" s="7" t="e">
        <f>SUMIFS($I$2:$I$1997,#REF!,$M36,$J$2:$J$1997,$M$32,$E$2:$E$1997,V$9)</f>
        <v>#REF!</v>
      </c>
      <c r="W36" s="7" t="e">
        <f>SUMIFS($I$2:$I$1997,#REF!,$M36,$J$2:$J$1997,$M$32,$E$2:$E$1997,W$9)</f>
        <v>#REF!</v>
      </c>
      <c r="X36" s="7" t="e">
        <f>SUMIFS($I$2:$I$1997,#REF!,$M36,$J$2:$J$1997,$M$32,$E$2:$E$1997,X$9)</f>
        <v>#REF!</v>
      </c>
      <c r="Y36" s="7" t="e">
        <f>SUMIFS($I$2:$I$1997,#REF!,$M36,$J$2:$J$1997,$M$32,$E$2:$E$1997,Y$9)</f>
        <v>#REF!</v>
      </c>
      <c r="Z36" s="7" t="e">
        <f>SUMIFS($I$2:$I$1997,#REF!,$M36,$J$2:$J$1997,$M$32,$E$2:$E$1997,Z$9)</f>
        <v>#REF!</v>
      </c>
      <c r="AA36" s="10" t="e">
        <f t="shared" si="5"/>
        <v>#REF!</v>
      </c>
    </row>
    <row r="37" spans="1:28" x14ac:dyDescent="0.2">
      <c r="A37" s="4" t="s">
        <v>113</v>
      </c>
      <c r="B37" s="15" t="s">
        <v>120</v>
      </c>
      <c r="C37" s="15" t="s">
        <v>121</v>
      </c>
      <c r="D37" s="15">
        <v>1</v>
      </c>
      <c r="E37" s="16" t="s">
        <v>122</v>
      </c>
      <c r="F37" s="15">
        <v>6710400</v>
      </c>
      <c r="G37" s="15">
        <v>5780000</v>
      </c>
      <c r="H37" s="17">
        <v>250000</v>
      </c>
      <c r="I37" s="17">
        <v>680400</v>
      </c>
      <c r="J37" s="18" t="s">
        <v>8</v>
      </c>
      <c r="M37" s="1" t="s">
        <v>29</v>
      </c>
      <c r="N37" s="7" t="s">
        <v>0</v>
      </c>
      <c r="O37" s="7" t="e">
        <f>SUMIFS($G$2:$G$1997,#REF!,$M37,$J$2:$J$1997,$M$32,$E$2:$E$1997,O$9)</f>
        <v>#REF!</v>
      </c>
      <c r="P37" s="7" t="e">
        <f>SUMIFS($G$2:$G$1997,#REF!,$M37,$J$2:$J$1997,$M$32,$E$2:$E$1997,P$9)</f>
        <v>#REF!</v>
      </c>
      <c r="Q37" s="7" t="e">
        <f>SUMIFS($G$2:$G$1997,#REF!,$M37,$J$2:$J$1997,$M$32,$E$2:$E$1997,Q$9)</f>
        <v>#REF!</v>
      </c>
      <c r="R37" s="7" t="e">
        <f>SUMIFS($G$2:$G$1997,#REF!,$M37,$J$2:$J$1997,$M$32,$E$2:$E$1997,R$9)</f>
        <v>#REF!</v>
      </c>
      <c r="S37" s="7" t="e">
        <f>SUMIFS($G$2:$G$1997,#REF!,$M37,$J$2:$J$1997,$M$32,$E$2:$E$1997,S$9)</f>
        <v>#REF!</v>
      </c>
      <c r="T37" s="7" t="e">
        <f>SUMIFS($G$2:$G$1997,#REF!,$M37,$J$2:$J$1997,$M$32,$E$2:$E$1997,T$9)</f>
        <v>#REF!</v>
      </c>
      <c r="U37" s="7" t="e">
        <f>SUMIFS($G$2:$G$1997,#REF!,$M37,$J$2:$J$1997,$M$32,$E$2:$E$1997,U$9)</f>
        <v>#REF!</v>
      </c>
      <c r="V37" s="7" t="e">
        <f>SUMIFS($G$2:$G$1997,#REF!,$M37,$J$2:$J$1997,$M$32,$E$2:$E$1997,V$9)</f>
        <v>#REF!</v>
      </c>
      <c r="W37" s="7" t="e">
        <f>SUMIFS($G$2:$G$1997,#REF!,$M37,$J$2:$J$1997,$M$32,$E$2:$E$1997,W$9)</f>
        <v>#REF!</v>
      </c>
      <c r="X37" s="7" t="e">
        <f>SUMIFS($G$2:$G$1997,#REF!,$M37,$J$2:$J$1997,$M$32,$E$2:$E$1997,X$9)</f>
        <v>#REF!</v>
      </c>
      <c r="Y37" s="7" t="e">
        <f>SUMIFS($G$2:$G$1997,#REF!,$M37,$J$2:$J$1997,$M$32,$E$2:$E$1997,Y$9)</f>
        <v>#REF!</v>
      </c>
      <c r="Z37" s="7" t="e">
        <f>SUMIFS($G$2:$G$1997,#REF!,$M37,$J$2:$J$1997,$M$32,$E$2:$E$1997,Z$9)</f>
        <v>#REF!</v>
      </c>
      <c r="AA37" s="10" t="e">
        <f t="shared" si="5"/>
        <v>#REF!</v>
      </c>
    </row>
    <row r="38" spans="1:28" x14ac:dyDescent="0.2">
      <c r="A38" s="4" t="s">
        <v>116</v>
      </c>
      <c r="B38" s="15" t="s">
        <v>124</v>
      </c>
      <c r="C38" s="15" t="s">
        <v>125</v>
      </c>
      <c r="D38" s="15">
        <v>1</v>
      </c>
      <c r="E38" s="16" t="s">
        <v>122</v>
      </c>
      <c r="F38" s="15">
        <v>15490400</v>
      </c>
      <c r="G38" s="15">
        <v>14560000</v>
      </c>
      <c r="H38" s="17">
        <v>250000</v>
      </c>
      <c r="I38" s="17">
        <v>680400</v>
      </c>
      <c r="J38" s="18" t="s">
        <v>8</v>
      </c>
      <c r="M38" s="1" t="s">
        <v>29</v>
      </c>
      <c r="N38" s="7" t="s">
        <v>1</v>
      </c>
      <c r="O38" s="7" t="e">
        <f>SUMIFS($H$2:$H$1997,#REF!,$M38,$J$2:$J$1997,$M$32,$E$2:$E$1997,O$9)</f>
        <v>#REF!</v>
      </c>
      <c r="P38" s="7" t="e">
        <f>SUMIFS($H$2:$H$1997,#REF!,$M38,$J$2:$J$1997,$M$32,$E$2:$E$1997,P$9)</f>
        <v>#REF!</v>
      </c>
      <c r="Q38" s="7" t="e">
        <f>SUMIFS($H$2:$H$1997,#REF!,$M38,$J$2:$J$1997,$M$32,$E$2:$E$1997,Q$9)</f>
        <v>#REF!</v>
      </c>
      <c r="R38" s="7" t="e">
        <f>SUMIFS($H$2:$H$1997,#REF!,$M38,$J$2:$J$1997,$M$32,$E$2:$E$1997,R$9)</f>
        <v>#REF!</v>
      </c>
      <c r="S38" s="7" t="e">
        <f>SUMIFS($H$2:$H$1997,#REF!,$M38,$J$2:$J$1997,$M$32,$E$2:$E$1997,S$9)</f>
        <v>#REF!</v>
      </c>
      <c r="T38" s="7" t="e">
        <f>SUMIFS($H$2:$H$1997,#REF!,$M38,$J$2:$J$1997,$M$32,$E$2:$E$1997,T$9)</f>
        <v>#REF!</v>
      </c>
      <c r="U38" s="7" t="e">
        <f>SUMIFS($H$2:$H$1997,#REF!,$M38,$J$2:$J$1997,$M$32,$E$2:$E$1997,U$9)</f>
        <v>#REF!</v>
      </c>
      <c r="V38" s="7" t="e">
        <f>SUMIFS($H$2:$H$1997,#REF!,$M38,$J$2:$J$1997,$M$32,$E$2:$E$1997,V$9)</f>
        <v>#REF!</v>
      </c>
      <c r="W38" s="7" t="e">
        <f>SUMIFS($H$2:$H$1997,#REF!,$M38,$J$2:$J$1997,$M$32,$E$2:$E$1997,W$9)</f>
        <v>#REF!</v>
      </c>
      <c r="X38" s="7" t="e">
        <f>SUMIFS($H$2:$H$1997,#REF!,$M38,$J$2:$J$1997,$M$32,$E$2:$E$1997,X$9)</f>
        <v>#REF!</v>
      </c>
      <c r="Y38" s="7" t="e">
        <f>SUMIFS($H$2:$H$1997,#REF!,$M38,$J$2:$J$1997,$M$32,$E$2:$E$1997,Y$9)</f>
        <v>#REF!</v>
      </c>
      <c r="Z38" s="7" t="e">
        <f>SUMIFS($H$2:$H$1997,#REF!,$M38,$J$2:$J$1997,$M$32,$E$2:$E$1997,Z$9)</f>
        <v>#REF!</v>
      </c>
      <c r="AA38" s="10" t="e">
        <f t="shared" si="5"/>
        <v>#REF!</v>
      </c>
    </row>
    <row r="39" spans="1:28" x14ac:dyDescent="0.2">
      <c r="A39" s="4" t="s">
        <v>119</v>
      </c>
      <c r="B39" s="15" t="s">
        <v>127</v>
      </c>
      <c r="C39" s="15" t="s">
        <v>128</v>
      </c>
      <c r="D39" s="15">
        <v>1</v>
      </c>
      <c r="E39" s="16" t="s">
        <v>122</v>
      </c>
      <c r="F39" s="15">
        <v>1390000</v>
      </c>
      <c r="G39" s="15">
        <v>460000.00000000093</v>
      </c>
      <c r="H39" s="17">
        <v>250000</v>
      </c>
      <c r="I39" s="17">
        <v>679999.99999999907</v>
      </c>
      <c r="J39" s="18" t="s">
        <v>8</v>
      </c>
      <c r="M39" s="1" t="s">
        <v>29</v>
      </c>
      <c r="N39" s="7" t="s">
        <v>2</v>
      </c>
      <c r="O39" s="7" t="e">
        <f>SUMIFS($I$2:$I$1997,#REF!,$M39,$J$2:$J$1997,$M$32,$E$2:$E$1997,O$9)</f>
        <v>#REF!</v>
      </c>
      <c r="P39" s="7" t="e">
        <f>SUMIFS($I$2:$I$1997,#REF!,$M39,$J$2:$J$1997,$M$32,$E$2:$E$1997,P$9)</f>
        <v>#REF!</v>
      </c>
      <c r="Q39" s="7" t="e">
        <f>SUMIFS($I$2:$I$1997,#REF!,$M39,$J$2:$J$1997,$M$32,$E$2:$E$1997,Q$9)</f>
        <v>#REF!</v>
      </c>
      <c r="R39" s="7" t="e">
        <f>SUMIFS($I$2:$I$1997,#REF!,$M39,$J$2:$J$1997,$M$32,$E$2:$E$1997,R$9)</f>
        <v>#REF!</v>
      </c>
      <c r="S39" s="7" t="e">
        <f>SUMIFS($I$2:$I$1997,#REF!,$M39,$J$2:$J$1997,$M$32,$E$2:$E$1997,S$9)</f>
        <v>#REF!</v>
      </c>
      <c r="T39" s="7" t="e">
        <f>SUMIFS($I$2:$I$1997,#REF!,$M39,$J$2:$J$1997,$M$32,$E$2:$E$1997,T$9)</f>
        <v>#REF!</v>
      </c>
      <c r="U39" s="7" t="e">
        <f>SUMIFS($I$2:$I$1997,#REF!,$M39,$J$2:$J$1997,$M$32,$E$2:$E$1997,U$9)</f>
        <v>#REF!</v>
      </c>
      <c r="V39" s="7" t="e">
        <f>SUMIFS($I$2:$I$1997,#REF!,$M39,$J$2:$J$1997,$M$32,$E$2:$E$1997,V$9)</f>
        <v>#REF!</v>
      </c>
      <c r="W39" s="7" t="e">
        <f>SUMIFS($I$2:$I$1997,#REF!,$M39,$J$2:$J$1997,$M$32,$E$2:$E$1997,W$9)</f>
        <v>#REF!</v>
      </c>
      <c r="X39" s="7" t="e">
        <f>SUMIFS($I$2:$I$1997,#REF!,$M39,$J$2:$J$1997,$M$32,$E$2:$E$1997,X$9)</f>
        <v>#REF!</v>
      </c>
      <c r="Y39" s="7" t="e">
        <f>SUMIFS($I$2:$I$1997,#REF!,$M39,$J$2:$J$1997,$M$32,$E$2:$E$1997,Y$9)</f>
        <v>#REF!</v>
      </c>
      <c r="Z39" s="7" t="e">
        <f>SUMIFS($I$2:$I$1997,#REF!,$M39,$J$2:$J$1997,$M$32,$E$2:$E$1997,Z$9)</f>
        <v>#REF!</v>
      </c>
      <c r="AA39" s="10" t="e">
        <f t="shared" si="5"/>
        <v>#REF!</v>
      </c>
    </row>
    <row r="40" spans="1:28" x14ac:dyDescent="0.2">
      <c r="A40" s="4" t="s">
        <v>123</v>
      </c>
      <c r="B40" s="15" t="s">
        <v>130</v>
      </c>
      <c r="C40" s="15" t="s">
        <v>131</v>
      </c>
      <c r="D40" s="15">
        <v>1</v>
      </c>
      <c r="E40" s="16" t="s">
        <v>122</v>
      </c>
      <c r="F40" s="15">
        <v>14370400</v>
      </c>
      <c r="G40" s="15">
        <v>13440000</v>
      </c>
      <c r="H40" s="17">
        <v>250000</v>
      </c>
      <c r="I40" s="17">
        <v>680400</v>
      </c>
      <c r="J40" s="18" t="s">
        <v>8</v>
      </c>
      <c r="M40" s="1" t="s">
        <v>14</v>
      </c>
      <c r="N40" s="7" t="s">
        <v>0</v>
      </c>
      <c r="O40" s="7" t="e">
        <f>SUMIFS($G$2:$G$1997,#REF!,$M40,$J$2:$J$1997,$M$32,$E$2:$E$1997,O$9)</f>
        <v>#REF!</v>
      </c>
      <c r="P40" s="7" t="e">
        <f>SUMIFS($G$2:$G$1997,#REF!,$M40,$J$2:$J$1997,$M$32,$E$2:$E$1997,P$9)</f>
        <v>#REF!</v>
      </c>
      <c r="Q40" s="7" t="e">
        <f>SUMIFS($G$2:$G$1997,#REF!,$M40,$J$2:$J$1997,$M$32,$E$2:$E$1997,Q$9)</f>
        <v>#REF!</v>
      </c>
      <c r="R40" s="7" t="e">
        <f>SUMIFS($G$2:$G$1997,#REF!,$M40,$J$2:$J$1997,$M$32,$E$2:$E$1997,R$9)</f>
        <v>#REF!</v>
      </c>
      <c r="S40" s="7" t="e">
        <f>SUMIFS($G$2:$G$1997,#REF!,$M40,$J$2:$J$1997,$M$32,$E$2:$E$1997,S$9)</f>
        <v>#REF!</v>
      </c>
      <c r="T40" s="7" t="e">
        <f>SUMIFS($G$2:$G$1997,#REF!,$M40,$J$2:$J$1997,$M$32,$E$2:$E$1997,T$9)</f>
        <v>#REF!</v>
      </c>
      <c r="U40" s="7" t="e">
        <f>SUMIFS($G$2:$G$1997,#REF!,$M40,$J$2:$J$1997,$M$32,$E$2:$E$1997,U$9)</f>
        <v>#REF!</v>
      </c>
      <c r="V40" s="7" t="e">
        <f>SUMIFS($G$2:$G$1997,#REF!,$M40,$J$2:$J$1997,$M$32,$E$2:$E$1997,V$9)</f>
        <v>#REF!</v>
      </c>
      <c r="W40" s="7" t="e">
        <f>SUMIFS($G$2:$G$1997,#REF!,$M40,$J$2:$J$1997,$M$32,$E$2:$E$1997,W$9)</f>
        <v>#REF!</v>
      </c>
      <c r="X40" s="7" t="e">
        <f>SUMIFS($G$2:$G$1997,#REF!,$M40,$J$2:$J$1997,$M$32,$E$2:$E$1997,X$9)</f>
        <v>#REF!</v>
      </c>
      <c r="Y40" s="7" t="e">
        <f>SUMIFS($G$2:$G$1997,#REF!,$M40,$J$2:$J$1997,$M$32,$E$2:$E$1997,Y$9)</f>
        <v>#REF!</v>
      </c>
      <c r="Z40" s="7" t="e">
        <f>SUMIFS($G$2:$G$1997,#REF!,$M40,$J$2:$J$1997,$M$32,$E$2:$E$1997,Z$9)</f>
        <v>#REF!</v>
      </c>
      <c r="AA40" s="10" t="e">
        <f t="shared" si="5"/>
        <v>#REF!</v>
      </c>
    </row>
    <row r="41" spans="1:28" x14ac:dyDescent="0.2">
      <c r="A41" s="4" t="s">
        <v>126</v>
      </c>
      <c r="B41" s="15" t="s">
        <v>133</v>
      </c>
      <c r="C41" s="15" t="s">
        <v>134</v>
      </c>
      <c r="D41" s="15">
        <v>2</v>
      </c>
      <c r="E41" s="16" t="s">
        <v>122</v>
      </c>
      <c r="F41" s="15">
        <v>5000000</v>
      </c>
      <c r="G41" s="15">
        <v>5000000</v>
      </c>
      <c r="H41" s="17">
        <v>0</v>
      </c>
      <c r="I41" s="17">
        <v>0</v>
      </c>
      <c r="J41" s="18" t="s">
        <v>8</v>
      </c>
      <c r="M41" s="1" t="s">
        <v>14</v>
      </c>
      <c r="N41" s="7" t="s">
        <v>1</v>
      </c>
      <c r="O41" s="7" t="e">
        <f>SUMIFS($H$2:$H$1997,#REF!,$M41,$J$2:$J$1997,$M$32,$E$2:$E$1997,O$9)</f>
        <v>#REF!</v>
      </c>
      <c r="P41" s="7" t="e">
        <f>SUMIFS($H$2:$H$1997,#REF!,$M41,$J$2:$J$1997,$M$32,$E$2:$E$1997,P$9)</f>
        <v>#REF!</v>
      </c>
      <c r="Q41" s="7" t="e">
        <f>SUMIFS($H$2:$H$1997,#REF!,$M41,$J$2:$J$1997,$M$32,$E$2:$E$1997,Q$9)</f>
        <v>#REF!</v>
      </c>
      <c r="R41" s="7" t="e">
        <f>SUMIFS($H$2:$H$1997,#REF!,$M41,$J$2:$J$1997,$M$32,$E$2:$E$1997,R$9)</f>
        <v>#REF!</v>
      </c>
      <c r="S41" s="7" t="e">
        <f>SUMIFS($H$2:$H$1997,#REF!,$M41,$J$2:$J$1997,$M$32,$E$2:$E$1997,S$9)</f>
        <v>#REF!</v>
      </c>
      <c r="T41" s="7" t="e">
        <f>SUMIFS($H$2:$H$1997,#REF!,$M41,$J$2:$J$1997,$M$32,$E$2:$E$1997,T$9)</f>
        <v>#REF!</v>
      </c>
      <c r="U41" s="7" t="e">
        <f>SUMIFS($H$2:$H$1997,#REF!,$M41,$J$2:$J$1997,$M$32,$E$2:$E$1997,U$9)</f>
        <v>#REF!</v>
      </c>
      <c r="V41" s="7" t="e">
        <f>SUMIFS($H$2:$H$1997,#REF!,$M41,$J$2:$J$1997,$M$32,$E$2:$E$1997,V$9)</f>
        <v>#REF!</v>
      </c>
      <c r="W41" s="7" t="e">
        <f>SUMIFS($H$2:$H$1997,#REF!,$M41,$J$2:$J$1997,$M$32,$E$2:$E$1997,W$9)</f>
        <v>#REF!</v>
      </c>
      <c r="X41" s="7" t="e">
        <f>SUMIFS($H$2:$H$1997,#REF!,$M41,$J$2:$J$1997,$M$32,$E$2:$E$1997,X$9)</f>
        <v>#REF!</v>
      </c>
      <c r="Y41" s="7" t="e">
        <f>SUMIFS($H$2:$H$1997,#REF!,$M41,$J$2:$J$1997,$M$32,$E$2:$E$1997,Y$9)</f>
        <v>#REF!</v>
      </c>
      <c r="Z41" s="7" t="e">
        <f>SUMIFS($H$2:$H$1997,#REF!,$M41,$J$2:$J$1997,$M$32,$E$2:$E$1997,Z$9)</f>
        <v>#REF!</v>
      </c>
      <c r="AA41" s="10" t="e">
        <f t="shared" si="5"/>
        <v>#REF!</v>
      </c>
    </row>
    <row r="42" spans="1:28" x14ac:dyDescent="0.2">
      <c r="A42" s="4" t="s">
        <v>129</v>
      </c>
      <c r="B42" s="15" t="s">
        <v>136</v>
      </c>
      <c r="C42" s="15" t="s">
        <v>137</v>
      </c>
      <c r="D42" s="15">
        <v>1</v>
      </c>
      <c r="E42" s="16" t="s">
        <v>122</v>
      </c>
      <c r="F42" s="15">
        <v>6710400</v>
      </c>
      <c r="G42" s="15">
        <v>5780000</v>
      </c>
      <c r="H42" s="17">
        <v>250000</v>
      </c>
      <c r="I42" s="17">
        <v>680400</v>
      </c>
      <c r="J42" s="18" t="s">
        <v>8</v>
      </c>
      <c r="M42" s="1" t="s">
        <v>14</v>
      </c>
      <c r="N42" s="7" t="s">
        <v>2</v>
      </c>
      <c r="O42" s="7" t="e">
        <f>SUMIFS($I$2:$I$1997,#REF!,$M42,$J$2:$J$1997,$M$32,$E$2:$E$1997,O$9)</f>
        <v>#REF!</v>
      </c>
      <c r="P42" s="7" t="e">
        <f>SUMIFS($I$2:$I$1997,#REF!,$M42,$J$2:$J$1997,$M$32,$E$2:$E$1997,P$9)</f>
        <v>#REF!</v>
      </c>
      <c r="Q42" s="7" t="e">
        <f>SUMIFS($I$2:$I$1997,#REF!,$M42,$J$2:$J$1997,$M$32,$E$2:$E$1997,Q$9)</f>
        <v>#REF!</v>
      </c>
      <c r="R42" s="7" t="e">
        <f>SUMIFS($I$2:$I$1997,#REF!,$M42,$J$2:$J$1997,$M$32,$E$2:$E$1997,R$9)</f>
        <v>#REF!</v>
      </c>
      <c r="S42" s="7" t="e">
        <f>SUMIFS($I$2:$I$1997,#REF!,$M42,$J$2:$J$1997,$M$32,$E$2:$E$1997,S$9)</f>
        <v>#REF!</v>
      </c>
      <c r="T42" s="7" t="e">
        <f>SUMIFS($I$2:$I$1997,#REF!,$M42,$J$2:$J$1997,$M$32,$E$2:$E$1997,T$9)</f>
        <v>#REF!</v>
      </c>
      <c r="U42" s="7" t="e">
        <f>SUMIFS($I$2:$I$1997,#REF!,$M42,$J$2:$J$1997,$M$32,$E$2:$E$1997,U$9)</f>
        <v>#REF!</v>
      </c>
      <c r="V42" s="7" t="e">
        <f>SUMIFS($I$2:$I$1997,#REF!,$M42,$J$2:$J$1997,$M$32,$E$2:$E$1997,V$9)</f>
        <v>#REF!</v>
      </c>
      <c r="W42" s="7" t="e">
        <f>SUMIFS($I$2:$I$1997,#REF!,$M42,$J$2:$J$1997,$M$32,$E$2:$E$1997,W$9)</f>
        <v>#REF!</v>
      </c>
      <c r="X42" s="7" t="e">
        <f>SUMIFS($I$2:$I$1997,#REF!,$M42,$J$2:$J$1997,$M$32,$E$2:$E$1997,X$9)</f>
        <v>#REF!</v>
      </c>
      <c r="Y42" s="7" t="e">
        <f>SUMIFS($I$2:$I$1997,#REF!,$M42,$J$2:$J$1997,$M$32,$E$2:$E$1997,Y$9)</f>
        <v>#REF!</v>
      </c>
      <c r="Z42" s="7" t="e">
        <f>SUMIFS($I$2:$I$1997,#REF!,$M42,$J$2:$J$1997,$M$32,$E$2:$E$1997,Z$9)</f>
        <v>#REF!</v>
      </c>
      <c r="AA42" s="10" t="e">
        <f t="shared" si="5"/>
        <v>#REF!</v>
      </c>
    </row>
    <row r="43" spans="1:28" x14ac:dyDescent="0.2">
      <c r="A43" s="4" t="s">
        <v>132</v>
      </c>
      <c r="B43" s="15" t="s">
        <v>139</v>
      </c>
      <c r="C43" s="15" t="s">
        <v>140</v>
      </c>
      <c r="D43" s="15">
        <v>1</v>
      </c>
      <c r="E43" s="16" t="s">
        <v>122</v>
      </c>
      <c r="F43" s="15">
        <v>7690400</v>
      </c>
      <c r="G43" s="15">
        <v>6760000</v>
      </c>
      <c r="H43" s="17">
        <v>250000</v>
      </c>
      <c r="I43" s="17">
        <v>680400</v>
      </c>
      <c r="J43" s="18" t="s">
        <v>8</v>
      </c>
      <c r="M43" s="5" t="s">
        <v>18</v>
      </c>
      <c r="N43" s="7" t="s">
        <v>0</v>
      </c>
      <c r="O43" s="7" t="e">
        <f>SUMIFS($G$2:$G$1997,#REF!,$M43,$J$2:$J$1997,$M$32,$E$2:$E$1997,O$9)</f>
        <v>#REF!</v>
      </c>
      <c r="P43" s="7" t="e">
        <f>SUMIFS($G$2:$G$1997,#REF!,$M43,$J$2:$J$1997,$M$32,$E$2:$E$1997,P$9)</f>
        <v>#REF!</v>
      </c>
      <c r="Q43" s="7" t="e">
        <f>SUMIFS($G$2:$G$1997,#REF!,$M43,$J$2:$J$1997,$M$32,$E$2:$E$1997,Q$9)</f>
        <v>#REF!</v>
      </c>
      <c r="R43" s="7" t="e">
        <f>SUMIFS($G$2:$G$1997,#REF!,$M43,$J$2:$J$1997,$M$32,$E$2:$E$1997,R$9)</f>
        <v>#REF!</v>
      </c>
      <c r="S43" s="7" t="e">
        <f>SUMIFS($G$2:$G$1997,#REF!,$M43,$J$2:$J$1997,$M$32,$E$2:$E$1997,S$9)</f>
        <v>#REF!</v>
      </c>
      <c r="T43" s="7" t="e">
        <f>SUMIFS($G$2:$G$1997,#REF!,$M43,$J$2:$J$1997,$M$32,$E$2:$E$1997,T$9)</f>
        <v>#REF!</v>
      </c>
      <c r="U43" s="7" t="e">
        <f>SUMIFS($G$2:$G$1997,#REF!,$M43,$J$2:$J$1997,$M$32,$E$2:$E$1997,U$9)</f>
        <v>#REF!</v>
      </c>
      <c r="V43" s="7" t="e">
        <f>SUMIFS($G$2:$G$1997,#REF!,$M43,$J$2:$J$1997,$M$32,$E$2:$E$1997,V$9)</f>
        <v>#REF!</v>
      </c>
      <c r="W43" s="7" t="e">
        <f>SUMIFS($G$2:$G$1997,#REF!,$M43,$J$2:$J$1997,$M$32,$E$2:$E$1997,W$9)</f>
        <v>#REF!</v>
      </c>
      <c r="X43" s="7" t="e">
        <f>SUMIFS($G$2:$G$1997,#REF!,$M43,$J$2:$J$1997,$M$32,$E$2:$E$1997,X$9)</f>
        <v>#REF!</v>
      </c>
      <c r="Y43" s="7" t="e">
        <f>SUMIFS($G$2:$G$1997,#REF!,$M43,$J$2:$J$1997,$M$32,$E$2:$E$1997,Y$9)</f>
        <v>#REF!</v>
      </c>
      <c r="Z43" s="7" t="e">
        <f>SUMIFS($G$2:$G$1997,#REF!,$M43,$J$2:$J$1997,$M$32,$E$2:$E$1997,Z$9)</f>
        <v>#REF!</v>
      </c>
      <c r="AA43" s="10" t="e">
        <f t="shared" si="5"/>
        <v>#REF!</v>
      </c>
    </row>
    <row r="44" spans="1:28" x14ac:dyDescent="0.2">
      <c r="A44" s="4" t="s">
        <v>135</v>
      </c>
      <c r="B44" s="15" t="s">
        <v>142</v>
      </c>
      <c r="C44" s="15" t="s">
        <v>143</v>
      </c>
      <c r="D44" s="15">
        <v>1</v>
      </c>
      <c r="E44" s="16" t="s">
        <v>122</v>
      </c>
      <c r="F44" s="15">
        <v>15490400</v>
      </c>
      <c r="G44" s="15">
        <v>14560000</v>
      </c>
      <c r="H44" s="17">
        <v>250000</v>
      </c>
      <c r="I44" s="17">
        <v>680400</v>
      </c>
      <c r="J44" s="18" t="s">
        <v>8</v>
      </c>
      <c r="M44" s="5" t="s">
        <v>18</v>
      </c>
      <c r="N44" s="7" t="s">
        <v>1</v>
      </c>
      <c r="O44" s="7" t="e">
        <f>SUMIFS($H$2:$H$1997,#REF!,$M44,$J$2:$J$1997,$M$32,$E$2:$E$1997,O$9)</f>
        <v>#REF!</v>
      </c>
      <c r="P44" s="7" t="e">
        <f>SUMIFS($H$2:$H$1997,#REF!,$M44,$J$2:$J$1997,$M$32,$E$2:$E$1997,P$9)</f>
        <v>#REF!</v>
      </c>
      <c r="Q44" s="7" t="e">
        <f>SUMIFS($H$2:$H$1997,#REF!,$M44,$J$2:$J$1997,$M$32,$E$2:$E$1997,Q$9)</f>
        <v>#REF!</v>
      </c>
      <c r="R44" s="7" t="e">
        <f>SUMIFS($H$2:$H$1997,#REF!,$M44,$J$2:$J$1997,$M$32,$E$2:$E$1997,R$9)</f>
        <v>#REF!</v>
      </c>
      <c r="S44" s="7" t="e">
        <f>SUMIFS($H$2:$H$1997,#REF!,$M44,$J$2:$J$1997,$M$32,$E$2:$E$1997,S$9)</f>
        <v>#REF!</v>
      </c>
      <c r="T44" s="7" t="e">
        <f>SUMIFS($H$2:$H$1997,#REF!,$M44,$J$2:$J$1997,$M$32,$E$2:$E$1997,T$9)</f>
        <v>#REF!</v>
      </c>
      <c r="U44" s="7" t="e">
        <f>SUMIFS($H$2:$H$1997,#REF!,$M44,$J$2:$J$1997,$M$32,$E$2:$E$1997,U$9)</f>
        <v>#REF!</v>
      </c>
      <c r="V44" s="7" t="e">
        <f>SUMIFS($H$2:$H$1997,#REF!,$M44,$J$2:$J$1997,$M$32,$E$2:$E$1997,V$9)</f>
        <v>#REF!</v>
      </c>
      <c r="W44" s="7" t="e">
        <f>SUMIFS($H$2:$H$1997,#REF!,$M44,$J$2:$J$1997,$M$32,$E$2:$E$1997,W$9)</f>
        <v>#REF!</v>
      </c>
      <c r="X44" s="7" t="e">
        <f>SUMIFS($H$2:$H$1997,#REF!,$M44,$J$2:$J$1997,$M$32,$E$2:$E$1997,X$9)</f>
        <v>#REF!</v>
      </c>
      <c r="Y44" s="7" t="e">
        <f>SUMIFS($H$2:$H$1997,#REF!,$M44,$J$2:$J$1997,$M$32,$E$2:$E$1997,Y$9)</f>
        <v>#REF!</v>
      </c>
      <c r="Z44" s="7" t="e">
        <f>SUMIFS($H$2:$H$1997,#REF!,$M44,$J$2:$J$1997,$M$32,$E$2:$E$1997,Z$9)</f>
        <v>#REF!</v>
      </c>
      <c r="AA44" s="10" t="e">
        <f t="shared" si="5"/>
        <v>#REF!</v>
      </c>
    </row>
    <row r="45" spans="1:28" x14ac:dyDescent="0.2">
      <c r="A45" s="4" t="s">
        <v>138</v>
      </c>
      <c r="B45" s="15" t="s">
        <v>145</v>
      </c>
      <c r="C45" s="15" t="s">
        <v>146</v>
      </c>
      <c r="D45" s="15">
        <v>1</v>
      </c>
      <c r="E45" s="16" t="s">
        <v>122</v>
      </c>
      <c r="F45" s="15">
        <v>8630400</v>
      </c>
      <c r="G45" s="15">
        <v>7700000</v>
      </c>
      <c r="H45" s="17">
        <v>250000</v>
      </c>
      <c r="I45" s="17">
        <v>680400</v>
      </c>
      <c r="J45" s="18" t="s">
        <v>8</v>
      </c>
      <c r="M45" s="5" t="s">
        <v>18</v>
      </c>
      <c r="N45" s="7" t="s">
        <v>2</v>
      </c>
      <c r="O45" s="7" t="e">
        <f>SUMIFS($I$2:$I$1997,#REF!,$M45,$J$2:$J$1997,$M$32,$E$2:$E$1997,O$9)</f>
        <v>#REF!</v>
      </c>
      <c r="P45" s="7" t="e">
        <f>SUMIFS($I$2:$I$1997,#REF!,$M45,$J$2:$J$1997,$M$32,$E$2:$E$1997,P$9)</f>
        <v>#REF!</v>
      </c>
      <c r="Q45" s="7" t="e">
        <f>SUMIFS($I$2:$I$1997,#REF!,$M45,$J$2:$J$1997,$M$32,$E$2:$E$1997,Q$9)</f>
        <v>#REF!</v>
      </c>
      <c r="R45" s="7" t="e">
        <f>SUMIFS($I$2:$I$1997,#REF!,$M45,$J$2:$J$1997,$M$32,$E$2:$E$1997,R$9)</f>
        <v>#REF!</v>
      </c>
      <c r="S45" s="7" t="e">
        <f>SUMIFS($I$2:$I$1997,#REF!,$M45,$J$2:$J$1997,$M$32,$E$2:$E$1997,S$9)</f>
        <v>#REF!</v>
      </c>
      <c r="T45" s="7" t="e">
        <f>SUMIFS($I$2:$I$1997,#REF!,$M45,$J$2:$J$1997,$M$32,$E$2:$E$1997,T$9)</f>
        <v>#REF!</v>
      </c>
      <c r="U45" s="7" t="e">
        <f>SUMIFS($I$2:$I$1997,#REF!,$M45,$J$2:$J$1997,$M$32,$E$2:$E$1997,U$9)</f>
        <v>#REF!</v>
      </c>
      <c r="V45" s="7" t="e">
        <f>SUMIFS($I$2:$I$1997,#REF!,$M45,$J$2:$J$1997,$M$32,$E$2:$E$1997,V$9)</f>
        <v>#REF!</v>
      </c>
      <c r="W45" s="7" t="e">
        <f>SUMIFS($I$2:$I$1997,#REF!,$M45,$J$2:$J$1997,$M$32,$E$2:$E$1997,W$9)</f>
        <v>#REF!</v>
      </c>
      <c r="X45" s="7" t="e">
        <f>SUMIFS($I$2:$I$1997,#REF!,$M45,$J$2:$J$1997,$M$32,$E$2:$E$1997,X$9)</f>
        <v>#REF!</v>
      </c>
      <c r="Y45" s="7" t="e">
        <f>SUMIFS($I$2:$I$1997,#REF!,$M45,$J$2:$J$1997,$M$32,$E$2:$E$1997,Y$9)</f>
        <v>#REF!</v>
      </c>
      <c r="Z45" s="7" t="e">
        <f>SUMIFS($I$2:$I$1997,#REF!,$M45,$J$2:$J$1997,$M$32,$E$2:$E$1997,Z$9)</f>
        <v>#REF!</v>
      </c>
      <c r="AA45" s="10" t="e">
        <f t="shared" si="5"/>
        <v>#REF!</v>
      </c>
    </row>
    <row r="46" spans="1:28" x14ac:dyDescent="0.2">
      <c r="A46" s="4" t="s">
        <v>141</v>
      </c>
      <c r="B46" s="15" t="s">
        <v>148</v>
      </c>
      <c r="C46" s="15" t="s">
        <v>149</v>
      </c>
      <c r="D46" s="15">
        <v>1</v>
      </c>
      <c r="E46" s="16" t="s">
        <v>122</v>
      </c>
      <c r="F46" s="15">
        <v>10030400</v>
      </c>
      <c r="G46" s="15">
        <v>9100000</v>
      </c>
      <c r="H46" s="17">
        <v>250000</v>
      </c>
      <c r="I46" s="17">
        <v>680400</v>
      </c>
      <c r="J46" s="18" t="s">
        <v>8</v>
      </c>
      <c r="M46" s="5" t="s">
        <v>9</v>
      </c>
      <c r="N46" s="7" t="s">
        <v>0</v>
      </c>
      <c r="O46" s="7" t="e">
        <f>SUMIFS($G$2:$G$1997,#REF!,$M46,$J$2:$J$1997,$M$32,$E$2:$E$1997,O$9)</f>
        <v>#REF!</v>
      </c>
      <c r="P46" s="7" t="e">
        <f>SUMIFS($G$2:$G$1997,#REF!,$M46,$J$2:$J$1997,$M$32,$E$2:$E$1997,P$9)</f>
        <v>#REF!</v>
      </c>
      <c r="Q46" s="7" t="e">
        <f>SUMIFS($G$2:$G$1997,#REF!,$M46,$J$2:$J$1997,$M$32,$E$2:$E$1997,Q$9)</f>
        <v>#REF!</v>
      </c>
      <c r="R46" s="7" t="e">
        <f>SUMIFS($G$2:$G$1997,#REF!,$M46,$J$2:$J$1997,$M$32,$E$2:$E$1997,R$9)</f>
        <v>#REF!</v>
      </c>
      <c r="S46" s="7" t="e">
        <f>SUMIFS($G$2:$G$1997,#REF!,$M46,$J$2:$J$1997,$M$32,$E$2:$E$1997,S$9)</f>
        <v>#REF!</v>
      </c>
      <c r="T46" s="7" t="e">
        <f>SUMIFS($G$2:$G$1997,#REF!,$M46,$J$2:$J$1997,$M$32,$E$2:$E$1997,T$9)</f>
        <v>#REF!</v>
      </c>
      <c r="U46" s="7" t="e">
        <f>SUMIFS($G$2:$G$1997,#REF!,$M46,$J$2:$J$1997,$M$32,$E$2:$E$1997,U$9)</f>
        <v>#REF!</v>
      </c>
      <c r="V46" s="7" t="e">
        <f>SUMIFS($G$2:$G$1997,#REF!,$M46,$J$2:$J$1997,$M$32,$E$2:$E$1997,V$9)</f>
        <v>#REF!</v>
      </c>
      <c r="W46" s="7" t="e">
        <f>SUMIFS($G$2:$G$1997,#REF!,$M46,$J$2:$J$1997,$M$32,$E$2:$E$1997,W$9)</f>
        <v>#REF!</v>
      </c>
      <c r="X46" s="7" t="e">
        <f>SUMIFS($G$2:$G$1997,#REF!,$M46,$J$2:$J$1997,$M$32,$E$2:$E$1997,X$9)</f>
        <v>#REF!</v>
      </c>
      <c r="Y46" s="7" t="e">
        <f>SUMIFS($G$2:$G$1997,#REF!,$M46,$J$2:$J$1997,$M$32,$E$2:$E$1997,Y$9)</f>
        <v>#REF!</v>
      </c>
      <c r="Z46" s="7" t="e">
        <f>SUMIFS($G$2:$G$1997,#REF!,$M46,$J$2:$J$1997,$M$32,$E$2:$E$1997,Z$9)</f>
        <v>#REF!</v>
      </c>
      <c r="AA46" s="10" t="e">
        <f t="shared" si="5"/>
        <v>#REF!</v>
      </c>
    </row>
    <row r="47" spans="1:28" x14ac:dyDescent="0.2">
      <c r="A47" s="4" t="s">
        <v>144</v>
      </c>
      <c r="B47" s="15" t="s">
        <v>151</v>
      </c>
      <c r="C47" s="15" t="s">
        <v>152</v>
      </c>
      <c r="D47" s="15">
        <v>1</v>
      </c>
      <c r="E47" s="16" t="s">
        <v>122</v>
      </c>
      <c r="F47" s="15">
        <v>9370400</v>
      </c>
      <c r="G47" s="15">
        <v>8440000</v>
      </c>
      <c r="H47" s="17">
        <v>250000</v>
      </c>
      <c r="I47" s="17">
        <v>680400</v>
      </c>
      <c r="J47" s="18" t="s">
        <v>8</v>
      </c>
      <c r="M47" s="5" t="s">
        <v>9</v>
      </c>
      <c r="N47" s="7" t="s">
        <v>1</v>
      </c>
      <c r="O47" s="7" t="e">
        <f>SUMIFS($H$2:$H$1997,#REF!,$M47,$J$2:$J$1997,$M$32,$E$2:$E$1997,O$9)</f>
        <v>#REF!</v>
      </c>
      <c r="P47" s="7" t="e">
        <f>SUMIFS($H$2:$H$1997,#REF!,$M47,$J$2:$J$1997,$M$32,$E$2:$E$1997,P$9)</f>
        <v>#REF!</v>
      </c>
      <c r="Q47" s="7" t="e">
        <f>SUMIFS($H$2:$H$1997,#REF!,$M47,$J$2:$J$1997,$M$32,$E$2:$E$1997,Q$9)</f>
        <v>#REF!</v>
      </c>
      <c r="R47" s="7" t="e">
        <f>SUMIFS($H$2:$H$1997,#REF!,$M47,$J$2:$J$1997,$M$32,$E$2:$E$1997,R$9)</f>
        <v>#REF!</v>
      </c>
      <c r="S47" s="7" t="e">
        <f>SUMIFS($H$2:$H$1997,#REF!,$M47,$J$2:$J$1997,$M$32,$E$2:$E$1997,S$9)</f>
        <v>#REF!</v>
      </c>
      <c r="T47" s="7" t="e">
        <f>SUMIFS($H$2:$H$1997,#REF!,$M47,$J$2:$J$1997,$M$32,$E$2:$E$1997,T$9)</f>
        <v>#REF!</v>
      </c>
      <c r="U47" s="7" t="e">
        <f>SUMIFS($H$2:$H$1997,#REF!,$M47,$J$2:$J$1997,$M$32,$E$2:$E$1997,U$9)</f>
        <v>#REF!</v>
      </c>
      <c r="V47" s="7" t="e">
        <f>SUMIFS($H$2:$H$1997,#REF!,$M47,$J$2:$J$1997,$M$32,$E$2:$E$1997,V$9)</f>
        <v>#REF!</v>
      </c>
      <c r="W47" s="7" t="e">
        <f>SUMIFS($H$2:$H$1997,#REF!,$M47,$J$2:$J$1997,$M$32,$E$2:$E$1997,W$9)</f>
        <v>#REF!</v>
      </c>
      <c r="X47" s="7" t="e">
        <f>SUMIFS($H$2:$H$1997,#REF!,$M47,$J$2:$J$1997,$M$32,$E$2:$E$1997,X$9)</f>
        <v>#REF!</v>
      </c>
      <c r="Y47" s="7" t="e">
        <f>SUMIFS($H$2:$H$1997,#REF!,$M47,$J$2:$J$1997,$M$32,$E$2:$E$1997,Y$9)</f>
        <v>#REF!</v>
      </c>
      <c r="Z47" s="7" t="e">
        <f>SUMIFS($H$2:$H$1997,#REF!,$M47,$J$2:$J$1997,$M$32,$E$2:$E$1997,Z$9)</f>
        <v>#REF!</v>
      </c>
      <c r="AA47" s="10" t="e">
        <f t="shared" si="5"/>
        <v>#REF!</v>
      </c>
    </row>
    <row r="48" spans="1:28" x14ac:dyDescent="0.2">
      <c r="A48" s="4" t="s">
        <v>147</v>
      </c>
      <c r="B48" s="15" t="s">
        <v>154</v>
      </c>
      <c r="C48" s="15" t="s">
        <v>155</v>
      </c>
      <c r="D48" s="15">
        <v>1</v>
      </c>
      <c r="E48" s="16" t="s">
        <v>122</v>
      </c>
      <c r="F48" s="15">
        <v>3630400</v>
      </c>
      <c r="G48" s="15">
        <v>2700000</v>
      </c>
      <c r="H48" s="17">
        <v>250000</v>
      </c>
      <c r="I48" s="17">
        <v>680400</v>
      </c>
      <c r="J48" s="18" t="s">
        <v>8</v>
      </c>
      <c r="M48" s="5" t="s">
        <v>9</v>
      </c>
      <c r="N48" s="7" t="s">
        <v>2</v>
      </c>
      <c r="O48" s="7" t="e">
        <f>SUMIFS($I$2:$I$1997,#REF!,$M48,$J$2:$J$1997,$M$32,$E$2:$E$1997,O$9)</f>
        <v>#REF!</v>
      </c>
      <c r="P48" s="7" t="e">
        <f>SUMIFS($I$2:$I$1997,#REF!,$M48,$J$2:$J$1997,$M$32,$E$2:$E$1997,P$9)</f>
        <v>#REF!</v>
      </c>
      <c r="Q48" s="7" t="e">
        <f>SUMIFS($I$2:$I$1997,#REF!,$M48,$J$2:$J$1997,$M$32,$E$2:$E$1997,Q$9)</f>
        <v>#REF!</v>
      </c>
      <c r="R48" s="7" t="e">
        <f>SUMIFS($I$2:$I$1997,#REF!,$M48,$J$2:$J$1997,$M$32,$E$2:$E$1997,R$9)</f>
        <v>#REF!</v>
      </c>
      <c r="S48" s="7" t="e">
        <f>SUMIFS($I$2:$I$1997,#REF!,$M48,$J$2:$J$1997,$M$32,$E$2:$E$1997,S$9)</f>
        <v>#REF!</v>
      </c>
      <c r="T48" s="7" t="e">
        <f>SUMIFS($I$2:$I$1997,#REF!,$M48,$J$2:$J$1997,$M$32,$E$2:$E$1997,T$9)</f>
        <v>#REF!</v>
      </c>
      <c r="U48" s="7" t="e">
        <f>SUMIFS($I$2:$I$1997,#REF!,$M48,$J$2:$J$1997,$M$32,$E$2:$E$1997,U$9)</f>
        <v>#REF!</v>
      </c>
      <c r="V48" s="7" t="e">
        <f>SUMIFS($I$2:$I$1997,#REF!,$M48,$J$2:$J$1997,$M$32,$E$2:$E$1997,V$9)</f>
        <v>#REF!</v>
      </c>
      <c r="W48" s="7" t="e">
        <f>SUMIFS($I$2:$I$1997,#REF!,$M48,$J$2:$J$1997,$M$32,$E$2:$E$1997,W$9)</f>
        <v>#REF!</v>
      </c>
      <c r="X48" s="7" t="e">
        <f>SUMIFS($I$2:$I$1997,#REF!,$M48,$J$2:$J$1997,$M$32,$E$2:$E$1997,X$9)</f>
        <v>#REF!</v>
      </c>
      <c r="Y48" s="7" t="e">
        <f>SUMIFS($I$2:$I$1997,#REF!,$M48,$J$2:$J$1997,$M$32,$E$2:$E$1997,Y$9)</f>
        <v>#REF!</v>
      </c>
      <c r="Z48" s="7" t="e">
        <f>SUMIFS($I$2:$I$1997,#REF!,$M48,$J$2:$J$1997,$M$32,$E$2:$E$1997,Z$9)</f>
        <v>#REF!</v>
      </c>
      <c r="AA48" s="10" t="e">
        <f t="shared" si="5"/>
        <v>#REF!</v>
      </c>
    </row>
    <row r="49" spans="1:27" x14ac:dyDescent="0.2">
      <c r="A49" s="4" t="s">
        <v>150</v>
      </c>
      <c r="B49" s="15" t="s">
        <v>157</v>
      </c>
      <c r="C49" s="15" t="s">
        <v>158</v>
      </c>
      <c r="D49" s="15">
        <v>1</v>
      </c>
      <c r="E49" s="16" t="s">
        <v>122</v>
      </c>
      <c r="F49" s="15">
        <v>6710400</v>
      </c>
      <c r="G49" s="15">
        <v>5780000</v>
      </c>
      <c r="H49" s="17">
        <v>250000</v>
      </c>
      <c r="I49" s="17">
        <v>680400</v>
      </c>
      <c r="J49" s="18" t="s">
        <v>8</v>
      </c>
      <c r="M49" s="5" t="s">
        <v>25</v>
      </c>
      <c r="N49" s="7" t="s">
        <v>0</v>
      </c>
      <c r="O49" s="7" t="e">
        <f>SUMIFS($G$2:$G$1997,#REF!,$M49,$J$2:$J$1997,$M$32,$E$2:$E$1997,O$9)</f>
        <v>#REF!</v>
      </c>
      <c r="P49" s="7" t="e">
        <f>SUMIFS($G$2:$G$1997,#REF!,$M49,$J$2:$J$1997,$M$32,$E$2:$E$1997,P$9)</f>
        <v>#REF!</v>
      </c>
      <c r="Q49" s="7" t="e">
        <f>SUMIFS($G$2:$G$1997,#REF!,$M49,$J$2:$J$1997,$M$32,$E$2:$E$1997,Q$9)</f>
        <v>#REF!</v>
      </c>
      <c r="R49" s="7" t="e">
        <f>SUMIFS($G$2:$G$1997,#REF!,$M49,$J$2:$J$1997,$M$32,$E$2:$E$1997,R$9)</f>
        <v>#REF!</v>
      </c>
      <c r="S49" s="7" t="e">
        <f>SUMIFS($G$2:$G$1997,#REF!,$M49,$J$2:$J$1997,$M$32,$E$2:$E$1997,S$9)</f>
        <v>#REF!</v>
      </c>
      <c r="T49" s="7" t="e">
        <f>SUMIFS($G$2:$G$1997,#REF!,$M49,$J$2:$J$1997,$M$32,$E$2:$E$1997,T$9)</f>
        <v>#REF!</v>
      </c>
      <c r="U49" s="7" t="e">
        <f>SUMIFS($G$2:$G$1997,#REF!,$M49,$J$2:$J$1997,$M$32,$E$2:$E$1997,U$9)</f>
        <v>#REF!</v>
      </c>
      <c r="V49" s="7" t="e">
        <f>SUMIFS($G$2:$G$1997,#REF!,$M49,$J$2:$J$1997,$M$32,$E$2:$E$1997,V$9)</f>
        <v>#REF!</v>
      </c>
      <c r="W49" s="7" t="e">
        <f>SUMIFS($G$2:$G$1997,#REF!,$M49,$J$2:$J$1997,$M$32,$E$2:$E$1997,W$9)</f>
        <v>#REF!</v>
      </c>
      <c r="X49" s="7" t="e">
        <f>SUMIFS($G$2:$G$1997,#REF!,$M49,$J$2:$J$1997,$M$32,$E$2:$E$1997,X$9)</f>
        <v>#REF!</v>
      </c>
      <c r="Y49" s="7" t="e">
        <f>SUMIFS($G$2:$G$1997,#REF!,$M49,$J$2:$J$1997,$M$32,$E$2:$E$1997,Y$9)</f>
        <v>#REF!</v>
      </c>
      <c r="Z49" s="7" t="e">
        <f>SUMIFS($G$2:$G$1997,#REF!,$M49,$J$2:$J$1997,$M$32,$E$2:$E$1997,Z$9)</f>
        <v>#REF!</v>
      </c>
      <c r="AA49" s="10" t="e">
        <f t="shared" si="5"/>
        <v>#REF!</v>
      </c>
    </row>
    <row r="50" spans="1:27" x14ac:dyDescent="0.2">
      <c r="A50" s="4" t="s">
        <v>153</v>
      </c>
      <c r="B50" s="15" t="s">
        <v>160</v>
      </c>
      <c r="C50" s="15" t="s">
        <v>161</v>
      </c>
      <c r="D50" s="15">
        <v>1</v>
      </c>
      <c r="E50" s="16" t="s">
        <v>122</v>
      </c>
      <c r="F50" s="15">
        <v>14370400</v>
      </c>
      <c r="G50" s="15">
        <v>13440000</v>
      </c>
      <c r="H50" s="17">
        <v>250000</v>
      </c>
      <c r="I50" s="17">
        <v>680400</v>
      </c>
      <c r="J50" s="18" t="s">
        <v>8</v>
      </c>
      <c r="M50" s="5" t="s">
        <v>25</v>
      </c>
      <c r="N50" s="7" t="s">
        <v>1</v>
      </c>
      <c r="O50" s="7" t="e">
        <f>SUMIFS($H$2:$H$1997,#REF!,$M50,$J$2:$J$1997,$M$32,$E$2:$E$1997,O$9)</f>
        <v>#REF!</v>
      </c>
      <c r="P50" s="7" t="e">
        <f>SUMIFS($H$2:$H$1997,#REF!,$M50,$J$2:$J$1997,$M$32,$E$2:$E$1997,P$9)</f>
        <v>#REF!</v>
      </c>
      <c r="Q50" s="7" t="e">
        <f>SUMIFS($H$2:$H$1997,#REF!,$M50,$J$2:$J$1997,$M$32,$E$2:$E$1997,Q$9)</f>
        <v>#REF!</v>
      </c>
      <c r="R50" s="7" t="e">
        <f>SUMIFS($H$2:$H$1997,#REF!,$M50,$J$2:$J$1997,$M$32,$E$2:$E$1997,R$9)</f>
        <v>#REF!</v>
      </c>
      <c r="S50" s="7" t="e">
        <f>SUMIFS($H$2:$H$1997,#REF!,$M50,$J$2:$J$1997,$M$32,$E$2:$E$1997,S$9)</f>
        <v>#REF!</v>
      </c>
      <c r="T50" s="7" t="e">
        <f>SUMIFS($H$2:$H$1997,#REF!,$M50,$J$2:$J$1997,$M$32,$E$2:$E$1997,T$9)</f>
        <v>#REF!</v>
      </c>
      <c r="U50" s="7" t="e">
        <f>SUMIFS($H$2:$H$1997,#REF!,$M50,$J$2:$J$1997,$M$32,$E$2:$E$1997,U$9)</f>
        <v>#REF!</v>
      </c>
      <c r="V50" s="7" t="e">
        <f>SUMIFS($H$2:$H$1997,#REF!,$M50,$J$2:$J$1997,$M$32,$E$2:$E$1997,V$9)</f>
        <v>#REF!</v>
      </c>
      <c r="W50" s="7" t="e">
        <f>SUMIFS($H$2:$H$1997,#REF!,$M50,$J$2:$J$1997,$M$32,$E$2:$E$1997,W$9)</f>
        <v>#REF!</v>
      </c>
      <c r="X50" s="7" t="e">
        <f>SUMIFS($H$2:$H$1997,#REF!,$M50,$J$2:$J$1997,$M$32,$E$2:$E$1997,X$9)</f>
        <v>#REF!</v>
      </c>
      <c r="Y50" s="7" t="e">
        <f>SUMIFS($H$2:$H$1997,#REF!,$M50,$J$2:$J$1997,$M$32,$E$2:$E$1997,Y$9)</f>
        <v>#REF!</v>
      </c>
      <c r="Z50" s="7" t="e">
        <f>SUMIFS($H$2:$H$1997,#REF!,$M50,$J$2:$J$1997,$M$32,$E$2:$E$1997,Z$9)</f>
        <v>#REF!</v>
      </c>
      <c r="AA50" s="10" t="e">
        <f t="shared" si="5"/>
        <v>#REF!</v>
      </c>
    </row>
    <row r="51" spans="1:27" x14ac:dyDescent="0.2">
      <c r="A51" s="4" t="s">
        <v>156</v>
      </c>
      <c r="B51" s="15" t="s">
        <v>163</v>
      </c>
      <c r="C51" s="15" t="s">
        <v>164</v>
      </c>
      <c r="D51" s="15">
        <v>1</v>
      </c>
      <c r="E51" s="16" t="s">
        <v>122</v>
      </c>
      <c r="F51" s="15">
        <v>930400</v>
      </c>
      <c r="G51" s="15">
        <v>0</v>
      </c>
      <c r="H51" s="17">
        <v>250000</v>
      </c>
      <c r="I51" s="17">
        <v>680400</v>
      </c>
      <c r="J51" s="18" t="s">
        <v>8</v>
      </c>
      <c r="M51" s="5" t="s">
        <v>25</v>
      </c>
      <c r="N51" s="7" t="s">
        <v>2</v>
      </c>
      <c r="O51" s="7" t="e">
        <f>SUMIFS($I$2:$I$1997,#REF!,$M51,$J$2:$J$1997,$M$32,$E$2:$E$1997,O$9)</f>
        <v>#REF!</v>
      </c>
      <c r="P51" s="7" t="e">
        <f>SUMIFS($I$2:$I$1997,#REF!,$M51,$J$2:$J$1997,$M$32,$E$2:$E$1997,P$9)</f>
        <v>#REF!</v>
      </c>
      <c r="Q51" s="7" t="e">
        <f>SUMIFS($I$2:$I$1997,#REF!,$M51,$J$2:$J$1997,$M$32,$E$2:$E$1997,Q$9)</f>
        <v>#REF!</v>
      </c>
      <c r="R51" s="7" t="e">
        <f>SUMIFS($I$2:$I$1997,#REF!,$M51,$J$2:$J$1997,$M$32,$E$2:$E$1997,R$9)</f>
        <v>#REF!</v>
      </c>
      <c r="S51" s="7" t="e">
        <f>SUMIFS($I$2:$I$1997,#REF!,$M51,$J$2:$J$1997,$M$32,$E$2:$E$1997,S$9)</f>
        <v>#REF!</v>
      </c>
      <c r="T51" s="7" t="e">
        <f>SUMIFS($I$2:$I$1997,#REF!,$M51,$J$2:$J$1997,$M$32,$E$2:$E$1997,T$9)</f>
        <v>#REF!</v>
      </c>
      <c r="U51" s="7" t="e">
        <f>SUMIFS($I$2:$I$1997,#REF!,$M51,$J$2:$J$1997,$M$32,$E$2:$E$1997,U$9)</f>
        <v>#REF!</v>
      </c>
      <c r="V51" s="7" t="e">
        <f>SUMIFS($I$2:$I$1997,#REF!,$M51,$J$2:$J$1997,$M$32,$E$2:$E$1997,V$9)</f>
        <v>#REF!</v>
      </c>
      <c r="W51" s="7" t="e">
        <f>SUMIFS($I$2:$I$1997,#REF!,$M51,$J$2:$J$1997,$M$32,$E$2:$E$1997,W$9)</f>
        <v>#REF!</v>
      </c>
      <c r="X51" s="7" t="e">
        <f>SUMIFS($I$2:$I$1997,#REF!,$M51,$J$2:$J$1997,$M$32,$E$2:$E$1997,X$9)</f>
        <v>#REF!</v>
      </c>
      <c r="Y51" s="7" t="e">
        <f>SUMIFS($I$2:$I$1997,#REF!,$M51,$J$2:$J$1997,$M$32,$E$2:$E$1997,Y$9)</f>
        <v>#REF!</v>
      </c>
      <c r="Z51" s="7" t="e">
        <f>SUMIFS($I$2:$I$1997,#REF!,$M51,$J$2:$J$1997,$M$32,$E$2:$E$1997,Z$9)</f>
        <v>#REF!</v>
      </c>
      <c r="AA51" s="10" t="e">
        <f t="shared" si="5"/>
        <v>#REF!</v>
      </c>
    </row>
    <row r="52" spans="1:27" x14ac:dyDescent="0.2">
      <c r="A52" s="4" t="s">
        <v>159</v>
      </c>
      <c r="B52" s="15" t="s">
        <v>166</v>
      </c>
      <c r="C52" s="15" t="s">
        <v>167</v>
      </c>
      <c r="D52" s="15">
        <v>1</v>
      </c>
      <c r="E52" s="16" t="s">
        <v>122</v>
      </c>
      <c r="F52" s="15">
        <v>8670400</v>
      </c>
      <c r="G52" s="15">
        <v>7740000</v>
      </c>
      <c r="H52" s="17">
        <v>250000</v>
      </c>
      <c r="I52" s="17">
        <v>680400</v>
      </c>
      <c r="J52" s="18" t="s">
        <v>8</v>
      </c>
      <c r="M52" s="2" t="s">
        <v>97</v>
      </c>
      <c r="N52" s="7" t="s">
        <v>0</v>
      </c>
      <c r="V52" s="7" t="e">
        <f>SUMIFS($G$2:$G$845,$J$2:$J$845,$M$32,#REF!,$M52,$E$2:$E$845,V$32)</f>
        <v>#REF!</v>
      </c>
      <c r="W52" s="7" t="e">
        <f>SUMIFS($G$2:$G$845,$J$2:$J$845,$M$32,#REF!,$M52,$E$2:$E$845,W$32)</f>
        <v>#REF!</v>
      </c>
      <c r="X52" s="7" t="e">
        <f>SUMIFS($G$2:$G$845,$J$2:$J$845,$M$32,#REF!,$M52,$E$2:$E$845,X$32)</f>
        <v>#REF!</v>
      </c>
      <c r="Y52" s="7" t="e">
        <f>SUMIFS($G$2:$G$845,$J$2:$J$845,$M$32,#REF!,$M52,$E$2:$E$845,Y$32)</f>
        <v>#REF!</v>
      </c>
      <c r="Z52" s="7" t="e">
        <f>SUMIFS($G$2:$G$845,$J$2:$J$845,$M$32,#REF!,$M52,$E$2:$E$845,Z$32)</f>
        <v>#REF!</v>
      </c>
      <c r="AA52" s="10" t="e">
        <f t="shared" si="5"/>
        <v>#REF!</v>
      </c>
    </row>
    <row r="53" spans="1:27" x14ac:dyDescent="0.2">
      <c r="A53" s="4" t="s">
        <v>2001</v>
      </c>
      <c r="B53" s="15" t="s">
        <v>169</v>
      </c>
      <c r="C53" s="15" t="s">
        <v>170</v>
      </c>
      <c r="D53" s="15">
        <v>1</v>
      </c>
      <c r="E53" s="16" t="s">
        <v>122</v>
      </c>
      <c r="F53" s="15">
        <v>8670400</v>
      </c>
      <c r="G53" s="15">
        <v>7740000</v>
      </c>
      <c r="H53" s="17">
        <v>250000</v>
      </c>
      <c r="I53" s="17">
        <v>680400</v>
      </c>
      <c r="J53" s="18" t="s">
        <v>8</v>
      </c>
    </row>
    <row r="54" spans="1:27" x14ac:dyDescent="0.2">
      <c r="A54" s="4" t="s">
        <v>162</v>
      </c>
      <c r="B54" s="15" t="s">
        <v>172</v>
      </c>
      <c r="C54" s="15" t="s">
        <v>173</v>
      </c>
      <c r="D54" s="15">
        <v>1</v>
      </c>
      <c r="E54" s="16" t="s">
        <v>122</v>
      </c>
      <c r="F54" s="15">
        <v>15490400</v>
      </c>
      <c r="G54" s="15">
        <v>14560000</v>
      </c>
      <c r="H54" s="17">
        <v>250000</v>
      </c>
      <c r="I54" s="17">
        <v>680400</v>
      </c>
      <c r="J54" s="18" t="s">
        <v>8</v>
      </c>
    </row>
    <row r="55" spans="1:27" x14ac:dyDescent="0.2">
      <c r="A55" s="4" t="s">
        <v>2002</v>
      </c>
      <c r="B55" s="15" t="s">
        <v>175</v>
      </c>
      <c r="C55" s="15" t="s">
        <v>176</v>
      </c>
      <c r="D55" s="15">
        <v>1</v>
      </c>
      <c r="E55" s="16" t="s">
        <v>122</v>
      </c>
      <c r="F55" s="15">
        <v>10490400</v>
      </c>
      <c r="G55" s="15">
        <v>9560000</v>
      </c>
      <c r="H55" s="17">
        <v>250000</v>
      </c>
      <c r="I55" s="17">
        <v>680400</v>
      </c>
      <c r="J55" s="18" t="s">
        <v>8</v>
      </c>
    </row>
    <row r="56" spans="1:27" x14ac:dyDescent="0.2">
      <c r="A56" s="4" t="s">
        <v>165</v>
      </c>
      <c r="B56" s="15" t="s">
        <v>178</v>
      </c>
      <c r="C56" s="15" t="s">
        <v>179</v>
      </c>
      <c r="D56" s="15">
        <v>1</v>
      </c>
      <c r="E56" s="16" t="s">
        <v>122</v>
      </c>
      <c r="F56" s="15">
        <v>8671000</v>
      </c>
      <c r="G56" s="15">
        <v>7740600</v>
      </c>
      <c r="H56" s="17">
        <v>250000</v>
      </c>
      <c r="I56" s="17">
        <v>680400</v>
      </c>
      <c r="J56" s="18" t="s">
        <v>8</v>
      </c>
    </row>
    <row r="57" spans="1:27" x14ac:dyDescent="0.2">
      <c r="A57" s="4" t="s">
        <v>168</v>
      </c>
      <c r="B57" s="15" t="s">
        <v>181</v>
      </c>
      <c r="C57" s="15" t="s">
        <v>182</v>
      </c>
      <c r="D57" s="15">
        <v>1</v>
      </c>
      <c r="E57" s="16" t="s">
        <v>122</v>
      </c>
      <c r="F57" s="15">
        <v>930400</v>
      </c>
      <c r="G57" s="15">
        <v>0</v>
      </c>
      <c r="H57" s="17">
        <v>250000</v>
      </c>
      <c r="I57" s="17">
        <v>680400</v>
      </c>
      <c r="J57" s="18" t="s">
        <v>8</v>
      </c>
    </row>
    <row r="58" spans="1:27" x14ac:dyDescent="0.2">
      <c r="A58" s="4" t="s">
        <v>171</v>
      </c>
      <c r="B58" s="15" t="s">
        <v>184</v>
      </c>
      <c r="C58" s="15" t="s">
        <v>185</v>
      </c>
      <c r="D58" s="15">
        <v>2</v>
      </c>
      <c r="E58" s="16" t="s">
        <v>122</v>
      </c>
      <c r="F58" s="15">
        <v>14370000</v>
      </c>
      <c r="G58" s="15">
        <v>13440000</v>
      </c>
      <c r="H58" s="17">
        <v>250000</v>
      </c>
      <c r="I58" s="17">
        <v>680000</v>
      </c>
      <c r="J58" s="18" t="s">
        <v>8</v>
      </c>
    </row>
    <row r="59" spans="1:27" x14ac:dyDescent="0.2">
      <c r="A59" s="4" t="s">
        <v>174</v>
      </c>
      <c r="B59" s="15" t="s">
        <v>187</v>
      </c>
      <c r="C59" s="15" t="s">
        <v>188</v>
      </c>
      <c r="D59" s="15">
        <v>1</v>
      </c>
      <c r="E59" s="16" t="s">
        <v>122</v>
      </c>
      <c r="F59" s="15">
        <v>15490400</v>
      </c>
      <c r="G59" s="15">
        <v>14560000</v>
      </c>
      <c r="H59" s="17">
        <v>250000</v>
      </c>
      <c r="I59" s="17">
        <v>680400</v>
      </c>
      <c r="J59" s="18" t="s">
        <v>8</v>
      </c>
    </row>
    <row r="60" spans="1:27" x14ac:dyDescent="0.2">
      <c r="A60" s="4" t="s">
        <v>177</v>
      </c>
      <c r="B60" s="15" t="s">
        <v>190</v>
      </c>
      <c r="C60" s="15" t="s">
        <v>191</v>
      </c>
      <c r="D60" s="15">
        <v>1</v>
      </c>
      <c r="E60" s="16" t="s">
        <v>122</v>
      </c>
      <c r="F60" s="15">
        <v>930400</v>
      </c>
      <c r="G60" s="15">
        <v>0</v>
      </c>
      <c r="H60" s="17">
        <v>250000</v>
      </c>
      <c r="I60" s="17">
        <v>680400</v>
      </c>
      <c r="J60" s="18" t="s">
        <v>8</v>
      </c>
    </row>
    <row r="61" spans="1:27" x14ac:dyDescent="0.2">
      <c r="A61" s="4" t="s">
        <v>180</v>
      </c>
      <c r="B61" s="15" t="s">
        <v>193</v>
      </c>
      <c r="C61" s="15" t="s">
        <v>194</v>
      </c>
      <c r="D61" s="15">
        <v>1</v>
      </c>
      <c r="E61" s="16" t="s">
        <v>122</v>
      </c>
      <c r="F61" s="15">
        <v>8670400</v>
      </c>
      <c r="G61" s="15">
        <v>7740000</v>
      </c>
      <c r="H61" s="17">
        <v>250000</v>
      </c>
      <c r="I61" s="17">
        <v>680400</v>
      </c>
      <c r="J61" s="18" t="s">
        <v>8</v>
      </c>
    </row>
    <row r="62" spans="1:27" x14ac:dyDescent="0.2">
      <c r="A62" s="4" t="s">
        <v>183</v>
      </c>
      <c r="B62" s="15" t="s">
        <v>196</v>
      </c>
      <c r="C62" s="15" t="s">
        <v>197</v>
      </c>
      <c r="D62" s="15">
        <v>1</v>
      </c>
      <c r="E62" s="16" t="s">
        <v>122</v>
      </c>
      <c r="F62" s="15">
        <v>10030500</v>
      </c>
      <c r="G62" s="15">
        <v>9100100</v>
      </c>
      <c r="H62" s="17">
        <v>250000</v>
      </c>
      <c r="I62" s="17">
        <v>680400</v>
      </c>
      <c r="J62" s="18" t="s">
        <v>8</v>
      </c>
    </row>
    <row r="63" spans="1:27" x14ac:dyDescent="0.2">
      <c r="A63" s="4" t="s">
        <v>186</v>
      </c>
      <c r="B63" s="15" t="s">
        <v>199</v>
      </c>
      <c r="C63" s="15" t="s">
        <v>200</v>
      </c>
      <c r="D63" s="15">
        <v>2</v>
      </c>
      <c r="E63" s="16" t="s">
        <v>122</v>
      </c>
      <c r="F63" s="15">
        <v>15490000</v>
      </c>
      <c r="G63" s="15">
        <v>14560000</v>
      </c>
      <c r="H63" s="17">
        <v>250000</v>
      </c>
      <c r="I63" s="17">
        <v>680000</v>
      </c>
      <c r="J63" s="18" t="s">
        <v>8</v>
      </c>
    </row>
    <row r="64" spans="1:27" x14ac:dyDescent="0.2">
      <c r="A64" s="4" t="s">
        <v>189</v>
      </c>
      <c r="B64" s="15" t="s">
        <v>202</v>
      </c>
      <c r="C64" s="15" t="s">
        <v>203</v>
      </c>
      <c r="D64" s="15">
        <v>1</v>
      </c>
      <c r="E64" s="16" t="s">
        <v>122</v>
      </c>
      <c r="F64" s="15">
        <v>14790400</v>
      </c>
      <c r="G64" s="15">
        <v>13860000</v>
      </c>
      <c r="H64" s="17">
        <v>250000</v>
      </c>
      <c r="I64" s="17">
        <v>680400</v>
      </c>
      <c r="J64" s="18" t="s">
        <v>8</v>
      </c>
    </row>
    <row r="65" spans="1:10" x14ac:dyDescent="0.2">
      <c r="A65" s="4" t="s">
        <v>192</v>
      </c>
      <c r="B65" s="15" t="s">
        <v>205</v>
      </c>
      <c r="C65" s="15" t="s">
        <v>206</v>
      </c>
      <c r="D65" s="15">
        <v>1</v>
      </c>
      <c r="E65" s="16" t="s">
        <v>122</v>
      </c>
      <c r="F65" s="15">
        <v>8670400</v>
      </c>
      <c r="G65" s="15">
        <v>7740000</v>
      </c>
      <c r="H65" s="17">
        <v>250000</v>
      </c>
      <c r="I65" s="17">
        <v>680400</v>
      </c>
      <c r="J65" s="18" t="s">
        <v>8</v>
      </c>
    </row>
    <row r="66" spans="1:10" x14ac:dyDescent="0.2">
      <c r="A66" s="4" t="s">
        <v>195</v>
      </c>
      <c r="B66" s="15" t="s">
        <v>208</v>
      </c>
      <c r="C66" s="15" t="s">
        <v>209</v>
      </c>
      <c r="D66" s="15">
        <v>1</v>
      </c>
      <c r="E66" s="16" t="s">
        <v>122</v>
      </c>
      <c r="F66" s="15">
        <v>15490400</v>
      </c>
      <c r="G66" s="15">
        <v>14560000</v>
      </c>
      <c r="H66" s="17">
        <v>250000</v>
      </c>
      <c r="I66" s="17">
        <v>680400</v>
      </c>
      <c r="J66" s="18" t="s">
        <v>8</v>
      </c>
    </row>
    <row r="67" spans="1:10" x14ac:dyDescent="0.2">
      <c r="A67" s="4" t="s">
        <v>198</v>
      </c>
      <c r="B67" s="15" t="s">
        <v>211</v>
      </c>
      <c r="C67" s="15" t="s">
        <v>212</v>
      </c>
      <c r="D67" s="15">
        <v>1</v>
      </c>
      <c r="E67" s="16" t="s">
        <v>122</v>
      </c>
      <c r="F67" s="15">
        <v>10490400</v>
      </c>
      <c r="G67" s="15">
        <v>9560000</v>
      </c>
      <c r="H67" s="17">
        <v>250000</v>
      </c>
      <c r="I67" s="17">
        <v>680400</v>
      </c>
      <c r="J67" s="18" t="s">
        <v>8</v>
      </c>
    </row>
    <row r="68" spans="1:10" x14ac:dyDescent="0.2">
      <c r="A68" s="4" t="s">
        <v>201</v>
      </c>
      <c r="B68" s="15" t="s">
        <v>214</v>
      </c>
      <c r="C68" s="15" t="s">
        <v>215</v>
      </c>
      <c r="D68" s="15">
        <v>1</v>
      </c>
      <c r="E68" s="16" t="s">
        <v>122</v>
      </c>
      <c r="F68" s="15">
        <v>1390400</v>
      </c>
      <c r="G68" s="15">
        <v>460000.00000000093</v>
      </c>
      <c r="H68" s="17">
        <v>250000</v>
      </c>
      <c r="I68" s="17">
        <v>680400</v>
      </c>
      <c r="J68" s="18" t="s">
        <v>8</v>
      </c>
    </row>
    <row r="69" spans="1:10" x14ac:dyDescent="0.2">
      <c r="A69" s="4" t="s">
        <v>204</v>
      </c>
      <c r="B69" s="15" t="s">
        <v>217</v>
      </c>
      <c r="C69" s="15" t="s">
        <v>218</v>
      </c>
      <c r="D69" s="15">
        <v>1</v>
      </c>
      <c r="E69" s="16" t="s">
        <v>122</v>
      </c>
      <c r="F69" s="15">
        <v>10490400</v>
      </c>
      <c r="G69" s="15">
        <v>9560000</v>
      </c>
      <c r="H69" s="17">
        <v>250000</v>
      </c>
      <c r="I69" s="17">
        <v>680400</v>
      </c>
      <c r="J69" s="18" t="s">
        <v>8</v>
      </c>
    </row>
    <row r="70" spans="1:10" x14ac:dyDescent="0.2">
      <c r="A70" s="4" t="s">
        <v>207</v>
      </c>
      <c r="B70" s="15" t="s">
        <v>220</v>
      </c>
      <c r="C70" s="15" t="s">
        <v>221</v>
      </c>
      <c r="D70" s="15">
        <v>1</v>
      </c>
      <c r="E70" s="16" t="s">
        <v>122</v>
      </c>
      <c r="F70" s="15">
        <v>16050400</v>
      </c>
      <c r="G70" s="15">
        <v>15120000</v>
      </c>
      <c r="H70" s="17">
        <v>250000</v>
      </c>
      <c r="I70" s="17">
        <v>680400</v>
      </c>
      <c r="J70" s="18" t="s">
        <v>8</v>
      </c>
    </row>
    <row r="71" spans="1:10" x14ac:dyDescent="0.2">
      <c r="A71" s="4" t="s">
        <v>210</v>
      </c>
      <c r="B71" s="15" t="s">
        <v>223</v>
      </c>
      <c r="C71" s="15" t="s">
        <v>224</v>
      </c>
      <c r="D71" s="15">
        <v>2</v>
      </c>
      <c r="E71" s="16" t="s">
        <v>122</v>
      </c>
      <c r="F71" s="15">
        <v>5000000</v>
      </c>
      <c r="G71" s="15">
        <v>5000000</v>
      </c>
      <c r="H71" s="17">
        <v>0</v>
      </c>
      <c r="I71" s="17">
        <v>0</v>
      </c>
      <c r="J71" s="18" t="s">
        <v>8</v>
      </c>
    </row>
    <row r="72" spans="1:10" x14ac:dyDescent="0.2">
      <c r="A72" s="4" t="s">
        <v>213</v>
      </c>
      <c r="B72" s="15" t="s">
        <v>199</v>
      </c>
      <c r="C72" s="15" t="s">
        <v>200</v>
      </c>
      <c r="D72" s="15">
        <v>2</v>
      </c>
      <c r="E72" s="16" t="s">
        <v>122</v>
      </c>
      <c r="F72" s="15">
        <v>1000</v>
      </c>
      <c r="G72" s="15">
        <v>600</v>
      </c>
      <c r="H72" s="17">
        <v>0</v>
      </c>
      <c r="I72" s="17">
        <v>400</v>
      </c>
      <c r="J72" s="18" t="s">
        <v>8</v>
      </c>
    </row>
    <row r="73" spans="1:10" x14ac:dyDescent="0.2">
      <c r="A73" s="4" t="s">
        <v>216</v>
      </c>
      <c r="B73" s="15" t="s">
        <v>227</v>
      </c>
      <c r="C73" s="15" t="s">
        <v>228</v>
      </c>
      <c r="D73" s="15">
        <v>1</v>
      </c>
      <c r="E73" s="16" t="s">
        <v>122</v>
      </c>
      <c r="F73" s="15">
        <v>6710400</v>
      </c>
      <c r="G73" s="15">
        <v>5780000</v>
      </c>
      <c r="H73" s="17">
        <v>250000</v>
      </c>
      <c r="I73" s="17">
        <v>680400</v>
      </c>
      <c r="J73" s="18" t="s">
        <v>8</v>
      </c>
    </row>
    <row r="74" spans="1:10" x14ac:dyDescent="0.2">
      <c r="A74" s="4" t="s">
        <v>219</v>
      </c>
      <c r="B74" s="15" t="s">
        <v>230</v>
      </c>
      <c r="C74" s="15" t="s">
        <v>231</v>
      </c>
      <c r="D74" s="15">
        <v>1</v>
      </c>
      <c r="E74" s="16" t="s">
        <v>122</v>
      </c>
      <c r="F74" s="15">
        <v>5490000</v>
      </c>
      <c r="G74" s="15">
        <v>5490000</v>
      </c>
      <c r="H74" s="17">
        <v>0</v>
      </c>
      <c r="I74" s="17">
        <v>0</v>
      </c>
      <c r="J74" s="18" t="s">
        <v>8</v>
      </c>
    </row>
    <row r="75" spans="1:10" x14ac:dyDescent="0.2">
      <c r="A75" s="4" t="s">
        <v>222</v>
      </c>
      <c r="B75" s="15" t="s">
        <v>233</v>
      </c>
      <c r="C75" s="15" t="s">
        <v>234</v>
      </c>
      <c r="D75" s="15">
        <v>1</v>
      </c>
      <c r="E75" s="16" t="s">
        <v>122</v>
      </c>
      <c r="F75" s="15">
        <v>6710400</v>
      </c>
      <c r="G75" s="15">
        <v>5780000</v>
      </c>
      <c r="H75" s="17">
        <v>250000</v>
      </c>
      <c r="I75" s="17">
        <v>680400</v>
      </c>
      <c r="J75" s="18" t="s">
        <v>8</v>
      </c>
    </row>
    <row r="76" spans="1:10" x14ac:dyDescent="0.2">
      <c r="A76" s="4" t="s">
        <v>225</v>
      </c>
      <c r="B76" s="15" t="s">
        <v>236</v>
      </c>
      <c r="C76" s="15" t="s">
        <v>237</v>
      </c>
      <c r="D76" s="15">
        <v>2</v>
      </c>
      <c r="E76" s="16" t="s">
        <v>122</v>
      </c>
      <c r="F76" s="15">
        <v>5000000</v>
      </c>
      <c r="G76" s="15">
        <v>5000000</v>
      </c>
      <c r="H76" s="17">
        <v>0</v>
      </c>
      <c r="I76" s="17">
        <v>0</v>
      </c>
      <c r="J76" s="18" t="s">
        <v>8</v>
      </c>
    </row>
    <row r="77" spans="1:10" x14ac:dyDescent="0.2">
      <c r="A77" s="4" t="s">
        <v>226</v>
      </c>
      <c r="B77" s="15" t="s">
        <v>239</v>
      </c>
      <c r="C77" s="15" t="s">
        <v>240</v>
      </c>
      <c r="D77" s="15">
        <v>2</v>
      </c>
      <c r="E77" s="16" t="s">
        <v>122</v>
      </c>
      <c r="F77" s="15">
        <v>15490000</v>
      </c>
      <c r="G77" s="15">
        <v>14560000</v>
      </c>
      <c r="H77" s="17">
        <v>250000</v>
      </c>
      <c r="I77" s="17">
        <v>680000</v>
      </c>
      <c r="J77" s="18" t="s">
        <v>8</v>
      </c>
    </row>
    <row r="78" spans="1:10" x14ac:dyDescent="0.2">
      <c r="A78" s="4" t="s">
        <v>229</v>
      </c>
      <c r="B78" s="15" t="s">
        <v>242</v>
      </c>
      <c r="C78" s="15" t="s">
        <v>243</v>
      </c>
      <c r="D78" s="15">
        <v>1</v>
      </c>
      <c r="E78" s="16" t="s">
        <v>122</v>
      </c>
      <c r="F78" s="15">
        <v>5030400</v>
      </c>
      <c r="G78" s="15">
        <v>4100000</v>
      </c>
      <c r="H78" s="17">
        <v>250000</v>
      </c>
      <c r="I78" s="17">
        <v>680400</v>
      </c>
      <c r="J78" s="18" t="s">
        <v>8</v>
      </c>
    </row>
    <row r="79" spans="1:10" x14ac:dyDescent="0.2">
      <c r="A79" s="4" t="s">
        <v>232</v>
      </c>
      <c r="B79" s="15" t="s">
        <v>245</v>
      </c>
      <c r="C79" s="15" t="s">
        <v>246</v>
      </c>
      <c r="D79" s="15">
        <v>1</v>
      </c>
      <c r="E79" s="16" t="s">
        <v>122</v>
      </c>
      <c r="F79" s="15">
        <v>1390400</v>
      </c>
      <c r="G79" s="15">
        <v>460000.00000000093</v>
      </c>
      <c r="H79" s="17">
        <v>250000</v>
      </c>
      <c r="I79" s="17">
        <v>680400</v>
      </c>
      <c r="J79" s="18" t="s">
        <v>8</v>
      </c>
    </row>
    <row r="80" spans="1:10" x14ac:dyDescent="0.2">
      <c r="A80" s="4" t="s">
        <v>235</v>
      </c>
      <c r="B80" s="15" t="s">
        <v>248</v>
      </c>
      <c r="C80" s="15" t="s">
        <v>249</v>
      </c>
      <c r="D80" s="15">
        <v>1</v>
      </c>
      <c r="E80" s="16" t="s">
        <v>122</v>
      </c>
      <c r="F80" s="15">
        <v>15490400</v>
      </c>
      <c r="G80" s="15">
        <v>14560000</v>
      </c>
      <c r="H80" s="17">
        <v>250000</v>
      </c>
      <c r="I80" s="17">
        <v>680400</v>
      </c>
      <c r="J80" s="18" t="s">
        <v>8</v>
      </c>
    </row>
    <row r="81" spans="1:10" x14ac:dyDescent="0.2">
      <c r="A81" s="4" t="s">
        <v>238</v>
      </c>
      <c r="B81" s="15" t="s">
        <v>184</v>
      </c>
      <c r="C81" s="15" t="s">
        <v>185</v>
      </c>
      <c r="D81" s="15">
        <v>2</v>
      </c>
      <c r="E81" s="16" t="s">
        <v>122</v>
      </c>
      <c r="F81" s="15">
        <v>1000</v>
      </c>
      <c r="G81" s="15">
        <v>600</v>
      </c>
      <c r="H81" s="17">
        <v>0</v>
      </c>
      <c r="I81" s="17">
        <v>400</v>
      </c>
      <c r="J81" s="18" t="s">
        <v>8</v>
      </c>
    </row>
    <row r="82" spans="1:10" x14ac:dyDescent="0.2">
      <c r="A82" s="4" t="s">
        <v>241</v>
      </c>
      <c r="B82" s="15" t="s">
        <v>252</v>
      </c>
      <c r="C82" s="15" t="s">
        <v>253</v>
      </c>
      <c r="D82" s="15">
        <v>1</v>
      </c>
      <c r="E82" s="16" t="s">
        <v>122</v>
      </c>
      <c r="F82" s="15">
        <v>9330400</v>
      </c>
      <c r="G82" s="15">
        <v>8400000</v>
      </c>
      <c r="H82" s="17">
        <v>250000</v>
      </c>
      <c r="I82" s="17">
        <v>680400</v>
      </c>
      <c r="J82" s="18" t="s">
        <v>8</v>
      </c>
    </row>
    <row r="83" spans="1:10" x14ac:dyDescent="0.2">
      <c r="A83" s="4" t="s">
        <v>244</v>
      </c>
      <c r="B83" s="15" t="s">
        <v>255</v>
      </c>
      <c r="C83" s="15" t="s">
        <v>256</v>
      </c>
      <c r="D83" s="15">
        <v>1</v>
      </c>
      <c r="E83" s="16" t="s">
        <v>122</v>
      </c>
      <c r="F83" s="15">
        <v>9370400</v>
      </c>
      <c r="G83" s="15">
        <v>8440000</v>
      </c>
      <c r="H83" s="17">
        <v>250000</v>
      </c>
      <c r="I83" s="17">
        <v>680400</v>
      </c>
      <c r="J83" s="18" t="s">
        <v>8</v>
      </c>
    </row>
    <row r="84" spans="1:10" x14ac:dyDescent="0.2">
      <c r="A84" s="4" t="s">
        <v>247</v>
      </c>
      <c r="B84" s="15" t="s">
        <v>258</v>
      </c>
      <c r="C84" s="15" t="s">
        <v>259</v>
      </c>
      <c r="D84" s="15">
        <v>1</v>
      </c>
      <c r="E84" s="16" t="s">
        <v>122</v>
      </c>
      <c r="F84" s="15">
        <v>5030400</v>
      </c>
      <c r="G84" s="15">
        <v>4100000</v>
      </c>
      <c r="H84" s="17">
        <v>250000</v>
      </c>
      <c r="I84" s="17">
        <v>680400</v>
      </c>
      <c r="J84" s="18" t="s">
        <v>8</v>
      </c>
    </row>
    <row r="85" spans="1:10" x14ac:dyDescent="0.2">
      <c r="A85" s="4" t="s">
        <v>250</v>
      </c>
      <c r="B85" s="15" t="s">
        <v>261</v>
      </c>
      <c r="C85" s="15" t="s">
        <v>262</v>
      </c>
      <c r="D85" s="15">
        <v>1</v>
      </c>
      <c r="E85" s="16" t="s">
        <v>122</v>
      </c>
      <c r="F85" s="15">
        <v>7690400</v>
      </c>
      <c r="G85" s="15">
        <v>6760000</v>
      </c>
      <c r="H85" s="17">
        <v>250000</v>
      </c>
      <c r="I85" s="17">
        <v>680400</v>
      </c>
      <c r="J85" s="18" t="s">
        <v>8</v>
      </c>
    </row>
    <row r="86" spans="1:10" x14ac:dyDescent="0.2">
      <c r="A86" s="4" t="s">
        <v>251</v>
      </c>
      <c r="B86" s="15" t="s">
        <v>264</v>
      </c>
      <c r="C86" s="15" t="s">
        <v>265</v>
      </c>
      <c r="D86" s="15">
        <v>1</v>
      </c>
      <c r="E86" s="16" t="s">
        <v>122</v>
      </c>
      <c r="F86" s="15">
        <v>15490400</v>
      </c>
      <c r="G86" s="15">
        <v>14560000</v>
      </c>
      <c r="H86" s="17">
        <v>250000</v>
      </c>
      <c r="I86" s="17">
        <v>680400</v>
      </c>
      <c r="J86" s="18" t="s">
        <v>8</v>
      </c>
    </row>
    <row r="87" spans="1:10" x14ac:dyDescent="0.2">
      <c r="A87" s="4" t="s">
        <v>254</v>
      </c>
      <c r="B87" s="15" t="s">
        <v>267</v>
      </c>
      <c r="C87" s="15" t="s">
        <v>268</v>
      </c>
      <c r="D87" s="15">
        <v>1</v>
      </c>
      <c r="E87" s="16" t="s">
        <v>122</v>
      </c>
      <c r="F87" s="15">
        <v>15490400</v>
      </c>
      <c r="G87" s="15">
        <v>14560000</v>
      </c>
      <c r="H87" s="17">
        <v>250000</v>
      </c>
      <c r="I87" s="17">
        <v>680400</v>
      </c>
      <c r="J87" s="18" t="s">
        <v>8</v>
      </c>
    </row>
    <row r="88" spans="1:10" x14ac:dyDescent="0.2">
      <c r="A88" s="4" t="s">
        <v>257</v>
      </c>
      <c r="B88" s="15" t="s">
        <v>270</v>
      </c>
      <c r="C88" s="15" t="s">
        <v>271</v>
      </c>
      <c r="D88" s="15">
        <v>1</v>
      </c>
      <c r="E88" s="16" t="s">
        <v>122</v>
      </c>
      <c r="F88" s="15">
        <v>7690400</v>
      </c>
      <c r="G88" s="15">
        <v>6760000</v>
      </c>
      <c r="H88" s="17">
        <v>250000</v>
      </c>
      <c r="I88" s="17">
        <v>680400</v>
      </c>
      <c r="J88" s="18" t="s">
        <v>8</v>
      </c>
    </row>
    <row r="89" spans="1:10" x14ac:dyDescent="0.2">
      <c r="A89" s="4" t="s">
        <v>260</v>
      </c>
      <c r="B89" s="15" t="s">
        <v>273</v>
      </c>
      <c r="C89" s="15" t="s">
        <v>274</v>
      </c>
      <c r="D89" s="15">
        <v>1</v>
      </c>
      <c r="E89" s="16" t="s">
        <v>122</v>
      </c>
      <c r="F89" s="15">
        <v>5030400</v>
      </c>
      <c r="G89" s="15">
        <v>4100000</v>
      </c>
      <c r="H89" s="17">
        <v>250000</v>
      </c>
      <c r="I89" s="17">
        <v>680400</v>
      </c>
      <c r="J89" s="18" t="s">
        <v>8</v>
      </c>
    </row>
    <row r="90" spans="1:10" x14ac:dyDescent="0.2">
      <c r="A90" s="4" t="s">
        <v>263</v>
      </c>
      <c r="B90" s="15" t="s">
        <v>276</v>
      </c>
      <c r="C90" s="15" t="s">
        <v>277</v>
      </c>
      <c r="D90" s="15">
        <v>1</v>
      </c>
      <c r="E90" s="16" t="s">
        <v>122</v>
      </c>
      <c r="F90" s="15">
        <v>1390400</v>
      </c>
      <c r="G90" s="15">
        <v>460000.00000000093</v>
      </c>
      <c r="H90" s="17">
        <v>250000</v>
      </c>
      <c r="I90" s="17">
        <v>680400</v>
      </c>
      <c r="J90" s="18" t="s">
        <v>8</v>
      </c>
    </row>
    <row r="91" spans="1:10" x14ac:dyDescent="0.2">
      <c r="A91" s="4" t="s">
        <v>266</v>
      </c>
      <c r="B91" s="15" t="s">
        <v>279</v>
      </c>
      <c r="C91" s="15" t="s">
        <v>280</v>
      </c>
      <c r="D91" s="15">
        <v>1</v>
      </c>
      <c r="E91" s="16" t="s">
        <v>122</v>
      </c>
      <c r="F91" s="15">
        <v>5030400</v>
      </c>
      <c r="G91" s="15">
        <v>4100000</v>
      </c>
      <c r="H91" s="17">
        <v>250000</v>
      </c>
      <c r="I91" s="17">
        <v>680400</v>
      </c>
      <c r="J91" s="18" t="s">
        <v>8</v>
      </c>
    </row>
    <row r="92" spans="1:10" x14ac:dyDescent="0.2">
      <c r="A92" s="4" t="s">
        <v>269</v>
      </c>
      <c r="B92" s="15" t="s">
        <v>282</v>
      </c>
      <c r="C92" s="15" t="s">
        <v>283</v>
      </c>
      <c r="D92" s="15">
        <v>1</v>
      </c>
      <c r="E92" s="16" t="s">
        <v>122</v>
      </c>
      <c r="F92" s="15">
        <v>930400</v>
      </c>
      <c r="G92" s="15">
        <v>0</v>
      </c>
      <c r="H92" s="17">
        <v>250000</v>
      </c>
      <c r="I92" s="17">
        <v>680400</v>
      </c>
      <c r="J92" s="18" t="s">
        <v>8</v>
      </c>
    </row>
    <row r="93" spans="1:10" x14ac:dyDescent="0.2">
      <c r="A93" s="4" t="s">
        <v>272</v>
      </c>
      <c r="B93" s="15" t="s">
        <v>239</v>
      </c>
      <c r="C93" s="15" t="s">
        <v>240</v>
      </c>
      <c r="D93" s="15">
        <v>2</v>
      </c>
      <c r="E93" s="16" t="s">
        <v>122</v>
      </c>
      <c r="F93" s="15">
        <v>400</v>
      </c>
      <c r="G93" s="15">
        <v>0</v>
      </c>
      <c r="H93" s="17">
        <v>0</v>
      </c>
      <c r="I93" s="17">
        <v>400</v>
      </c>
      <c r="J93" s="18" t="s">
        <v>8</v>
      </c>
    </row>
    <row r="94" spans="1:10" x14ac:dyDescent="0.2">
      <c r="A94" s="4" t="s">
        <v>275</v>
      </c>
      <c r="B94" s="15" t="s">
        <v>286</v>
      </c>
      <c r="C94" s="15" t="s">
        <v>287</v>
      </c>
      <c r="D94" s="15">
        <v>1</v>
      </c>
      <c r="E94" s="16" t="s">
        <v>122</v>
      </c>
      <c r="F94" s="15">
        <v>930400</v>
      </c>
      <c r="G94" s="15">
        <v>0</v>
      </c>
      <c r="H94" s="17">
        <v>250000</v>
      </c>
      <c r="I94" s="17">
        <v>680400</v>
      </c>
      <c r="J94" s="18" t="s">
        <v>8</v>
      </c>
    </row>
    <row r="95" spans="1:10" x14ac:dyDescent="0.2">
      <c r="A95" s="4" t="s">
        <v>278</v>
      </c>
      <c r="B95" s="15" t="s">
        <v>289</v>
      </c>
      <c r="C95" s="15" t="s">
        <v>290</v>
      </c>
      <c r="D95" s="15">
        <v>1</v>
      </c>
      <c r="E95" s="16" t="s">
        <v>122</v>
      </c>
      <c r="F95" s="15">
        <v>9370400</v>
      </c>
      <c r="G95" s="15">
        <v>8440000</v>
      </c>
      <c r="H95" s="17">
        <v>250000</v>
      </c>
      <c r="I95" s="17">
        <v>680400</v>
      </c>
      <c r="J95" s="18" t="s">
        <v>8</v>
      </c>
    </row>
    <row r="96" spans="1:10" x14ac:dyDescent="0.2">
      <c r="A96" s="4" t="s">
        <v>281</v>
      </c>
      <c r="B96" s="15" t="s">
        <v>292</v>
      </c>
      <c r="C96" s="15" t="s">
        <v>293</v>
      </c>
      <c r="D96" s="15">
        <v>1</v>
      </c>
      <c r="E96" s="16" t="s">
        <v>122</v>
      </c>
      <c r="F96" s="15">
        <v>8670400</v>
      </c>
      <c r="G96" s="15">
        <v>7740000</v>
      </c>
      <c r="H96" s="17">
        <v>250000</v>
      </c>
      <c r="I96" s="17">
        <v>680400</v>
      </c>
      <c r="J96" s="18" t="s">
        <v>8</v>
      </c>
    </row>
    <row r="97" spans="1:10" x14ac:dyDescent="0.2">
      <c r="A97" s="4" t="s">
        <v>284</v>
      </c>
      <c r="B97" s="15" t="s">
        <v>295</v>
      </c>
      <c r="C97" s="15" t="s">
        <v>296</v>
      </c>
      <c r="D97" s="15">
        <v>1</v>
      </c>
      <c r="E97" s="16" t="s">
        <v>122</v>
      </c>
      <c r="F97" s="15">
        <v>10030400</v>
      </c>
      <c r="G97" s="15">
        <v>9100000</v>
      </c>
      <c r="H97" s="17">
        <v>250000</v>
      </c>
      <c r="I97" s="17">
        <v>680400</v>
      </c>
      <c r="J97" s="18" t="s">
        <v>8</v>
      </c>
    </row>
    <row r="98" spans="1:10" x14ac:dyDescent="0.2">
      <c r="A98" s="4" t="s">
        <v>285</v>
      </c>
      <c r="B98" s="15" t="s">
        <v>298</v>
      </c>
      <c r="C98" s="15" t="s">
        <v>299</v>
      </c>
      <c r="D98" s="15">
        <v>1</v>
      </c>
      <c r="E98" s="16" t="s">
        <v>122</v>
      </c>
      <c r="F98" s="15">
        <v>930400</v>
      </c>
      <c r="G98" s="15">
        <v>0</v>
      </c>
      <c r="H98" s="17">
        <v>250000</v>
      </c>
      <c r="I98" s="17">
        <v>680400</v>
      </c>
      <c r="J98" s="18" t="s">
        <v>8</v>
      </c>
    </row>
    <row r="99" spans="1:10" x14ac:dyDescent="0.2">
      <c r="A99" s="4" t="s">
        <v>288</v>
      </c>
      <c r="B99" s="15" t="s">
        <v>301</v>
      </c>
      <c r="C99" s="15" t="s">
        <v>302</v>
      </c>
      <c r="D99" s="15">
        <v>2</v>
      </c>
      <c r="E99" s="16" t="s">
        <v>122</v>
      </c>
      <c r="F99" s="15">
        <v>5000000</v>
      </c>
      <c r="G99" s="15">
        <v>5000000</v>
      </c>
      <c r="H99" s="17">
        <v>0</v>
      </c>
      <c r="I99" s="17">
        <v>0</v>
      </c>
      <c r="J99" s="18" t="s">
        <v>8</v>
      </c>
    </row>
    <row r="100" spans="1:10" x14ac:dyDescent="0.2">
      <c r="A100" s="4" t="s">
        <v>291</v>
      </c>
      <c r="B100" s="15" t="s">
        <v>304</v>
      </c>
      <c r="C100" s="15" t="s">
        <v>305</v>
      </c>
      <c r="D100" s="15">
        <v>1</v>
      </c>
      <c r="E100" s="16" t="s">
        <v>122</v>
      </c>
      <c r="F100" s="15">
        <v>930400</v>
      </c>
      <c r="G100" s="15">
        <v>0</v>
      </c>
      <c r="H100" s="17">
        <v>250000</v>
      </c>
      <c r="I100" s="17">
        <v>680400</v>
      </c>
      <c r="J100" s="18" t="s">
        <v>8</v>
      </c>
    </row>
    <row r="101" spans="1:10" x14ac:dyDescent="0.2">
      <c r="A101" s="4" t="s">
        <v>294</v>
      </c>
      <c r="B101" s="15" t="s">
        <v>307</v>
      </c>
      <c r="C101" s="15" t="s">
        <v>308</v>
      </c>
      <c r="D101" s="15">
        <v>1</v>
      </c>
      <c r="E101" s="16" t="s">
        <v>122</v>
      </c>
      <c r="F101" s="15">
        <v>8250400</v>
      </c>
      <c r="G101" s="15">
        <v>7320000</v>
      </c>
      <c r="H101" s="17">
        <v>250000</v>
      </c>
      <c r="I101" s="17">
        <v>680400</v>
      </c>
      <c r="J101" s="18" t="s">
        <v>8</v>
      </c>
    </row>
    <row r="102" spans="1:10" x14ac:dyDescent="0.2">
      <c r="A102" s="4" t="s">
        <v>297</v>
      </c>
      <c r="B102" s="15" t="s">
        <v>310</v>
      </c>
      <c r="C102" s="15" t="s">
        <v>311</v>
      </c>
      <c r="D102" s="15">
        <v>1</v>
      </c>
      <c r="E102" s="16" t="s">
        <v>122</v>
      </c>
      <c r="F102" s="15">
        <v>5030400</v>
      </c>
      <c r="G102" s="15">
        <v>4100000</v>
      </c>
      <c r="H102" s="17">
        <v>250000</v>
      </c>
      <c r="I102" s="17">
        <v>680400</v>
      </c>
      <c r="J102" s="18" t="s">
        <v>8</v>
      </c>
    </row>
    <row r="103" spans="1:10" x14ac:dyDescent="0.2">
      <c r="A103" s="4" t="s">
        <v>300</v>
      </c>
      <c r="B103" s="15" t="s">
        <v>313</v>
      </c>
      <c r="C103" s="15" t="s">
        <v>314</v>
      </c>
      <c r="D103" s="15">
        <v>1</v>
      </c>
      <c r="E103" s="16" t="s">
        <v>122</v>
      </c>
      <c r="F103" s="15">
        <v>4330400</v>
      </c>
      <c r="G103" s="15">
        <v>3400000</v>
      </c>
      <c r="H103" s="17">
        <v>250000</v>
      </c>
      <c r="I103" s="17">
        <v>680400</v>
      </c>
      <c r="J103" s="18" t="s">
        <v>8</v>
      </c>
    </row>
    <row r="104" spans="1:10" x14ac:dyDescent="0.2">
      <c r="A104" s="4" t="s">
        <v>303</v>
      </c>
      <c r="B104" s="15" t="s">
        <v>316</v>
      </c>
      <c r="C104" s="15" t="s">
        <v>317</v>
      </c>
      <c r="D104" s="15">
        <v>1</v>
      </c>
      <c r="E104" s="16" t="s">
        <v>122</v>
      </c>
      <c r="F104" s="15">
        <v>15490400</v>
      </c>
      <c r="G104" s="15">
        <v>14560000</v>
      </c>
      <c r="H104" s="17">
        <v>250000</v>
      </c>
      <c r="I104" s="17">
        <v>680400</v>
      </c>
      <c r="J104" s="18" t="s">
        <v>8</v>
      </c>
    </row>
    <row r="105" spans="1:10" x14ac:dyDescent="0.2">
      <c r="A105" s="4" t="s">
        <v>306</v>
      </c>
      <c r="B105" s="15" t="s">
        <v>319</v>
      </c>
      <c r="C105" s="15" t="s">
        <v>320</v>
      </c>
      <c r="D105" s="15">
        <v>2</v>
      </c>
      <c r="E105" s="16" t="s">
        <v>122</v>
      </c>
      <c r="F105" s="15">
        <v>5000000</v>
      </c>
      <c r="G105" s="15">
        <v>5000000</v>
      </c>
      <c r="H105" s="17">
        <v>0</v>
      </c>
      <c r="I105" s="17">
        <v>0</v>
      </c>
      <c r="J105" s="18" t="s">
        <v>8</v>
      </c>
    </row>
    <row r="106" spans="1:10" x14ac:dyDescent="0.2">
      <c r="A106" s="4" t="s">
        <v>309</v>
      </c>
      <c r="B106" s="15" t="s">
        <v>322</v>
      </c>
      <c r="C106" s="15" t="s">
        <v>323</v>
      </c>
      <c r="D106" s="15">
        <v>1</v>
      </c>
      <c r="E106" s="16" t="s">
        <v>122</v>
      </c>
      <c r="F106" s="15">
        <v>1390400</v>
      </c>
      <c r="G106" s="15">
        <v>460000.00000000093</v>
      </c>
      <c r="H106" s="17">
        <v>250000</v>
      </c>
      <c r="I106" s="17">
        <v>680400</v>
      </c>
      <c r="J106" s="18" t="s">
        <v>8</v>
      </c>
    </row>
    <row r="107" spans="1:10" x14ac:dyDescent="0.2">
      <c r="A107" s="4" t="s">
        <v>312</v>
      </c>
      <c r="B107" s="15" t="s">
        <v>325</v>
      </c>
      <c r="C107" s="15" t="s">
        <v>326</v>
      </c>
      <c r="D107" s="15">
        <v>1</v>
      </c>
      <c r="E107" s="16" t="s">
        <v>122</v>
      </c>
      <c r="F107" s="15">
        <v>8250400</v>
      </c>
      <c r="G107" s="15">
        <v>7320000</v>
      </c>
      <c r="H107" s="17">
        <v>250000</v>
      </c>
      <c r="I107" s="17">
        <v>680400</v>
      </c>
      <c r="J107" s="18" t="s">
        <v>8</v>
      </c>
    </row>
    <row r="108" spans="1:10" x14ac:dyDescent="0.2">
      <c r="A108" s="4" t="s">
        <v>315</v>
      </c>
      <c r="B108" s="15" t="s">
        <v>328</v>
      </c>
      <c r="C108" s="15" t="s">
        <v>329</v>
      </c>
      <c r="D108" s="15">
        <v>1</v>
      </c>
      <c r="E108" s="16" t="s">
        <v>122</v>
      </c>
      <c r="F108" s="15">
        <v>6710400</v>
      </c>
      <c r="G108" s="15">
        <v>5780000</v>
      </c>
      <c r="H108" s="17">
        <v>250000</v>
      </c>
      <c r="I108" s="17">
        <v>680400</v>
      </c>
      <c r="J108" s="18" t="s">
        <v>8</v>
      </c>
    </row>
    <row r="109" spans="1:10" x14ac:dyDescent="0.2">
      <c r="A109" s="4" t="s">
        <v>318</v>
      </c>
      <c r="B109" s="15" t="s">
        <v>331</v>
      </c>
      <c r="C109" s="15" t="s">
        <v>332</v>
      </c>
      <c r="D109" s="15">
        <v>1</v>
      </c>
      <c r="E109" s="16" t="s">
        <v>122</v>
      </c>
      <c r="F109" s="15">
        <v>10490400</v>
      </c>
      <c r="G109" s="15">
        <v>9560000</v>
      </c>
      <c r="H109" s="17">
        <v>250000</v>
      </c>
      <c r="I109" s="17">
        <v>680400</v>
      </c>
      <c r="J109" s="18" t="s">
        <v>8</v>
      </c>
    </row>
    <row r="110" spans="1:10" x14ac:dyDescent="0.2">
      <c r="A110" s="4" t="s">
        <v>321</v>
      </c>
      <c r="B110" s="15" t="s">
        <v>334</v>
      </c>
      <c r="C110" s="15" t="s">
        <v>335</v>
      </c>
      <c r="D110" s="15">
        <v>1</v>
      </c>
      <c r="E110" s="16" t="s">
        <v>122</v>
      </c>
      <c r="F110" s="15">
        <v>1390400</v>
      </c>
      <c r="G110" s="15">
        <v>460000.00000000093</v>
      </c>
      <c r="H110" s="17">
        <v>250000</v>
      </c>
      <c r="I110" s="17">
        <v>680400</v>
      </c>
      <c r="J110" s="18" t="s">
        <v>8</v>
      </c>
    </row>
    <row r="111" spans="1:10" x14ac:dyDescent="0.2">
      <c r="A111" s="4" t="s">
        <v>324</v>
      </c>
      <c r="B111" s="15" t="s">
        <v>337</v>
      </c>
      <c r="C111" s="15" t="s">
        <v>338</v>
      </c>
      <c r="D111" s="15">
        <v>1</v>
      </c>
      <c r="E111" s="16" t="s">
        <v>122</v>
      </c>
      <c r="F111" s="15">
        <v>5970400</v>
      </c>
      <c r="G111" s="15">
        <v>5040000.0000000009</v>
      </c>
      <c r="H111" s="17">
        <v>250000</v>
      </c>
      <c r="I111" s="17">
        <v>680400</v>
      </c>
      <c r="J111" s="18" t="s">
        <v>8</v>
      </c>
    </row>
    <row r="112" spans="1:10" x14ac:dyDescent="0.2">
      <c r="A112" s="4" t="s">
        <v>327</v>
      </c>
      <c r="B112" s="15" t="s">
        <v>340</v>
      </c>
      <c r="C112" s="15" t="s">
        <v>341</v>
      </c>
      <c r="D112" s="15">
        <v>1</v>
      </c>
      <c r="E112" s="16" t="s">
        <v>122</v>
      </c>
      <c r="F112" s="15">
        <v>930400</v>
      </c>
      <c r="G112" s="15">
        <v>0</v>
      </c>
      <c r="H112" s="17">
        <v>250000</v>
      </c>
      <c r="I112" s="17">
        <v>680400</v>
      </c>
      <c r="J112" s="18" t="s">
        <v>8</v>
      </c>
    </row>
    <row r="113" spans="1:10" x14ac:dyDescent="0.2">
      <c r="A113" s="4" t="s">
        <v>330</v>
      </c>
      <c r="B113" s="15" t="s">
        <v>343</v>
      </c>
      <c r="C113" s="15" t="s">
        <v>344</v>
      </c>
      <c r="D113" s="15">
        <v>1</v>
      </c>
      <c r="E113" s="16" t="s">
        <v>122</v>
      </c>
      <c r="F113" s="15">
        <v>930400</v>
      </c>
      <c r="G113" s="15">
        <v>0</v>
      </c>
      <c r="H113" s="17">
        <v>250000</v>
      </c>
      <c r="I113" s="17">
        <v>680400</v>
      </c>
      <c r="J113" s="18" t="s">
        <v>8</v>
      </c>
    </row>
    <row r="114" spans="1:10" x14ac:dyDescent="0.2">
      <c r="A114" s="4" t="s">
        <v>333</v>
      </c>
      <c r="B114" s="15" t="s">
        <v>346</v>
      </c>
      <c r="C114" s="15" t="s">
        <v>347</v>
      </c>
      <c r="D114" s="15">
        <v>1</v>
      </c>
      <c r="E114" s="16" t="s">
        <v>122</v>
      </c>
      <c r="F114" s="15">
        <v>19130400</v>
      </c>
      <c r="G114" s="15">
        <v>18200000</v>
      </c>
      <c r="H114" s="17">
        <v>250000</v>
      </c>
      <c r="I114" s="17">
        <v>680400</v>
      </c>
      <c r="J114" s="18" t="s">
        <v>8</v>
      </c>
    </row>
    <row r="115" spans="1:10" x14ac:dyDescent="0.2">
      <c r="A115" s="4" t="s">
        <v>336</v>
      </c>
      <c r="B115" s="15" t="s">
        <v>349</v>
      </c>
      <c r="C115" s="15" t="s">
        <v>350</v>
      </c>
      <c r="D115" s="15">
        <v>1</v>
      </c>
      <c r="E115" s="16" t="s">
        <v>122</v>
      </c>
      <c r="F115" s="15">
        <v>8670400</v>
      </c>
      <c r="G115" s="15">
        <v>7740000</v>
      </c>
      <c r="H115" s="17">
        <v>250000</v>
      </c>
      <c r="I115" s="17">
        <v>680400</v>
      </c>
      <c r="J115" s="18" t="s">
        <v>8</v>
      </c>
    </row>
    <row r="116" spans="1:10" x14ac:dyDescent="0.2">
      <c r="A116" s="4" t="s">
        <v>339</v>
      </c>
      <c r="B116" s="15" t="s">
        <v>352</v>
      </c>
      <c r="C116" s="15" t="s">
        <v>353</v>
      </c>
      <c r="D116" s="15">
        <v>1</v>
      </c>
      <c r="E116" s="16" t="s">
        <v>122</v>
      </c>
      <c r="F116" s="15">
        <v>15490400</v>
      </c>
      <c r="G116" s="15">
        <v>14560000</v>
      </c>
      <c r="H116" s="17">
        <v>250000</v>
      </c>
      <c r="I116" s="17">
        <v>680400</v>
      </c>
      <c r="J116" s="18" t="s">
        <v>8</v>
      </c>
    </row>
    <row r="117" spans="1:10" x14ac:dyDescent="0.2">
      <c r="A117" s="4" t="s">
        <v>342</v>
      </c>
      <c r="B117" s="15" t="s">
        <v>355</v>
      </c>
      <c r="C117" s="15" t="s">
        <v>356</v>
      </c>
      <c r="D117" s="15">
        <v>1</v>
      </c>
      <c r="E117" s="16" t="s">
        <v>122</v>
      </c>
      <c r="F117" s="15">
        <v>5030400</v>
      </c>
      <c r="G117" s="15">
        <v>4100000</v>
      </c>
      <c r="H117" s="17">
        <v>250000</v>
      </c>
      <c r="I117" s="17">
        <v>680400</v>
      </c>
      <c r="J117" s="18" t="s">
        <v>8</v>
      </c>
    </row>
    <row r="118" spans="1:10" x14ac:dyDescent="0.2">
      <c r="A118" s="4" t="s">
        <v>345</v>
      </c>
      <c r="B118" s="15" t="s">
        <v>358</v>
      </c>
      <c r="C118" s="15" t="s">
        <v>359</v>
      </c>
      <c r="D118" s="15">
        <v>1</v>
      </c>
      <c r="E118" s="16" t="s">
        <v>122</v>
      </c>
      <c r="F118" s="15">
        <v>8250400</v>
      </c>
      <c r="G118" s="15">
        <v>7320000</v>
      </c>
      <c r="H118" s="17">
        <v>250000</v>
      </c>
      <c r="I118" s="17">
        <v>680400</v>
      </c>
      <c r="J118" s="18" t="s">
        <v>8</v>
      </c>
    </row>
    <row r="119" spans="1:10" x14ac:dyDescent="0.2">
      <c r="A119" s="4" t="s">
        <v>348</v>
      </c>
      <c r="B119" s="15" t="s">
        <v>361</v>
      </c>
      <c r="C119" s="15" t="s">
        <v>362</v>
      </c>
      <c r="D119" s="15">
        <v>1</v>
      </c>
      <c r="E119" s="16" t="s">
        <v>122</v>
      </c>
      <c r="F119" s="15">
        <v>16330400</v>
      </c>
      <c r="G119" s="15">
        <v>15400000</v>
      </c>
      <c r="H119" s="17">
        <v>250000</v>
      </c>
      <c r="I119" s="17">
        <v>680400</v>
      </c>
      <c r="J119" s="18" t="s">
        <v>8</v>
      </c>
    </row>
    <row r="120" spans="1:10" x14ac:dyDescent="0.2">
      <c r="A120" s="4" t="s">
        <v>2003</v>
      </c>
      <c r="B120" s="15" t="s">
        <v>364</v>
      </c>
      <c r="C120" s="15" t="s">
        <v>365</v>
      </c>
      <c r="D120" s="15">
        <v>1</v>
      </c>
      <c r="E120" s="16" t="s">
        <v>122</v>
      </c>
      <c r="F120" s="15">
        <v>5030400</v>
      </c>
      <c r="G120" s="15">
        <v>4100000</v>
      </c>
      <c r="H120" s="17">
        <v>250000</v>
      </c>
      <c r="I120" s="17">
        <v>680400</v>
      </c>
      <c r="J120" s="18" t="s">
        <v>8</v>
      </c>
    </row>
    <row r="121" spans="1:10" x14ac:dyDescent="0.2">
      <c r="A121" s="4" t="s">
        <v>351</v>
      </c>
      <c r="B121" s="15" t="s">
        <v>367</v>
      </c>
      <c r="C121" s="15" t="s">
        <v>368</v>
      </c>
      <c r="D121" s="15">
        <v>1</v>
      </c>
      <c r="E121" s="16" t="s">
        <v>122</v>
      </c>
      <c r="F121" s="15">
        <v>5970400</v>
      </c>
      <c r="G121" s="15">
        <v>5040000.0000000009</v>
      </c>
      <c r="H121" s="17">
        <v>250000</v>
      </c>
      <c r="I121" s="17">
        <v>680400</v>
      </c>
      <c r="J121" s="18" t="s">
        <v>8</v>
      </c>
    </row>
    <row r="122" spans="1:10" x14ac:dyDescent="0.2">
      <c r="A122" s="4" t="s">
        <v>354</v>
      </c>
      <c r="B122" s="15" t="s">
        <v>370</v>
      </c>
      <c r="C122" s="15" t="s">
        <v>371</v>
      </c>
      <c r="D122" s="15">
        <v>1</v>
      </c>
      <c r="E122" s="16" t="s">
        <v>122</v>
      </c>
      <c r="F122" s="15">
        <v>970400</v>
      </c>
      <c r="G122" s="15">
        <v>40000.000000000931</v>
      </c>
      <c r="H122" s="17">
        <v>250000</v>
      </c>
      <c r="I122" s="17">
        <v>680400</v>
      </c>
      <c r="J122" s="18" t="s">
        <v>8</v>
      </c>
    </row>
    <row r="123" spans="1:10" x14ac:dyDescent="0.2">
      <c r="A123" s="4" t="s">
        <v>2004</v>
      </c>
      <c r="B123" s="15" t="s">
        <v>373</v>
      </c>
      <c r="C123" s="15" t="s">
        <v>374</v>
      </c>
      <c r="D123" s="15">
        <v>1</v>
      </c>
      <c r="E123" s="16" t="s">
        <v>122</v>
      </c>
      <c r="F123" s="15">
        <v>9370400</v>
      </c>
      <c r="G123" s="15">
        <v>8440000</v>
      </c>
      <c r="H123" s="17">
        <v>250000</v>
      </c>
      <c r="I123" s="17">
        <v>680400</v>
      </c>
      <c r="J123" s="18" t="s">
        <v>8</v>
      </c>
    </row>
    <row r="124" spans="1:10" x14ac:dyDescent="0.2">
      <c r="A124" s="4" t="s">
        <v>357</v>
      </c>
      <c r="B124" s="15" t="s">
        <v>376</v>
      </c>
      <c r="C124" s="15" t="s">
        <v>377</v>
      </c>
      <c r="D124" s="15">
        <v>1</v>
      </c>
      <c r="E124" s="16" t="s">
        <v>122</v>
      </c>
      <c r="F124" s="15">
        <v>15490400</v>
      </c>
      <c r="G124" s="15">
        <v>14560000</v>
      </c>
      <c r="H124" s="17">
        <v>250000</v>
      </c>
      <c r="I124" s="17">
        <v>680400</v>
      </c>
      <c r="J124" s="18" t="s">
        <v>8</v>
      </c>
    </row>
    <row r="125" spans="1:10" x14ac:dyDescent="0.2">
      <c r="A125" s="4" t="s">
        <v>360</v>
      </c>
      <c r="B125" s="15" t="s">
        <v>379</v>
      </c>
      <c r="C125" s="15" t="s">
        <v>380</v>
      </c>
      <c r="D125" s="15">
        <v>1</v>
      </c>
      <c r="E125" s="16" t="s">
        <v>122</v>
      </c>
      <c r="F125" s="15">
        <v>4330400</v>
      </c>
      <c r="G125" s="15">
        <v>3400000</v>
      </c>
      <c r="H125" s="17">
        <v>250000</v>
      </c>
      <c r="I125" s="17">
        <v>680400</v>
      </c>
      <c r="J125" s="18" t="s">
        <v>8</v>
      </c>
    </row>
    <row r="126" spans="1:10" x14ac:dyDescent="0.2">
      <c r="A126" s="4" t="s">
        <v>363</v>
      </c>
      <c r="B126" s="15" t="s">
        <v>382</v>
      </c>
      <c r="C126" s="15" t="s">
        <v>383</v>
      </c>
      <c r="D126" s="15">
        <v>1</v>
      </c>
      <c r="E126" s="16" t="s">
        <v>122</v>
      </c>
      <c r="F126" s="15">
        <v>6390400</v>
      </c>
      <c r="G126" s="15">
        <v>5460000.0000000009</v>
      </c>
      <c r="H126" s="17">
        <v>250000</v>
      </c>
      <c r="I126" s="17">
        <v>680400</v>
      </c>
      <c r="J126" s="18" t="s">
        <v>8</v>
      </c>
    </row>
    <row r="127" spans="1:10" x14ac:dyDescent="0.2">
      <c r="A127" s="4" t="s">
        <v>366</v>
      </c>
      <c r="B127" s="15" t="s">
        <v>385</v>
      </c>
      <c r="C127" s="15" t="s">
        <v>386</v>
      </c>
      <c r="D127" s="15">
        <v>1</v>
      </c>
      <c r="E127" s="16" t="s">
        <v>122</v>
      </c>
      <c r="F127" s="15">
        <v>13250400</v>
      </c>
      <c r="G127" s="15">
        <v>12320000</v>
      </c>
      <c r="H127" s="17">
        <v>250000</v>
      </c>
      <c r="I127" s="17">
        <v>680400</v>
      </c>
      <c r="J127" s="18" t="s">
        <v>8</v>
      </c>
    </row>
    <row r="128" spans="1:10" x14ac:dyDescent="0.2">
      <c r="A128" s="4" t="s">
        <v>369</v>
      </c>
      <c r="B128" s="15" t="s">
        <v>388</v>
      </c>
      <c r="C128" s="15" t="s">
        <v>389</v>
      </c>
      <c r="D128" s="15">
        <v>1</v>
      </c>
      <c r="E128" s="16" t="s">
        <v>122</v>
      </c>
      <c r="F128" s="15">
        <v>8670400</v>
      </c>
      <c r="G128" s="15">
        <v>7740000</v>
      </c>
      <c r="H128" s="17">
        <v>250000</v>
      </c>
      <c r="I128" s="17">
        <v>680400</v>
      </c>
      <c r="J128" s="18" t="s">
        <v>8</v>
      </c>
    </row>
    <row r="129" spans="1:10" x14ac:dyDescent="0.2">
      <c r="A129" s="4" t="s">
        <v>372</v>
      </c>
      <c r="B129" s="15" t="s">
        <v>391</v>
      </c>
      <c r="C129" s="15" t="s">
        <v>392</v>
      </c>
      <c r="D129" s="15">
        <v>1</v>
      </c>
      <c r="E129" s="16" t="s">
        <v>122</v>
      </c>
      <c r="F129" s="15">
        <v>930400</v>
      </c>
      <c r="G129" s="15">
        <v>0</v>
      </c>
      <c r="H129" s="17">
        <v>250000</v>
      </c>
      <c r="I129" s="17">
        <v>680400</v>
      </c>
      <c r="J129" s="18" t="s">
        <v>8</v>
      </c>
    </row>
    <row r="130" spans="1:10" x14ac:dyDescent="0.2">
      <c r="A130" s="4" t="s">
        <v>375</v>
      </c>
      <c r="B130" s="15" t="s">
        <v>394</v>
      </c>
      <c r="C130" s="15" t="s">
        <v>395</v>
      </c>
      <c r="D130" s="15">
        <v>1</v>
      </c>
      <c r="E130" s="16" t="s">
        <v>122</v>
      </c>
      <c r="F130" s="15">
        <v>8671000</v>
      </c>
      <c r="G130" s="15">
        <v>7740600</v>
      </c>
      <c r="H130" s="17">
        <v>250000</v>
      </c>
      <c r="I130" s="17">
        <v>680400</v>
      </c>
      <c r="J130" s="18" t="s">
        <v>8</v>
      </c>
    </row>
    <row r="131" spans="1:10" x14ac:dyDescent="0.2">
      <c r="A131" s="4" t="s">
        <v>378</v>
      </c>
      <c r="B131" s="15" t="s">
        <v>397</v>
      </c>
      <c r="C131" s="15" t="s">
        <v>398</v>
      </c>
      <c r="D131" s="15">
        <v>1</v>
      </c>
      <c r="E131" s="16" t="s">
        <v>122</v>
      </c>
      <c r="F131" s="15">
        <v>5030400</v>
      </c>
      <c r="G131" s="15">
        <v>4100000</v>
      </c>
      <c r="H131" s="17">
        <v>250000</v>
      </c>
      <c r="I131" s="17">
        <v>680400</v>
      </c>
      <c r="J131" s="18" t="s">
        <v>8</v>
      </c>
    </row>
    <row r="132" spans="1:10" x14ac:dyDescent="0.2">
      <c r="A132" s="4" t="s">
        <v>381</v>
      </c>
      <c r="B132" s="15" t="s">
        <v>400</v>
      </c>
      <c r="C132" s="15" t="s">
        <v>401</v>
      </c>
      <c r="D132" s="15">
        <v>1</v>
      </c>
      <c r="E132" s="16" t="s">
        <v>122</v>
      </c>
      <c r="F132" s="15">
        <v>930400</v>
      </c>
      <c r="G132" s="15">
        <v>0</v>
      </c>
      <c r="H132" s="17">
        <v>250000</v>
      </c>
      <c r="I132" s="17">
        <v>680400</v>
      </c>
      <c r="J132" s="18" t="s">
        <v>8</v>
      </c>
    </row>
    <row r="133" spans="1:10" x14ac:dyDescent="0.2">
      <c r="A133" s="4" t="s">
        <v>384</v>
      </c>
      <c r="B133" s="15" t="s">
        <v>403</v>
      </c>
      <c r="C133" s="15" t="s">
        <v>404</v>
      </c>
      <c r="D133" s="15">
        <v>1</v>
      </c>
      <c r="E133" s="16" t="s">
        <v>122</v>
      </c>
      <c r="F133" s="15">
        <v>10490400</v>
      </c>
      <c r="G133" s="15">
        <v>9560000</v>
      </c>
      <c r="H133" s="17">
        <v>250000</v>
      </c>
      <c r="I133" s="17">
        <v>680400</v>
      </c>
      <c r="J133" s="18" t="s">
        <v>8</v>
      </c>
    </row>
    <row r="134" spans="1:10" x14ac:dyDescent="0.2">
      <c r="A134" s="4" t="s">
        <v>387</v>
      </c>
      <c r="B134" s="15" t="s">
        <v>406</v>
      </c>
      <c r="C134" s="15" t="s">
        <v>407</v>
      </c>
      <c r="D134" s="15">
        <v>1</v>
      </c>
      <c r="E134" s="16" t="s">
        <v>122</v>
      </c>
      <c r="F134" s="15">
        <v>9330400</v>
      </c>
      <c r="G134" s="15">
        <v>8400000</v>
      </c>
      <c r="H134" s="17">
        <v>250000</v>
      </c>
      <c r="I134" s="17">
        <v>680400</v>
      </c>
      <c r="J134" s="18" t="s">
        <v>8</v>
      </c>
    </row>
    <row r="135" spans="1:10" x14ac:dyDescent="0.2">
      <c r="A135" s="4" t="s">
        <v>390</v>
      </c>
      <c r="B135" s="15" t="s">
        <v>409</v>
      </c>
      <c r="C135" s="15" t="s">
        <v>410</v>
      </c>
      <c r="D135" s="15">
        <v>2</v>
      </c>
      <c r="E135" s="16" t="s">
        <v>122</v>
      </c>
      <c r="F135" s="15">
        <v>5000000</v>
      </c>
      <c r="G135" s="15">
        <v>5000000</v>
      </c>
      <c r="H135" s="17">
        <v>0</v>
      </c>
      <c r="I135" s="17">
        <v>0</v>
      </c>
      <c r="J135" s="18" t="s">
        <v>8</v>
      </c>
    </row>
    <row r="136" spans="1:10" x14ac:dyDescent="0.2">
      <c r="A136" s="4" t="s">
        <v>393</v>
      </c>
      <c r="B136" s="15" t="s">
        <v>412</v>
      </c>
      <c r="C136" s="15" t="s">
        <v>413</v>
      </c>
      <c r="D136" s="15">
        <v>1</v>
      </c>
      <c r="E136" s="16" t="s">
        <v>414</v>
      </c>
      <c r="F136" s="15">
        <v>14370400</v>
      </c>
      <c r="G136" s="15">
        <v>13440000</v>
      </c>
      <c r="H136" s="17">
        <v>250000</v>
      </c>
      <c r="I136" s="17">
        <v>680400</v>
      </c>
      <c r="J136" s="18" t="s">
        <v>8</v>
      </c>
    </row>
    <row r="137" spans="1:10" x14ac:dyDescent="0.2">
      <c r="A137" s="4" t="s">
        <v>396</v>
      </c>
      <c r="B137" s="15" t="s">
        <v>416</v>
      </c>
      <c r="C137" s="15" t="s">
        <v>417</v>
      </c>
      <c r="D137" s="15">
        <v>2</v>
      </c>
      <c r="E137" s="16" t="s">
        <v>414</v>
      </c>
      <c r="F137" s="15">
        <v>15490000</v>
      </c>
      <c r="G137" s="15">
        <v>14560000</v>
      </c>
      <c r="H137" s="17">
        <v>250000</v>
      </c>
      <c r="I137" s="17">
        <v>680000</v>
      </c>
      <c r="J137" s="18" t="s">
        <v>8</v>
      </c>
    </row>
    <row r="138" spans="1:10" x14ac:dyDescent="0.2">
      <c r="A138" s="4" t="s">
        <v>399</v>
      </c>
      <c r="B138" s="15" t="s">
        <v>419</v>
      </c>
      <c r="C138" s="15" t="s">
        <v>420</v>
      </c>
      <c r="D138" s="15">
        <v>1</v>
      </c>
      <c r="E138" s="16" t="s">
        <v>414</v>
      </c>
      <c r="F138" s="15">
        <v>6390400</v>
      </c>
      <c r="G138" s="15">
        <v>5460000.0000000009</v>
      </c>
      <c r="H138" s="17">
        <v>250000</v>
      </c>
      <c r="I138" s="17">
        <v>680400</v>
      </c>
      <c r="J138" s="18" t="s">
        <v>8</v>
      </c>
    </row>
    <row r="139" spans="1:10" x14ac:dyDescent="0.2">
      <c r="A139" s="4" t="s">
        <v>2005</v>
      </c>
      <c r="B139" s="15" t="s">
        <v>422</v>
      </c>
      <c r="C139" s="15" t="s">
        <v>423</v>
      </c>
      <c r="D139" s="15">
        <v>1</v>
      </c>
      <c r="E139" s="16" t="s">
        <v>414</v>
      </c>
      <c r="F139" s="15">
        <v>13250400</v>
      </c>
      <c r="G139" s="15">
        <v>12320000</v>
      </c>
      <c r="H139" s="17">
        <v>250000</v>
      </c>
      <c r="I139" s="17">
        <v>680400</v>
      </c>
      <c r="J139" s="18" t="s">
        <v>8</v>
      </c>
    </row>
    <row r="140" spans="1:10" x14ac:dyDescent="0.2">
      <c r="A140" s="4" t="s">
        <v>402</v>
      </c>
      <c r="B140" s="15" t="s">
        <v>425</v>
      </c>
      <c r="C140" s="15" t="s">
        <v>426</v>
      </c>
      <c r="D140" s="15">
        <v>2</v>
      </c>
      <c r="E140" s="16" t="s">
        <v>414</v>
      </c>
      <c r="F140" s="15">
        <v>14790000</v>
      </c>
      <c r="G140" s="15">
        <v>13860000</v>
      </c>
      <c r="H140" s="17">
        <v>250000</v>
      </c>
      <c r="I140" s="17">
        <v>680000</v>
      </c>
      <c r="J140" s="18" t="s">
        <v>8</v>
      </c>
    </row>
    <row r="141" spans="1:10" x14ac:dyDescent="0.2">
      <c r="A141" s="4" t="s">
        <v>405</v>
      </c>
      <c r="B141" s="15" t="s">
        <v>428</v>
      </c>
      <c r="C141" s="15" t="s">
        <v>429</v>
      </c>
      <c r="D141" s="15">
        <v>1</v>
      </c>
      <c r="E141" s="16" t="s">
        <v>414</v>
      </c>
      <c r="F141" s="15">
        <v>5030400</v>
      </c>
      <c r="G141" s="15">
        <v>4100000</v>
      </c>
      <c r="H141" s="17">
        <v>250000</v>
      </c>
      <c r="I141" s="17">
        <v>680400</v>
      </c>
      <c r="J141" s="18" t="s">
        <v>8</v>
      </c>
    </row>
    <row r="142" spans="1:10" x14ac:dyDescent="0.2">
      <c r="A142" s="4" t="s">
        <v>408</v>
      </c>
      <c r="B142" s="15" t="s">
        <v>431</v>
      </c>
      <c r="C142" s="15" t="s">
        <v>432</v>
      </c>
      <c r="D142" s="15">
        <v>1</v>
      </c>
      <c r="E142" s="16" t="s">
        <v>414</v>
      </c>
      <c r="F142" s="15">
        <v>8670400</v>
      </c>
      <c r="G142" s="15">
        <v>7740000</v>
      </c>
      <c r="H142" s="17">
        <v>250000</v>
      </c>
      <c r="I142" s="17">
        <v>680400</v>
      </c>
      <c r="J142" s="18" t="s">
        <v>8</v>
      </c>
    </row>
    <row r="143" spans="1:10" x14ac:dyDescent="0.2">
      <c r="A143" s="4" t="s">
        <v>2006</v>
      </c>
      <c r="B143" s="15" t="s">
        <v>434</v>
      </c>
      <c r="C143" s="15" t="s">
        <v>435</v>
      </c>
      <c r="D143" s="15">
        <v>1</v>
      </c>
      <c r="E143" s="16" t="s">
        <v>414</v>
      </c>
      <c r="F143" s="15">
        <v>5030400</v>
      </c>
      <c r="G143" s="15">
        <v>4100000</v>
      </c>
      <c r="H143" s="17">
        <v>250000</v>
      </c>
      <c r="I143" s="17">
        <v>680400</v>
      </c>
      <c r="J143" s="18" t="s">
        <v>8</v>
      </c>
    </row>
    <row r="144" spans="1:10" x14ac:dyDescent="0.2">
      <c r="A144" s="4" t="s">
        <v>411</v>
      </c>
      <c r="B144" s="15" t="s">
        <v>437</v>
      </c>
      <c r="C144" s="15" t="s">
        <v>438</v>
      </c>
      <c r="D144" s="15">
        <v>1</v>
      </c>
      <c r="E144" s="16" t="s">
        <v>414</v>
      </c>
      <c r="F144" s="15">
        <v>15490400</v>
      </c>
      <c r="G144" s="15">
        <v>14560000</v>
      </c>
      <c r="H144" s="17">
        <v>250000</v>
      </c>
      <c r="I144" s="17">
        <v>680400</v>
      </c>
      <c r="J144" s="18" t="s">
        <v>8</v>
      </c>
    </row>
    <row r="145" spans="1:10" x14ac:dyDescent="0.2">
      <c r="A145" s="4" t="s">
        <v>415</v>
      </c>
      <c r="B145" s="15" t="s">
        <v>440</v>
      </c>
      <c r="C145" s="15" t="s">
        <v>167</v>
      </c>
      <c r="D145" s="15">
        <v>1</v>
      </c>
      <c r="E145" s="16" t="s">
        <v>414</v>
      </c>
      <c r="F145" s="15">
        <v>5030400</v>
      </c>
      <c r="G145" s="15">
        <v>4100000</v>
      </c>
      <c r="H145" s="17">
        <v>250000</v>
      </c>
      <c r="I145" s="17">
        <v>680400</v>
      </c>
      <c r="J145" s="18" t="s">
        <v>8</v>
      </c>
    </row>
    <row r="146" spans="1:10" x14ac:dyDescent="0.2">
      <c r="A146" s="4" t="s">
        <v>418</v>
      </c>
      <c r="B146" s="15" t="s">
        <v>442</v>
      </c>
      <c r="C146" s="15" t="s">
        <v>443</v>
      </c>
      <c r="D146" s="15">
        <v>1</v>
      </c>
      <c r="E146" s="16" t="s">
        <v>414</v>
      </c>
      <c r="F146" s="15">
        <v>10030400</v>
      </c>
      <c r="G146" s="15">
        <v>9100000</v>
      </c>
      <c r="H146" s="17">
        <v>250000</v>
      </c>
      <c r="I146" s="17">
        <v>680400</v>
      </c>
      <c r="J146" s="18" t="s">
        <v>8</v>
      </c>
    </row>
    <row r="147" spans="1:10" x14ac:dyDescent="0.2">
      <c r="A147" s="4" t="s">
        <v>421</v>
      </c>
      <c r="B147" s="15" t="s">
        <v>445</v>
      </c>
      <c r="C147" s="15" t="s">
        <v>446</v>
      </c>
      <c r="D147" s="15">
        <v>1</v>
      </c>
      <c r="E147" s="16" t="s">
        <v>414</v>
      </c>
      <c r="F147" s="15">
        <v>13250400</v>
      </c>
      <c r="G147" s="15">
        <v>12320000</v>
      </c>
      <c r="H147" s="17">
        <v>250000</v>
      </c>
      <c r="I147" s="17">
        <v>680400</v>
      </c>
      <c r="J147" s="18" t="s">
        <v>8</v>
      </c>
    </row>
    <row r="148" spans="1:10" x14ac:dyDescent="0.2">
      <c r="A148" s="4" t="s">
        <v>424</v>
      </c>
      <c r="B148" s="15" t="s">
        <v>448</v>
      </c>
      <c r="C148" s="15" t="s">
        <v>449</v>
      </c>
      <c r="D148" s="15">
        <v>1</v>
      </c>
      <c r="E148" s="16" t="s">
        <v>414</v>
      </c>
      <c r="F148" s="15">
        <v>8670400</v>
      </c>
      <c r="G148" s="15">
        <v>7740000</v>
      </c>
      <c r="H148" s="17">
        <v>250000</v>
      </c>
      <c r="I148" s="17">
        <v>680400</v>
      </c>
      <c r="J148" s="18" t="s">
        <v>8</v>
      </c>
    </row>
    <row r="149" spans="1:10" x14ac:dyDescent="0.2">
      <c r="A149" s="4" t="s">
        <v>427</v>
      </c>
      <c r="B149" s="15" t="s">
        <v>451</v>
      </c>
      <c r="C149" s="15" t="s">
        <v>452</v>
      </c>
      <c r="D149" s="15">
        <v>1</v>
      </c>
      <c r="E149" s="16" t="s">
        <v>414</v>
      </c>
      <c r="F149" s="15">
        <v>9370400</v>
      </c>
      <c r="G149" s="15">
        <v>8440000</v>
      </c>
      <c r="H149" s="17">
        <v>250000</v>
      </c>
      <c r="I149" s="17">
        <v>680400</v>
      </c>
      <c r="J149" s="18" t="s">
        <v>8</v>
      </c>
    </row>
    <row r="150" spans="1:10" x14ac:dyDescent="0.2">
      <c r="A150" s="4" t="s">
        <v>430</v>
      </c>
      <c r="B150" s="15" t="s">
        <v>454</v>
      </c>
      <c r="C150" s="15" t="s">
        <v>455</v>
      </c>
      <c r="D150" s="15">
        <v>1</v>
      </c>
      <c r="E150" s="16" t="s">
        <v>414</v>
      </c>
      <c r="F150" s="15">
        <v>14790400</v>
      </c>
      <c r="G150" s="15">
        <v>13860000</v>
      </c>
      <c r="H150" s="17">
        <v>250000</v>
      </c>
      <c r="I150" s="17">
        <v>680400</v>
      </c>
      <c r="J150" s="18" t="s">
        <v>8</v>
      </c>
    </row>
    <row r="151" spans="1:10" x14ac:dyDescent="0.2">
      <c r="A151" s="4" t="s">
        <v>433</v>
      </c>
      <c r="B151" s="15" t="s">
        <v>457</v>
      </c>
      <c r="C151" s="15" t="s">
        <v>458</v>
      </c>
      <c r="D151" s="15">
        <v>1</v>
      </c>
      <c r="E151" s="16" t="s">
        <v>414</v>
      </c>
      <c r="F151" s="15">
        <v>9370400</v>
      </c>
      <c r="G151" s="15">
        <v>8440000</v>
      </c>
      <c r="H151" s="17">
        <v>250000</v>
      </c>
      <c r="I151" s="17">
        <v>680400</v>
      </c>
      <c r="J151" s="18" t="s">
        <v>8</v>
      </c>
    </row>
    <row r="152" spans="1:10" x14ac:dyDescent="0.2">
      <c r="A152" s="4" t="s">
        <v>436</v>
      </c>
      <c r="B152" s="15" t="s">
        <v>460</v>
      </c>
      <c r="C152" s="15" t="s">
        <v>461</v>
      </c>
      <c r="D152" s="15">
        <v>1</v>
      </c>
      <c r="E152" s="16" t="s">
        <v>414</v>
      </c>
      <c r="F152" s="15">
        <v>10030400</v>
      </c>
      <c r="G152" s="15">
        <v>9100000</v>
      </c>
      <c r="H152" s="17">
        <v>250000</v>
      </c>
      <c r="I152" s="17">
        <v>680400</v>
      </c>
      <c r="J152" s="18" t="s">
        <v>8</v>
      </c>
    </row>
    <row r="153" spans="1:10" x14ac:dyDescent="0.2">
      <c r="A153" s="4" t="s">
        <v>439</v>
      </c>
      <c r="B153" s="15" t="s">
        <v>463</v>
      </c>
      <c r="C153" s="15" t="s">
        <v>464</v>
      </c>
      <c r="D153" s="15">
        <v>1</v>
      </c>
      <c r="E153" s="16" t="s">
        <v>414</v>
      </c>
      <c r="F153" s="15">
        <v>5030400</v>
      </c>
      <c r="G153" s="15">
        <v>4100000</v>
      </c>
      <c r="H153" s="17">
        <v>250000</v>
      </c>
      <c r="I153" s="17">
        <v>680400</v>
      </c>
      <c r="J153" s="18" t="s">
        <v>8</v>
      </c>
    </row>
    <row r="154" spans="1:10" x14ac:dyDescent="0.2">
      <c r="A154" s="4" t="s">
        <v>441</v>
      </c>
      <c r="B154" s="15" t="s">
        <v>466</v>
      </c>
      <c r="C154" s="15" t="s">
        <v>467</v>
      </c>
      <c r="D154" s="15">
        <v>1</v>
      </c>
      <c r="E154" s="16" t="s">
        <v>414</v>
      </c>
      <c r="F154" s="15">
        <v>13250400</v>
      </c>
      <c r="G154" s="15">
        <v>12320000</v>
      </c>
      <c r="H154" s="17">
        <v>250000</v>
      </c>
      <c r="I154" s="17">
        <v>680400</v>
      </c>
      <c r="J154" s="18" t="s">
        <v>8</v>
      </c>
    </row>
    <row r="155" spans="1:10" x14ac:dyDescent="0.2">
      <c r="A155" s="4" t="s">
        <v>444</v>
      </c>
      <c r="B155" s="15" t="s">
        <v>469</v>
      </c>
      <c r="C155" s="15" t="s">
        <v>470</v>
      </c>
      <c r="D155" s="15">
        <v>1</v>
      </c>
      <c r="E155" s="16" t="s">
        <v>414</v>
      </c>
      <c r="F155" s="15">
        <v>5030400</v>
      </c>
      <c r="G155" s="15">
        <v>4100000</v>
      </c>
      <c r="H155" s="17">
        <v>250000</v>
      </c>
      <c r="I155" s="17">
        <v>680400</v>
      </c>
      <c r="J155" s="18" t="s">
        <v>8</v>
      </c>
    </row>
    <row r="156" spans="1:10" x14ac:dyDescent="0.2">
      <c r="A156" s="4" t="s">
        <v>447</v>
      </c>
      <c r="B156" s="15" t="s">
        <v>472</v>
      </c>
      <c r="C156" s="15" t="s">
        <v>473</v>
      </c>
      <c r="D156" s="15">
        <v>1</v>
      </c>
      <c r="E156" s="16" t="s">
        <v>414</v>
      </c>
      <c r="F156" s="15">
        <v>6390400</v>
      </c>
      <c r="G156" s="15">
        <v>5460000.0000000009</v>
      </c>
      <c r="H156" s="17">
        <v>250000</v>
      </c>
      <c r="I156" s="17">
        <v>680400</v>
      </c>
      <c r="J156" s="18" t="s">
        <v>8</v>
      </c>
    </row>
    <row r="157" spans="1:10" x14ac:dyDescent="0.2">
      <c r="A157" s="4" t="s">
        <v>450</v>
      </c>
      <c r="B157" s="15" t="s">
        <v>475</v>
      </c>
      <c r="C157" s="15" t="s">
        <v>476</v>
      </c>
      <c r="D157" s="15">
        <v>1</v>
      </c>
      <c r="E157" s="16" t="s">
        <v>414</v>
      </c>
      <c r="F157" s="15">
        <v>6710400</v>
      </c>
      <c r="G157" s="15">
        <v>5780000</v>
      </c>
      <c r="H157" s="17">
        <v>250000</v>
      </c>
      <c r="I157" s="17">
        <v>680400</v>
      </c>
      <c r="J157" s="18" t="s">
        <v>8</v>
      </c>
    </row>
    <row r="158" spans="1:10" x14ac:dyDescent="0.2">
      <c r="A158" s="4" t="s">
        <v>453</v>
      </c>
      <c r="B158" s="15" t="s">
        <v>478</v>
      </c>
      <c r="C158" s="15" t="s">
        <v>479</v>
      </c>
      <c r="D158" s="15">
        <v>1</v>
      </c>
      <c r="E158" s="16" t="s">
        <v>414</v>
      </c>
      <c r="F158" s="15">
        <v>6390400</v>
      </c>
      <c r="G158" s="15">
        <v>5460000.0000000009</v>
      </c>
      <c r="H158" s="17">
        <v>250000</v>
      </c>
      <c r="I158" s="17">
        <v>680400</v>
      </c>
      <c r="J158" s="18" t="s">
        <v>8</v>
      </c>
    </row>
    <row r="159" spans="1:10" x14ac:dyDescent="0.2">
      <c r="A159" s="4" t="s">
        <v>456</v>
      </c>
      <c r="B159" s="15" t="s">
        <v>481</v>
      </c>
      <c r="C159" s="15" t="s">
        <v>482</v>
      </c>
      <c r="D159" s="15">
        <v>1</v>
      </c>
      <c r="E159" s="16" t="s">
        <v>414</v>
      </c>
      <c r="F159" s="15">
        <v>930400</v>
      </c>
      <c r="G159" s="15">
        <v>0</v>
      </c>
      <c r="H159" s="17">
        <v>250000</v>
      </c>
      <c r="I159" s="17">
        <v>680400</v>
      </c>
      <c r="J159" s="18" t="s">
        <v>8</v>
      </c>
    </row>
    <row r="160" spans="1:10" x14ac:dyDescent="0.2">
      <c r="A160" s="4" t="s">
        <v>459</v>
      </c>
      <c r="B160" s="15" t="s">
        <v>484</v>
      </c>
      <c r="C160" s="15" t="s">
        <v>485</v>
      </c>
      <c r="D160" s="15">
        <v>1</v>
      </c>
      <c r="E160" s="16" t="s">
        <v>414</v>
      </c>
      <c r="F160" s="15">
        <v>6710400</v>
      </c>
      <c r="G160" s="15">
        <v>5780000</v>
      </c>
      <c r="H160" s="17">
        <v>250000</v>
      </c>
      <c r="I160" s="17">
        <v>680400</v>
      </c>
      <c r="J160" s="18" t="s">
        <v>8</v>
      </c>
    </row>
    <row r="161" spans="1:10" x14ac:dyDescent="0.2">
      <c r="A161" s="4" t="s">
        <v>462</v>
      </c>
      <c r="B161" s="15" t="s">
        <v>487</v>
      </c>
      <c r="C161" s="15" t="s">
        <v>488</v>
      </c>
      <c r="D161" s="15">
        <v>1</v>
      </c>
      <c r="E161" s="16" t="s">
        <v>414</v>
      </c>
      <c r="F161" s="15">
        <v>930400</v>
      </c>
      <c r="G161" s="15">
        <v>0</v>
      </c>
      <c r="H161" s="17">
        <v>250000</v>
      </c>
      <c r="I161" s="17">
        <v>680400</v>
      </c>
      <c r="J161" s="18" t="s">
        <v>8</v>
      </c>
    </row>
    <row r="162" spans="1:10" x14ac:dyDescent="0.2">
      <c r="A162" s="4" t="s">
        <v>465</v>
      </c>
      <c r="B162" s="15" t="s">
        <v>301</v>
      </c>
      <c r="C162" s="15" t="s">
        <v>302</v>
      </c>
      <c r="D162" s="15">
        <v>2</v>
      </c>
      <c r="E162" s="16" t="s">
        <v>414</v>
      </c>
      <c r="F162" s="15">
        <v>3630400</v>
      </c>
      <c r="G162" s="15">
        <v>2700000</v>
      </c>
      <c r="H162" s="17">
        <v>250000</v>
      </c>
      <c r="I162" s="17">
        <v>680400</v>
      </c>
      <c r="J162" s="18" t="s">
        <v>8</v>
      </c>
    </row>
    <row r="163" spans="1:10" x14ac:dyDescent="0.2">
      <c r="A163" s="4" t="s">
        <v>468</v>
      </c>
      <c r="B163" s="15" t="s">
        <v>491</v>
      </c>
      <c r="C163" s="15" t="s">
        <v>492</v>
      </c>
      <c r="D163" s="15">
        <v>1</v>
      </c>
      <c r="E163" s="16" t="s">
        <v>414</v>
      </c>
      <c r="F163" s="15">
        <v>17310400</v>
      </c>
      <c r="G163" s="15">
        <v>16380000</v>
      </c>
      <c r="H163" s="17">
        <v>250000</v>
      </c>
      <c r="I163" s="17">
        <v>680400</v>
      </c>
      <c r="J163" s="18" t="s">
        <v>8</v>
      </c>
    </row>
    <row r="164" spans="1:10" x14ac:dyDescent="0.2">
      <c r="A164" s="4" t="s">
        <v>471</v>
      </c>
      <c r="B164" s="15" t="s">
        <v>494</v>
      </c>
      <c r="C164" s="15" t="s">
        <v>495</v>
      </c>
      <c r="D164" s="15">
        <v>1</v>
      </c>
      <c r="E164" s="16" t="s">
        <v>414</v>
      </c>
      <c r="F164" s="15">
        <v>5030400</v>
      </c>
      <c r="G164" s="15">
        <v>4100000</v>
      </c>
      <c r="H164" s="17">
        <v>250000</v>
      </c>
      <c r="I164" s="17">
        <v>680400</v>
      </c>
      <c r="J164" s="18" t="s">
        <v>8</v>
      </c>
    </row>
    <row r="165" spans="1:10" x14ac:dyDescent="0.2">
      <c r="A165" s="4" t="s">
        <v>474</v>
      </c>
      <c r="B165" s="15" t="s">
        <v>497</v>
      </c>
      <c r="C165" s="15" t="s">
        <v>498</v>
      </c>
      <c r="D165" s="15">
        <v>1</v>
      </c>
      <c r="E165" s="16" t="s">
        <v>414</v>
      </c>
      <c r="F165" s="15">
        <v>3630400</v>
      </c>
      <c r="G165" s="15">
        <v>2700000</v>
      </c>
      <c r="H165" s="17">
        <v>250000</v>
      </c>
      <c r="I165" s="17">
        <v>680400</v>
      </c>
      <c r="J165" s="18" t="s">
        <v>8</v>
      </c>
    </row>
    <row r="166" spans="1:10" x14ac:dyDescent="0.2">
      <c r="A166" s="4" t="s">
        <v>477</v>
      </c>
      <c r="B166" s="15" t="s">
        <v>500</v>
      </c>
      <c r="C166" s="15" t="s">
        <v>501</v>
      </c>
      <c r="D166" s="15">
        <v>1</v>
      </c>
      <c r="E166" s="16" t="s">
        <v>414</v>
      </c>
      <c r="F166" s="15">
        <v>9370400</v>
      </c>
      <c r="G166" s="15">
        <v>8440000</v>
      </c>
      <c r="H166" s="17">
        <v>250000</v>
      </c>
      <c r="I166" s="17">
        <v>680400</v>
      </c>
      <c r="J166" s="18" t="s">
        <v>8</v>
      </c>
    </row>
    <row r="167" spans="1:10" x14ac:dyDescent="0.2">
      <c r="A167" s="4" t="s">
        <v>480</v>
      </c>
      <c r="B167" s="15" t="s">
        <v>503</v>
      </c>
      <c r="C167" s="15" t="s">
        <v>504</v>
      </c>
      <c r="D167" s="15">
        <v>1</v>
      </c>
      <c r="E167" s="16" t="s">
        <v>414</v>
      </c>
      <c r="F167" s="15">
        <v>930400</v>
      </c>
      <c r="G167" s="15">
        <v>0</v>
      </c>
      <c r="H167" s="17">
        <v>250000</v>
      </c>
      <c r="I167" s="17">
        <v>680400</v>
      </c>
      <c r="J167" s="18" t="s">
        <v>8</v>
      </c>
    </row>
    <row r="168" spans="1:10" x14ac:dyDescent="0.2">
      <c r="A168" s="4" t="s">
        <v>483</v>
      </c>
      <c r="B168" s="15" t="s">
        <v>506</v>
      </c>
      <c r="C168" s="15" t="s">
        <v>507</v>
      </c>
      <c r="D168" s="15">
        <v>1</v>
      </c>
      <c r="E168" s="16" t="s">
        <v>414</v>
      </c>
      <c r="F168" s="15">
        <v>1390400</v>
      </c>
      <c r="G168" s="15">
        <v>460000.00000000093</v>
      </c>
      <c r="H168" s="17">
        <v>250000</v>
      </c>
      <c r="I168" s="17">
        <v>680400</v>
      </c>
      <c r="J168" s="18" t="s">
        <v>8</v>
      </c>
    </row>
    <row r="169" spans="1:10" x14ac:dyDescent="0.2">
      <c r="A169" s="4" t="s">
        <v>486</v>
      </c>
      <c r="B169" s="15" t="s">
        <v>509</v>
      </c>
      <c r="C169" s="15" t="s">
        <v>510</v>
      </c>
      <c r="D169" s="15">
        <v>1</v>
      </c>
      <c r="E169" s="16" t="s">
        <v>414</v>
      </c>
      <c r="F169" s="15">
        <v>8670400</v>
      </c>
      <c r="G169" s="15">
        <v>7740000</v>
      </c>
      <c r="H169" s="17">
        <v>250000</v>
      </c>
      <c r="I169" s="17">
        <v>680400</v>
      </c>
      <c r="J169" s="18" t="s">
        <v>8</v>
      </c>
    </row>
    <row r="170" spans="1:10" x14ac:dyDescent="0.2">
      <c r="A170" s="4" t="s">
        <v>489</v>
      </c>
      <c r="B170" s="15" t="s">
        <v>512</v>
      </c>
      <c r="C170" s="15" t="s">
        <v>513</v>
      </c>
      <c r="D170" s="15">
        <v>1</v>
      </c>
      <c r="E170" s="16" t="s">
        <v>414</v>
      </c>
      <c r="F170" s="15">
        <v>10490400</v>
      </c>
      <c r="G170" s="15">
        <v>9560000</v>
      </c>
      <c r="H170" s="17">
        <v>250000</v>
      </c>
      <c r="I170" s="17">
        <v>680400</v>
      </c>
      <c r="J170" s="18" t="s">
        <v>8</v>
      </c>
    </row>
    <row r="171" spans="1:10" x14ac:dyDescent="0.2">
      <c r="A171" s="4" t="s">
        <v>490</v>
      </c>
      <c r="B171" s="15" t="s">
        <v>515</v>
      </c>
      <c r="C171" s="15" t="s">
        <v>516</v>
      </c>
      <c r="D171" s="15">
        <v>1</v>
      </c>
      <c r="E171" s="16" t="s">
        <v>414</v>
      </c>
      <c r="F171" s="15">
        <v>930400</v>
      </c>
      <c r="G171" s="15">
        <v>0</v>
      </c>
      <c r="H171" s="17">
        <v>250000</v>
      </c>
      <c r="I171" s="17">
        <v>680400</v>
      </c>
      <c r="J171" s="18" t="s">
        <v>8</v>
      </c>
    </row>
    <row r="172" spans="1:10" x14ac:dyDescent="0.2">
      <c r="A172" s="4" t="s">
        <v>493</v>
      </c>
      <c r="B172" s="15" t="s">
        <v>518</v>
      </c>
      <c r="C172" s="15" t="s">
        <v>519</v>
      </c>
      <c r="D172" s="15">
        <v>1</v>
      </c>
      <c r="E172" s="16" t="s">
        <v>414</v>
      </c>
      <c r="F172" s="15">
        <v>1390400</v>
      </c>
      <c r="G172" s="15">
        <v>460000.00000000093</v>
      </c>
      <c r="H172" s="17">
        <v>250000</v>
      </c>
      <c r="I172" s="17">
        <v>680400</v>
      </c>
      <c r="J172" s="18" t="s">
        <v>8</v>
      </c>
    </row>
    <row r="173" spans="1:10" x14ac:dyDescent="0.2">
      <c r="A173" s="4" t="s">
        <v>496</v>
      </c>
      <c r="B173" s="15" t="s">
        <v>521</v>
      </c>
      <c r="C173" s="15" t="s">
        <v>522</v>
      </c>
      <c r="D173" s="15">
        <v>1</v>
      </c>
      <c r="E173" s="16" t="s">
        <v>414</v>
      </c>
      <c r="F173" s="15">
        <v>970400</v>
      </c>
      <c r="G173" s="15">
        <v>40000.000000000931</v>
      </c>
      <c r="H173" s="17">
        <v>250000</v>
      </c>
      <c r="I173" s="17">
        <v>680400</v>
      </c>
      <c r="J173" s="18" t="s">
        <v>8</v>
      </c>
    </row>
    <row r="174" spans="1:10" x14ac:dyDescent="0.2">
      <c r="A174" s="4" t="s">
        <v>499</v>
      </c>
      <c r="B174" s="15" t="s">
        <v>524</v>
      </c>
      <c r="C174" s="15" t="s">
        <v>525</v>
      </c>
      <c r="D174" s="15">
        <v>1</v>
      </c>
      <c r="E174" s="16" t="s">
        <v>414</v>
      </c>
      <c r="F174" s="15">
        <v>5030400</v>
      </c>
      <c r="G174" s="15">
        <v>4100000</v>
      </c>
      <c r="H174" s="17">
        <v>250000</v>
      </c>
      <c r="I174" s="17">
        <v>680400</v>
      </c>
      <c r="J174" s="18" t="s">
        <v>8</v>
      </c>
    </row>
    <row r="175" spans="1:10" x14ac:dyDescent="0.2">
      <c r="A175" s="4" t="s">
        <v>502</v>
      </c>
      <c r="B175" s="15" t="s">
        <v>416</v>
      </c>
      <c r="C175" s="15" t="s">
        <v>417</v>
      </c>
      <c r="D175" s="15">
        <v>2</v>
      </c>
      <c r="E175" s="16" t="s">
        <v>414</v>
      </c>
      <c r="F175" s="15">
        <v>400</v>
      </c>
      <c r="G175" s="15">
        <v>0</v>
      </c>
      <c r="H175" s="17">
        <v>0</v>
      </c>
      <c r="I175" s="17">
        <v>400</v>
      </c>
      <c r="J175" s="18" t="s">
        <v>8</v>
      </c>
    </row>
    <row r="176" spans="1:10" x14ac:dyDescent="0.2">
      <c r="A176" s="4" t="s">
        <v>505</v>
      </c>
      <c r="B176" s="15" t="s">
        <v>528</v>
      </c>
      <c r="C176" s="15" t="s">
        <v>529</v>
      </c>
      <c r="D176" s="15">
        <v>1</v>
      </c>
      <c r="E176" s="16" t="s">
        <v>414</v>
      </c>
      <c r="F176" s="15">
        <v>8670400</v>
      </c>
      <c r="G176" s="15">
        <v>7740000</v>
      </c>
      <c r="H176" s="17">
        <v>250000</v>
      </c>
      <c r="I176" s="17">
        <v>680400</v>
      </c>
      <c r="J176" s="18" t="s">
        <v>8</v>
      </c>
    </row>
    <row r="177" spans="1:10" x14ac:dyDescent="0.2">
      <c r="A177" s="4" t="s">
        <v>508</v>
      </c>
      <c r="B177" s="15" t="s">
        <v>531</v>
      </c>
      <c r="C177" s="15" t="s">
        <v>532</v>
      </c>
      <c r="D177" s="15">
        <v>1</v>
      </c>
      <c r="E177" s="16" t="s">
        <v>414</v>
      </c>
      <c r="F177" s="15">
        <v>4330400</v>
      </c>
      <c r="G177" s="15">
        <v>3400000</v>
      </c>
      <c r="H177" s="17">
        <v>250000</v>
      </c>
      <c r="I177" s="17">
        <v>680400</v>
      </c>
      <c r="J177" s="18" t="s">
        <v>8</v>
      </c>
    </row>
    <row r="178" spans="1:10" x14ac:dyDescent="0.2">
      <c r="A178" s="4" t="s">
        <v>511</v>
      </c>
      <c r="B178" s="15" t="s">
        <v>534</v>
      </c>
      <c r="C178" s="15" t="s">
        <v>535</v>
      </c>
      <c r="D178" s="15">
        <v>1</v>
      </c>
      <c r="E178" s="16" t="s">
        <v>414</v>
      </c>
      <c r="F178" s="15">
        <v>1390400</v>
      </c>
      <c r="G178" s="15">
        <v>460000.00000000093</v>
      </c>
      <c r="H178" s="17">
        <v>250000</v>
      </c>
      <c r="I178" s="17">
        <v>680400</v>
      </c>
      <c r="J178" s="18" t="s">
        <v>8</v>
      </c>
    </row>
    <row r="179" spans="1:10" x14ac:dyDescent="0.2">
      <c r="A179" s="4" t="s">
        <v>514</v>
      </c>
      <c r="B179" s="15" t="s">
        <v>537</v>
      </c>
      <c r="C179" s="15" t="s">
        <v>538</v>
      </c>
      <c r="D179" s="15">
        <v>1</v>
      </c>
      <c r="E179" s="16" t="s">
        <v>414</v>
      </c>
      <c r="F179" s="15">
        <v>10490400</v>
      </c>
      <c r="G179" s="15">
        <v>9560000</v>
      </c>
      <c r="H179" s="17">
        <v>250000</v>
      </c>
      <c r="I179" s="17">
        <v>680400</v>
      </c>
      <c r="J179" s="18" t="s">
        <v>8</v>
      </c>
    </row>
    <row r="180" spans="1:10" x14ac:dyDescent="0.2">
      <c r="A180" s="4" t="s">
        <v>517</v>
      </c>
      <c r="B180" s="15" t="s">
        <v>540</v>
      </c>
      <c r="C180" s="15" t="s">
        <v>541</v>
      </c>
      <c r="D180" s="15">
        <v>1</v>
      </c>
      <c r="E180" s="16" t="s">
        <v>414</v>
      </c>
      <c r="F180" s="15">
        <v>17730400</v>
      </c>
      <c r="G180" s="15">
        <v>16800000</v>
      </c>
      <c r="H180" s="17">
        <v>250000</v>
      </c>
      <c r="I180" s="17">
        <v>680400</v>
      </c>
      <c r="J180" s="18" t="s">
        <v>8</v>
      </c>
    </row>
    <row r="181" spans="1:10" x14ac:dyDescent="0.2">
      <c r="A181" s="4" t="s">
        <v>520</v>
      </c>
      <c r="B181" s="15" t="s">
        <v>543</v>
      </c>
      <c r="C181" s="15" t="s">
        <v>544</v>
      </c>
      <c r="D181" s="15">
        <v>1</v>
      </c>
      <c r="E181" s="16" t="s">
        <v>414</v>
      </c>
      <c r="F181" s="15">
        <v>17731000</v>
      </c>
      <c r="G181" s="15">
        <v>16800600</v>
      </c>
      <c r="H181" s="17">
        <v>250000</v>
      </c>
      <c r="I181" s="17">
        <v>680400</v>
      </c>
      <c r="J181" s="18" t="s">
        <v>8</v>
      </c>
    </row>
    <row r="182" spans="1:10" x14ac:dyDescent="0.2">
      <c r="A182" s="4" t="s">
        <v>523</v>
      </c>
      <c r="B182" s="15" t="s">
        <v>546</v>
      </c>
      <c r="C182" s="15" t="s">
        <v>547</v>
      </c>
      <c r="D182" s="15">
        <v>1</v>
      </c>
      <c r="E182" s="16" t="s">
        <v>414</v>
      </c>
      <c r="F182" s="15">
        <v>7690400</v>
      </c>
      <c r="G182" s="15">
        <v>6760000</v>
      </c>
      <c r="H182" s="17">
        <v>250000</v>
      </c>
      <c r="I182" s="17">
        <v>680400</v>
      </c>
      <c r="J182" s="18" t="s">
        <v>8</v>
      </c>
    </row>
    <row r="183" spans="1:10" x14ac:dyDescent="0.2">
      <c r="A183" s="4" t="s">
        <v>526</v>
      </c>
      <c r="B183" s="15" t="s">
        <v>549</v>
      </c>
      <c r="C183" s="15" t="s">
        <v>550</v>
      </c>
      <c r="D183" s="15">
        <v>1</v>
      </c>
      <c r="E183" s="16" t="s">
        <v>414</v>
      </c>
      <c r="F183" s="15">
        <v>8670400</v>
      </c>
      <c r="G183" s="15">
        <v>7740000</v>
      </c>
      <c r="H183" s="17">
        <v>250000</v>
      </c>
      <c r="I183" s="17">
        <v>680400</v>
      </c>
      <c r="J183" s="18" t="s">
        <v>8</v>
      </c>
    </row>
    <row r="184" spans="1:10" x14ac:dyDescent="0.2">
      <c r="A184" s="4" t="s">
        <v>527</v>
      </c>
      <c r="B184" s="15" t="s">
        <v>552</v>
      </c>
      <c r="C184" s="15" t="s">
        <v>553</v>
      </c>
      <c r="D184" s="15">
        <v>1</v>
      </c>
      <c r="E184" s="16" t="s">
        <v>414</v>
      </c>
      <c r="F184" s="15">
        <v>1390400</v>
      </c>
      <c r="G184" s="15">
        <v>460000.00000000093</v>
      </c>
      <c r="H184" s="17">
        <v>250000</v>
      </c>
      <c r="I184" s="17">
        <v>680400</v>
      </c>
      <c r="J184" s="18" t="s">
        <v>8</v>
      </c>
    </row>
    <row r="185" spans="1:10" x14ac:dyDescent="0.2">
      <c r="A185" s="4" t="s">
        <v>530</v>
      </c>
      <c r="B185" s="15" t="s">
        <v>555</v>
      </c>
      <c r="C185" s="15" t="s">
        <v>556</v>
      </c>
      <c r="D185" s="15">
        <v>1</v>
      </c>
      <c r="E185" s="16" t="s">
        <v>414</v>
      </c>
      <c r="F185" s="15">
        <v>930400</v>
      </c>
      <c r="G185" s="15">
        <v>0</v>
      </c>
      <c r="H185" s="17">
        <v>250000</v>
      </c>
      <c r="I185" s="17">
        <v>680400</v>
      </c>
      <c r="J185" s="18" t="s">
        <v>8</v>
      </c>
    </row>
    <row r="186" spans="1:10" x14ac:dyDescent="0.2">
      <c r="A186" s="4" t="s">
        <v>533</v>
      </c>
      <c r="B186" s="15" t="s">
        <v>558</v>
      </c>
      <c r="C186" s="15" t="s">
        <v>559</v>
      </c>
      <c r="D186" s="15">
        <v>1</v>
      </c>
      <c r="E186" s="16" t="s">
        <v>414</v>
      </c>
      <c r="F186" s="15">
        <v>1390400</v>
      </c>
      <c r="G186" s="15">
        <v>460000.00000000093</v>
      </c>
      <c r="H186" s="17">
        <v>250000</v>
      </c>
      <c r="I186" s="17">
        <v>680400</v>
      </c>
      <c r="J186" s="18" t="s">
        <v>8</v>
      </c>
    </row>
    <row r="187" spans="1:10" x14ac:dyDescent="0.2">
      <c r="A187" s="4" t="s">
        <v>536</v>
      </c>
      <c r="B187" s="15" t="s">
        <v>561</v>
      </c>
      <c r="C187" s="15" t="s">
        <v>562</v>
      </c>
      <c r="D187" s="15">
        <v>1</v>
      </c>
      <c r="E187" s="16" t="s">
        <v>414</v>
      </c>
      <c r="F187" s="15">
        <v>10490400</v>
      </c>
      <c r="G187" s="15">
        <v>9560000</v>
      </c>
      <c r="H187" s="17">
        <v>250000</v>
      </c>
      <c r="I187" s="17">
        <v>680400</v>
      </c>
      <c r="J187" s="18" t="s">
        <v>8</v>
      </c>
    </row>
    <row r="188" spans="1:10" x14ac:dyDescent="0.2">
      <c r="A188" s="4" t="s">
        <v>539</v>
      </c>
      <c r="B188" s="15" t="s">
        <v>564</v>
      </c>
      <c r="C188" s="15" t="s">
        <v>565</v>
      </c>
      <c r="D188" s="15">
        <v>1</v>
      </c>
      <c r="E188" s="16" t="s">
        <v>414</v>
      </c>
      <c r="F188" s="15">
        <v>8670400</v>
      </c>
      <c r="G188" s="15">
        <v>7740000</v>
      </c>
      <c r="H188" s="17">
        <v>250000</v>
      </c>
      <c r="I188" s="17">
        <v>680400</v>
      </c>
      <c r="J188" s="18" t="s">
        <v>8</v>
      </c>
    </row>
    <row r="189" spans="1:10" x14ac:dyDescent="0.2">
      <c r="A189" s="4" t="s">
        <v>542</v>
      </c>
      <c r="B189" s="15" t="s">
        <v>567</v>
      </c>
      <c r="C189" s="15" t="s">
        <v>568</v>
      </c>
      <c r="D189" s="15">
        <v>1</v>
      </c>
      <c r="E189" s="16" t="s">
        <v>414</v>
      </c>
      <c r="F189" s="15">
        <v>6710400</v>
      </c>
      <c r="G189" s="15">
        <v>5780000</v>
      </c>
      <c r="H189" s="17">
        <v>250000</v>
      </c>
      <c r="I189" s="17">
        <v>680400</v>
      </c>
      <c r="J189" s="18" t="s">
        <v>8</v>
      </c>
    </row>
    <row r="190" spans="1:10" x14ac:dyDescent="0.2">
      <c r="A190" s="4" t="s">
        <v>545</v>
      </c>
      <c r="B190" s="15" t="s">
        <v>570</v>
      </c>
      <c r="C190" s="15" t="s">
        <v>571</v>
      </c>
      <c r="D190" s="15">
        <v>1</v>
      </c>
      <c r="E190" s="16" t="s">
        <v>414</v>
      </c>
      <c r="F190" s="15">
        <v>7690400</v>
      </c>
      <c r="G190" s="15">
        <v>6760000</v>
      </c>
      <c r="H190" s="17">
        <v>250000</v>
      </c>
      <c r="I190" s="17">
        <v>680400</v>
      </c>
      <c r="J190" s="18" t="s">
        <v>8</v>
      </c>
    </row>
    <row r="191" spans="1:10" x14ac:dyDescent="0.2">
      <c r="A191" s="4" t="s">
        <v>548</v>
      </c>
      <c r="B191" s="15" t="s">
        <v>573</v>
      </c>
      <c r="C191" s="15" t="s">
        <v>398</v>
      </c>
      <c r="D191" s="15">
        <v>1</v>
      </c>
      <c r="E191" s="16" t="s">
        <v>414</v>
      </c>
      <c r="F191" s="15">
        <v>930400</v>
      </c>
      <c r="G191" s="15">
        <v>0</v>
      </c>
      <c r="H191" s="17">
        <v>250000</v>
      </c>
      <c r="I191" s="17">
        <v>680400</v>
      </c>
      <c r="J191" s="18" t="s">
        <v>8</v>
      </c>
    </row>
    <row r="192" spans="1:10" x14ac:dyDescent="0.2">
      <c r="A192" s="4" t="s">
        <v>551</v>
      </c>
      <c r="B192" s="15" t="s">
        <v>575</v>
      </c>
      <c r="C192" s="15" t="s">
        <v>576</v>
      </c>
      <c r="D192" s="15">
        <v>1</v>
      </c>
      <c r="E192" s="16" t="s">
        <v>414</v>
      </c>
      <c r="F192" s="15">
        <v>14370400</v>
      </c>
      <c r="G192" s="15">
        <v>13440000</v>
      </c>
      <c r="H192" s="17">
        <v>250000</v>
      </c>
      <c r="I192" s="17">
        <v>680400</v>
      </c>
      <c r="J192" s="18" t="s">
        <v>8</v>
      </c>
    </row>
    <row r="193" spans="1:10" x14ac:dyDescent="0.2">
      <c r="A193" s="4" t="s">
        <v>554</v>
      </c>
      <c r="B193" s="15" t="s">
        <v>578</v>
      </c>
      <c r="C193" s="15" t="s">
        <v>579</v>
      </c>
      <c r="D193" s="15">
        <v>1</v>
      </c>
      <c r="E193" s="16" t="s">
        <v>414</v>
      </c>
      <c r="F193" s="15">
        <v>13250400</v>
      </c>
      <c r="G193" s="15">
        <v>12320000</v>
      </c>
      <c r="H193" s="17">
        <v>250000</v>
      </c>
      <c r="I193" s="17">
        <v>680400</v>
      </c>
      <c r="J193" s="18" t="s">
        <v>8</v>
      </c>
    </row>
    <row r="194" spans="1:10" x14ac:dyDescent="0.2">
      <c r="A194" s="4" t="s">
        <v>557</v>
      </c>
      <c r="B194" s="15" t="s">
        <v>581</v>
      </c>
      <c r="C194" s="15" t="s">
        <v>582</v>
      </c>
      <c r="D194" s="15">
        <v>1</v>
      </c>
      <c r="E194" s="16" t="s">
        <v>414</v>
      </c>
      <c r="F194" s="15">
        <v>7690400</v>
      </c>
      <c r="G194" s="15">
        <v>6760000</v>
      </c>
      <c r="H194" s="17">
        <v>250000</v>
      </c>
      <c r="I194" s="17">
        <v>680400</v>
      </c>
      <c r="J194" s="18" t="s">
        <v>8</v>
      </c>
    </row>
    <row r="195" spans="1:10" x14ac:dyDescent="0.2">
      <c r="A195" s="4" t="s">
        <v>560</v>
      </c>
      <c r="B195" s="15" t="s">
        <v>584</v>
      </c>
      <c r="C195" s="15" t="s">
        <v>585</v>
      </c>
      <c r="D195" s="15">
        <v>1</v>
      </c>
      <c r="E195" s="16" t="s">
        <v>414</v>
      </c>
      <c r="F195" s="15">
        <v>15490400</v>
      </c>
      <c r="G195" s="15">
        <v>14560000</v>
      </c>
      <c r="H195" s="17">
        <v>250000</v>
      </c>
      <c r="I195" s="17">
        <v>680400</v>
      </c>
      <c r="J195" s="18" t="s">
        <v>8</v>
      </c>
    </row>
    <row r="196" spans="1:10" x14ac:dyDescent="0.2">
      <c r="A196" s="4" t="s">
        <v>563</v>
      </c>
      <c r="B196" s="15" t="s">
        <v>587</v>
      </c>
      <c r="C196" s="15" t="s">
        <v>588</v>
      </c>
      <c r="D196" s="15">
        <v>1</v>
      </c>
      <c r="E196" s="16" t="s">
        <v>414</v>
      </c>
      <c r="F196" s="15">
        <v>3635000</v>
      </c>
      <c r="G196" s="15">
        <v>2704600</v>
      </c>
      <c r="H196" s="17">
        <v>250000</v>
      </c>
      <c r="I196" s="17">
        <v>680400</v>
      </c>
      <c r="J196" s="18" t="s">
        <v>8</v>
      </c>
    </row>
    <row r="197" spans="1:10" x14ac:dyDescent="0.2">
      <c r="A197" s="4" t="s">
        <v>566</v>
      </c>
      <c r="B197" s="15" t="s">
        <v>590</v>
      </c>
      <c r="C197" s="15" t="s">
        <v>591</v>
      </c>
      <c r="D197" s="15">
        <v>1</v>
      </c>
      <c r="E197" s="16" t="s">
        <v>414</v>
      </c>
      <c r="F197" s="15">
        <v>10490400</v>
      </c>
      <c r="G197" s="15">
        <v>9560000</v>
      </c>
      <c r="H197" s="17">
        <v>250000</v>
      </c>
      <c r="I197" s="17">
        <v>680400</v>
      </c>
      <c r="J197" s="18" t="s">
        <v>8</v>
      </c>
    </row>
    <row r="198" spans="1:10" x14ac:dyDescent="0.2">
      <c r="A198" s="4" t="s">
        <v>569</v>
      </c>
      <c r="B198" s="15" t="s">
        <v>593</v>
      </c>
      <c r="C198" s="15" t="s">
        <v>594</v>
      </c>
      <c r="D198" s="15">
        <v>1</v>
      </c>
      <c r="E198" s="16" t="s">
        <v>414</v>
      </c>
      <c r="F198" s="15">
        <v>15490400</v>
      </c>
      <c r="G198" s="15">
        <v>14560000</v>
      </c>
      <c r="H198" s="17">
        <v>250000</v>
      </c>
      <c r="I198" s="17">
        <v>680400</v>
      </c>
      <c r="J198" s="18" t="s">
        <v>8</v>
      </c>
    </row>
    <row r="199" spans="1:10" x14ac:dyDescent="0.2">
      <c r="A199" s="4" t="s">
        <v>572</v>
      </c>
      <c r="B199" s="15" t="s">
        <v>596</v>
      </c>
      <c r="C199" s="15" t="s">
        <v>597</v>
      </c>
      <c r="D199" s="15">
        <v>1</v>
      </c>
      <c r="E199" s="16" t="s">
        <v>414</v>
      </c>
      <c r="F199" s="15">
        <v>9370400</v>
      </c>
      <c r="G199" s="15">
        <v>8440000</v>
      </c>
      <c r="H199" s="17">
        <v>250000</v>
      </c>
      <c r="I199" s="17">
        <v>680400</v>
      </c>
      <c r="J199" s="18" t="s">
        <v>8</v>
      </c>
    </row>
    <row r="200" spans="1:10" x14ac:dyDescent="0.2">
      <c r="A200" s="4" t="s">
        <v>574</v>
      </c>
      <c r="B200" s="15" t="s">
        <v>599</v>
      </c>
      <c r="C200" s="15" t="s">
        <v>600</v>
      </c>
      <c r="D200" s="15">
        <v>1</v>
      </c>
      <c r="E200" s="16" t="s">
        <v>414</v>
      </c>
      <c r="F200" s="15">
        <v>930400</v>
      </c>
      <c r="G200" s="15">
        <v>0</v>
      </c>
      <c r="H200" s="17">
        <v>250000</v>
      </c>
      <c r="I200" s="17">
        <v>680400</v>
      </c>
      <c r="J200" s="18" t="s">
        <v>8</v>
      </c>
    </row>
    <row r="201" spans="1:10" x14ac:dyDescent="0.2">
      <c r="A201" s="4" t="s">
        <v>2007</v>
      </c>
      <c r="B201" s="15" t="s">
        <v>602</v>
      </c>
      <c r="C201" s="15" t="s">
        <v>603</v>
      </c>
      <c r="D201" s="15">
        <v>1</v>
      </c>
      <c r="E201" s="16" t="s">
        <v>414</v>
      </c>
      <c r="F201" s="15">
        <v>3630400</v>
      </c>
      <c r="G201" s="15">
        <v>2700000</v>
      </c>
      <c r="H201" s="17">
        <v>250000</v>
      </c>
      <c r="I201" s="17">
        <v>680400</v>
      </c>
      <c r="J201" s="18" t="s">
        <v>8</v>
      </c>
    </row>
    <row r="202" spans="1:10" x14ac:dyDescent="0.2">
      <c r="A202" s="4" t="s">
        <v>577</v>
      </c>
      <c r="B202" s="15" t="s">
        <v>605</v>
      </c>
      <c r="C202" s="15" t="s">
        <v>606</v>
      </c>
      <c r="D202" s="15">
        <v>1</v>
      </c>
      <c r="E202" s="16" t="s">
        <v>414</v>
      </c>
      <c r="F202" s="15">
        <v>5030400</v>
      </c>
      <c r="G202" s="15">
        <v>4100000</v>
      </c>
      <c r="H202" s="17">
        <v>250000</v>
      </c>
      <c r="I202" s="17">
        <v>680400</v>
      </c>
      <c r="J202" s="18" t="s">
        <v>8</v>
      </c>
    </row>
    <row r="203" spans="1:10" x14ac:dyDescent="0.2">
      <c r="A203" s="4" t="s">
        <v>580</v>
      </c>
      <c r="B203" s="15" t="s">
        <v>608</v>
      </c>
      <c r="C203" s="15" t="s">
        <v>609</v>
      </c>
      <c r="D203" s="15">
        <v>1</v>
      </c>
      <c r="E203" s="16" t="s">
        <v>414</v>
      </c>
      <c r="F203" s="15">
        <v>930400</v>
      </c>
      <c r="G203" s="15">
        <v>0</v>
      </c>
      <c r="H203" s="17">
        <v>250000</v>
      </c>
      <c r="I203" s="17">
        <v>680400</v>
      </c>
      <c r="J203" s="18" t="s">
        <v>8</v>
      </c>
    </row>
    <row r="204" spans="1:10" x14ac:dyDescent="0.2">
      <c r="A204" s="4" t="s">
        <v>583</v>
      </c>
      <c r="B204" s="15" t="s">
        <v>611</v>
      </c>
      <c r="C204" s="15" t="s">
        <v>191</v>
      </c>
      <c r="D204" s="15">
        <v>1</v>
      </c>
      <c r="E204" s="16" t="s">
        <v>414</v>
      </c>
      <c r="F204" s="15">
        <v>930400</v>
      </c>
      <c r="G204" s="15">
        <v>0</v>
      </c>
      <c r="H204" s="17">
        <v>250000</v>
      </c>
      <c r="I204" s="17">
        <v>680400</v>
      </c>
      <c r="J204" s="18" t="s">
        <v>8</v>
      </c>
    </row>
    <row r="205" spans="1:10" x14ac:dyDescent="0.2">
      <c r="A205" s="4" t="s">
        <v>586</v>
      </c>
      <c r="B205" s="15" t="s">
        <v>613</v>
      </c>
      <c r="C205" s="15" t="s">
        <v>614</v>
      </c>
      <c r="D205" s="15">
        <v>1</v>
      </c>
      <c r="E205" s="16" t="s">
        <v>414</v>
      </c>
      <c r="F205" s="15">
        <v>550400</v>
      </c>
      <c r="G205" s="15">
        <v>0</v>
      </c>
      <c r="H205" s="17">
        <v>250000</v>
      </c>
      <c r="I205" s="17">
        <v>300400</v>
      </c>
      <c r="J205" s="18" t="s">
        <v>8</v>
      </c>
    </row>
    <row r="206" spans="1:10" x14ac:dyDescent="0.2">
      <c r="A206" s="4" t="s">
        <v>2008</v>
      </c>
      <c r="B206" s="15" t="s">
        <v>616</v>
      </c>
      <c r="C206" s="15" t="s">
        <v>617</v>
      </c>
      <c r="D206" s="15">
        <v>1</v>
      </c>
      <c r="E206" s="16" t="s">
        <v>414</v>
      </c>
      <c r="F206" s="15">
        <v>3630400</v>
      </c>
      <c r="G206" s="15">
        <v>2700000</v>
      </c>
      <c r="H206" s="17">
        <v>250000</v>
      </c>
      <c r="I206" s="17">
        <v>680400</v>
      </c>
      <c r="J206" s="18" t="s">
        <v>8</v>
      </c>
    </row>
    <row r="207" spans="1:10" x14ac:dyDescent="0.2">
      <c r="A207" s="4" t="s">
        <v>589</v>
      </c>
      <c r="B207" s="15" t="s">
        <v>619</v>
      </c>
      <c r="C207" s="15" t="s">
        <v>620</v>
      </c>
      <c r="D207" s="15">
        <v>1</v>
      </c>
      <c r="E207" s="16" t="s">
        <v>414</v>
      </c>
      <c r="F207" s="15">
        <v>5030400</v>
      </c>
      <c r="G207" s="15">
        <v>4100000</v>
      </c>
      <c r="H207" s="17">
        <v>250000</v>
      </c>
      <c r="I207" s="17">
        <v>680400</v>
      </c>
      <c r="J207" s="18" t="s">
        <v>8</v>
      </c>
    </row>
    <row r="208" spans="1:10" x14ac:dyDescent="0.2">
      <c r="A208" s="4" t="s">
        <v>592</v>
      </c>
      <c r="B208" s="15" t="s">
        <v>622</v>
      </c>
      <c r="C208" s="15" t="s">
        <v>623</v>
      </c>
      <c r="D208" s="15">
        <v>1</v>
      </c>
      <c r="E208" s="16" t="s">
        <v>414</v>
      </c>
      <c r="F208" s="15">
        <v>8670400</v>
      </c>
      <c r="G208" s="15">
        <v>7740000</v>
      </c>
      <c r="H208" s="17">
        <v>250000</v>
      </c>
      <c r="I208" s="17">
        <v>680400</v>
      </c>
      <c r="J208" s="18" t="s">
        <v>8</v>
      </c>
    </row>
    <row r="209" spans="1:10" x14ac:dyDescent="0.2">
      <c r="A209" s="4" t="s">
        <v>595</v>
      </c>
      <c r="B209" s="15" t="s">
        <v>625</v>
      </c>
      <c r="C209" s="15" t="s">
        <v>626</v>
      </c>
      <c r="D209" s="15">
        <v>1</v>
      </c>
      <c r="E209" s="16" t="s">
        <v>414</v>
      </c>
      <c r="F209" s="15">
        <v>10490400</v>
      </c>
      <c r="G209" s="15">
        <v>9560000</v>
      </c>
      <c r="H209" s="17">
        <v>250000</v>
      </c>
      <c r="I209" s="17">
        <v>680400</v>
      </c>
      <c r="J209" s="18" t="s">
        <v>8</v>
      </c>
    </row>
    <row r="210" spans="1:10" x14ac:dyDescent="0.2">
      <c r="A210" s="4" t="s">
        <v>598</v>
      </c>
      <c r="B210" s="15" t="s">
        <v>628</v>
      </c>
      <c r="C210" s="15" t="s">
        <v>629</v>
      </c>
      <c r="D210" s="15">
        <v>1</v>
      </c>
      <c r="E210" s="16" t="s">
        <v>414</v>
      </c>
      <c r="F210" s="15">
        <v>16050400</v>
      </c>
      <c r="G210" s="15">
        <v>15120000</v>
      </c>
      <c r="H210" s="17">
        <v>250000</v>
      </c>
      <c r="I210" s="17">
        <v>680400</v>
      </c>
      <c r="J210" s="18" t="s">
        <v>8</v>
      </c>
    </row>
    <row r="211" spans="1:10" x14ac:dyDescent="0.2">
      <c r="A211" s="4" t="s">
        <v>601</v>
      </c>
      <c r="B211" s="15" t="s">
        <v>631</v>
      </c>
      <c r="C211" s="15" t="s">
        <v>632</v>
      </c>
      <c r="D211" s="15">
        <v>1</v>
      </c>
      <c r="E211" s="16" t="s">
        <v>414</v>
      </c>
      <c r="F211" s="15">
        <v>5030400</v>
      </c>
      <c r="G211" s="15">
        <v>4100000</v>
      </c>
      <c r="H211" s="17">
        <v>250000</v>
      </c>
      <c r="I211" s="17">
        <v>680400</v>
      </c>
      <c r="J211" s="18" t="s">
        <v>8</v>
      </c>
    </row>
    <row r="212" spans="1:10" x14ac:dyDescent="0.2">
      <c r="A212" s="4" t="s">
        <v>604</v>
      </c>
      <c r="B212" s="15" t="s">
        <v>634</v>
      </c>
      <c r="C212" s="15" t="s">
        <v>635</v>
      </c>
      <c r="D212" s="15">
        <v>1</v>
      </c>
      <c r="E212" s="16" t="s">
        <v>414</v>
      </c>
      <c r="F212" s="15">
        <v>8250400</v>
      </c>
      <c r="G212" s="15">
        <v>7320000</v>
      </c>
      <c r="H212" s="17">
        <v>250000</v>
      </c>
      <c r="I212" s="17">
        <v>680400</v>
      </c>
      <c r="J212" s="18" t="s">
        <v>8</v>
      </c>
    </row>
    <row r="213" spans="1:10" x14ac:dyDescent="0.2">
      <c r="A213" s="4" t="s">
        <v>607</v>
      </c>
      <c r="B213" s="15" t="s">
        <v>637</v>
      </c>
      <c r="C213" s="15" t="s">
        <v>638</v>
      </c>
      <c r="D213" s="15">
        <v>1</v>
      </c>
      <c r="E213" s="16" t="s">
        <v>414</v>
      </c>
      <c r="F213" s="15">
        <v>14790000</v>
      </c>
      <c r="G213" s="15">
        <v>13860000</v>
      </c>
      <c r="H213" s="17">
        <v>250000</v>
      </c>
      <c r="I213" s="17">
        <v>680000</v>
      </c>
      <c r="J213" s="18" t="s">
        <v>8</v>
      </c>
    </row>
    <row r="214" spans="1:10" x14ac:dyDescent="0.2">
      <c r="A214" s="4" t="s">
        <v>610</v>
      </c>
      <c r="B214" s="15" t="s">
        <v>640</v>
      </c>
      <c r="C214" s="15" t="s">
        <v>641</v>
      </c>
      <c r="D214" s="15">
        <v>1</v>
      </c>
      <c r="E214" s="16" t="s">
        <v>414</v>
      </c>
      <c r="F214" s="15">
        <v>8670400</v>
      </c>
      <c r="G214" s="15">
        <v>7740000</v>
      </c>
      <c r="H214" s="17">
        <v>250000</v>
      </c>
      <c r="I214" s="17">
        <v>680400</v>
      </c>
      <c r="J214" s="18" t="s">
        <v>8</v>
      </c>
    </row>
    <row r="215" spans="1:10" x14ac:dyDescent="0.2">
      <c r="A215" s="4" t="s">
        <v>612</v>
      </c>
      <c r="B215" s="15" t="s">
        <v>643</v>
      </c>
      <c r="C215" s="15" t="s">
        <v>644</v>
      </c>
      <c r="D215" s="15">
        <v>1</v>
      </c>
      <c r="E215" s="16" t="s">
        <v>414</v>
      </c>
      <c r="F215" s="15">
        <v>4330400</v>
      </c>
      <c r="G215" s="15">
        <v>3400000</v>
      </c>
      <c r="H215" s="17">
        <v>250000</v>
      </c>
      <c r="I215" s="17">
        <v>680400</v>
      </c>
      <c r="J215" s="18" t="s">
        <v>8</v>
      </c>
    </row>
    <row r="216" spans="1:10" x14ac:dyDescent="0.2">
      <c r="A216" s="4" t="s">
        <v>615</v>
      </c>
      <c r="B216" s="15" t="s">
        <v>646</v>
      </c>
      <c r="C216" s="15" t="s">
        <v>647</v>
      </c>
      <c r="D216" s="15">
        <v>1</v>
      </c>
      <c r="E216" s="16" t="s">
        <v>414</v>
      </c>
      <c r="F216" s="15">
        <v>1390400</v>
      </c>
      <c r="G216" s="15">
        <v>460000.00000000093</v>
      </c>
      <c r="H216" s="17">
        <v>250000</v>
      </c>
      <c r="I216" s="17">
        <v>680400</v>
      </c>
      <c r="J216" s="18" t="s">
        <v>8</v>
      </c>
    </row>
    <row r="217" spans="1:10" x14ac:dyDescent="0.2">
      <c r="A217" s="4" t="s">
        <v>618</v>
      </c>
      <c r="B217" s="15" t="s">
        <v>649</v>
      </c>
      <c r="C217" s="15" t="s">
        <v>650</v>
      </c>
      <c r="D217" s="15">
        <v>1</v>
      </c>
      <c r="E217" s="16" t="s">
        <v>414</v>
      </c>
      <c r="F217" s="15">
        <v>7690400</v>
      </c>
      <c r="G217" s="15">
        <v>6760000</v>
      </c>
      <c r="H217" s="17">
        <v>250000</v>
      </c>
      <c r="I217" s="17">
        <v>680400</v>
      </c>
      <c r="J217" s="18" t="s">
        <v>8</v>
      </c>
    </row>
    <row r="218" spans="1:10" x14ac:dyDescent="0.2">
      <c r="A218" s="4" t="s">
        <v>621</v>
      </c>
      <c r="B218" s="15" t="s">
        <v>652</v>
      </c>
      <c r="C218" s="15" t="s">
        <v>653</v>
      </c>
      <c r="D218" s="15">
        <v>1</v>
      </c>
      <c r="E218" s="16" t="s">
        <v>414</v>
      </c>
      <c r="F218" s="15">
        <v>8670400</v>
      </c>
      <c r="G218" s="15">
        <v>7740000</v>
      </c>
      <c r="H218" s="17">
        <v>250000</v>
      </c>
      <c r="I218" s="17">
        <v>680400</v>
      </c>
      <c r="J218" s="18" t="s">
        <v>8</v>
      </c>
    </row>
    <row r="219" spans="1:10" x14ac:dyDescent="0.2">
      <c r="A219" s="4" t="s">
        <v>624</v>
      </c>
      <c r="B219" s="15" t="s">
        <v>655</v>
      </c>
      <c r="C219" s="15" t="s">
        <v>488</v>
      </c>
      <c r="D219" s="15">
        <v>1</v>
      </c>
      <c r="E219" s="16" t="s">
        <v>414</v>
      </c>
      <c r="F219" s="15">
        <v>5031000</v>
      </c>
      <c r="G219" s="15">
        <v>4100600</v>
      </c>
      <c r="H219" s="17">
        <v>250000</v>
      </c>
      <c r="I219" s="17">
        <v>680400</v>
      </c>
      <c r="J219" s="18" t="s">
        <v>8</v>
      </c>
    </row>
    <row r="220" spans="1:10" x14ac:dyDescent="0.2">
      <c r="A220" s="4" t="s">
        <v>627</v>
      </c>
      <c r="B220" s="15" t="s">
        <v>657</v>
      </c>
      <c r="C220" s="15" t="s">
        <v>658</v>
      </c>
      <c r="D220" s="15">
        <v>1</v>
      </c>
      <c r="E220" s="16" t="s">
        <v>414</v>
      </c>
      <c r="F220" s="15">
        <v>1390400</v>
      </c>
      <c r="G220" s="15">
        <v>460000.00000000093</v>
      </c>
      <c r="H220" s="17">
        <v>250000</v>
      </c>
      <c r="I220" s="17">
        <v>680400</v>
      </c>
      <c r="J220" s="18" t="s">
        <v>8</v>
      </c>
    </row>
    <row r="221" spans="1:10" x14ac:dyDescent="0.2">
      <c r="A221" s="4" t="s">
        <v>630</v>
      </c>
      <c r="B221" s="15" t="s">
        <v>660</v>
      </c>
      <c r="C221" s="15" t="s">
        <v>661</v>
      </c>
      <c r="D221" s="15">
        <v>1</v>
      </c>
      <c r="E221" s="16" t="s">
        <v>414</v>
      </c>
      <c r="F221" s="15">
        <v>930400</v>
      </c>
      <c r="G221" s="15">
        <v>0</v>
      </c>
      <c r="H221" s="17">
        <v>250000</v>
      </c>
      <c r="I221" s="17">
        <v>680400</v>
      </c>
      <c r="J221" s="18" t="s">
        <v>8</v>
      </c>
    </row>
    <row r="222" spans="1:10" x14ac:dyDescent="0.2">
      <c r="A222" s="4" t="s">
        <v>633</v>
      </c>
      <c r="B222" s="15" t="s">
        <v>663</v>
      </c>
      <c r="C222" s="15" t="s">
        <v>664</v>
      </c>
      <c r="D222" s="15">
        <v>1</v>
      </c>
      <c r="E222" s="16" t="s">
        <v>414</v>
      </c>
      <c r="F222" s="15">
        <v>550400</v>
      </c>
      <c r="G222" s="15">
        <v>0</v>
      </c>
      <c r="H222" s="17">
        <v>250000</v>
      </c>
      <c r="I222" s="17">
        <v>300400</v>
      </c>
      <c r="J222" s="18" t="s">
        <v>8</v>
      </c>
    </row>
    <row r="223" spans="1:10" x14ac:dyDescent="0.2">
      <c r="A223" s="4" t="s">
        <v>636</v>
      </c>
      <c r="B223" s="15" t="s">
        <v>666</v>
      </c>
      <c r="C223" s="15" t="s">
        <v>667</v>
      </c>
      <c r="D223" s="15">
        <v>1</v>
      </c>
      <c r="E223" s="16" t="s">
        <v>668</v>
      </c>
      <c r="F223" s="15">
        <v>15490400</v>
      </c>
      <c r="G223" s="15">
        <v>14560000</v>
      </c>
      <c r="H223" s="17">
        <v>250000</v>
      </c>
      <c r="I223" s="17">
        <v>680400</v>
      </c>
      <c r="J223" s="18" t="s">
        <v>8</v>
      </c>
    </row>
    <row r="224" spans="1:10" x14ac:dyDescent="0.2">
      <c r="A224" s="4" t="s">
        <v>639</v>
      </c>
      <c r="B224" s="15" t="s">
        <v>670</v>
      </c>
      <c r="C224" s="15" t="s">
        <v>671</v>
      </c>
      <c r="D224" s="15">
        <v>1</v>
      </c>
      <c r="E224" s="16" t="s">
        <v>668</v>
      </c>
      <c r="F224" s="15">
        <v>970400</v>
      </c>
      <c r="G224" s="15">
        <v>40000.000000000931</v>
      </c>
      <c r="H224" s="17">
        <v>250000</v>
      </c>
      <c r="I224" s="17">
        <v>680400</v>
      </c>
      <c r="J224" s="18" t="s">
        <v>8</v>
      </c>
    </row>
    <row r="225" spans="1:10" x14ac:dyDescent="0.2">
      <c r="A225" s="4" t="s">
        <v>642</v>
      </c>
      <c r="B225" s="15" t="s">
        <v>673</v>
      </c>
      <c r="C225" s="15" t="s">
        <v>674</v>
      </c>
      <c r="D225" s="15">
        <v>1</v>
      </c>
      <c r="E225" s="16" t="s">
        <v>668</v>
      </c>
      <c r="F225" s="15">
        <v>10490400</v>
      </c>
      <c r="G225" s="15">
        <v>9560000</v>
      </c>
      <c r="H225" s="17">
        <v>250000</v>
      </c>
      <c r="I225" s="17">
        <v>680400</v>
      </c>
      <c r="J225" s="18" t="s">
        <v>8</v>
      </c>
    </row>
    <row r="226" spans="1:10" x14ac:dyDescent="0.2">
      <c r="A226" s="4" t="s">
        <v>645</v>
      </c>
      <c r="B226" s="15" t="s">
        <v>676</v>
      </c>
      <c r="C226" s="15" t="s">
        <v>677</v>
      </c>
      <c r="D226" s="15">
        <v>1</v>
      </c>
      <c r="E226" s="16" t="s">
        <v>668</v>
      </c>
      <c r="F226" s="15">
        <v>4330400</v>
      </c>
      <c r="G226" s="15">
        <v>3400000</v>
      </c>
      <c r="H226" s="17">
        <v>250000</v>
      </c>
      <c r="I226" s="17">
        <v>680400</v>
      </c>
      <c r="J226" s="18" t="s">
        <v>8</v>
      </c>
    </row>
    <row r="227" spans="1:10" x14ac:dyDescent="0.2">
      <c r="A227" s="4" t="s">
        <v>648</v>
      </c>
      <c r="B227" s="15" t="s">
        <v>679</v>
      </c>
      <c r="C227" s="15" t="s">
        <v>680</v>
      </c>
      <c r="D227" s="15">
        <v>1</v>
      </c>
      <c r="E227" s="16" t="s">
        <v>668</v>
      </c>
      <c r="F227" s="15">
        <v>14370400</v>
      </c>
      <c r="G227" s="15">
        <v>13440000</v>
      </c>
      <c r="H227" s="17">
        <v>250000</v>
      </c>
      <c r="I227" s="17">
        <v>680400</v>
      </c>
      <c r="J227" s="18" t="s">
        <v>8</v>
      </c>
    </row>
    <row r="228" spans="1:10" x14ac:dyDescent="0.2">
      <c r="A228" s="4" t="s">
        <v>651</v>
      </c>
      <c r="B228" s="15" t="s">
        <v>682</v>
      </c>
      <c r="C228" s="15" t="s">
        <v>683</v>
      </c>
      <c r="D228" s="15">
        <v>1</v>
      </c>
      <c r="E228" s="16" t="s">
        <v>668</v>
      </c>
      <c r="F228" s="15">
        <v>930400</v>
      </c>
      <c r="G228" s="15">
        <v>0</v>
      </c>
      <c r="H228" s="17">
        <v>250000</v>
      </c>
      <c r="I228" s="17">
        <v>680400</v>
      </c>
      <c r="J228" s="18" t="s">
        <v>8</v>
      </c>
    </row>
    <row r="229" spans="1:10" x14ac:dyDescent="0.2">
      <c r="A229" s="4" t="s">
        <v>654</v>
      </c>
      <c r="B229" s="15" t="s">
        <v>685</v>
      </c>
      <c r="C229" s="15" t="s">
        <v>686</v>
      </c>
      <c r="D229" s="15">
        <v>1</v>
      </c>
      <c r="E229" s="16" t="s">
        <v>668</v>
      </c>
      <c r="F229" s="15">
        <v>15490400</v>
      </c>
      <c r="G229" s="15">
        <v>14560000</v>
      </c>
      <c r="H229" s="17">
        <v>250000</v>
      </c>
      <c r="I229" s="17">
        <v>680400</v>
      </c>
      <c r="J229" s="18" t="s">
        <v>8</v>
      </c>
    </row>
    <row r="230" spans="1:10" x14ac:dyDescent="0.2">
      <c r="A230" s="4" t="s">
        <v>656</v>
      </c>
      <c r="B230" s="15" t="s">
        <v>688</v>
      </c>
      <c r="C230" s="15" t="s">
        <v>689</v>
      </c>
      <c r="D230" s="15">
        <v>1</v>
      </c>
      <c r="E230" s="16" t="s">
        <v>668</v>
      </c>
      <c r="F230" s="15">
        <v>15490400</v>
      </c>
      <c r="G230" s="15">
        <v>14560000</v>
      </c>
      <c r="H230" s="17">
        <v>250000</v>
      </c>
      <c r="I230" s="17">
        <v>680400</v>
      </c>
      <c r="J230" s="18" t="s">
        <v>8</v>
      </c>
    </row>
    <row r="231" spans="1:10" x14ac:dyDescent="0.2">
      <c r="A231" s="4" t="s">
        <v>659</v>
      </c>
      <c r="B231" s="15" t="s">
        <v>691</v>
      </c>
      <c r="C231" s="15" t="s">
        <v>692</v>
      </c>
      <c r="D231" s="15">
        <v>1</v>
      </c>
      <c r="E231" s="16" t="s">
        <v>668</v>
      </c>
      <c r="F231" s="15">
        <v>10490400</v>
      </c>
      <c r="G231" s="15">
        <v>9560000</v>
      </c>
      <c r="H231" s="17">
        <v>250000</v>
      </c>
      <c r="I231" s="17">
        <v>680400</v>
      </c>
      <c r="J231" s="18" t="s">
        <v>8</v>
      </c>
    </row>
    <row r="232" spans="1:10" x14ac:dyDescent="0.2">
      <c r="A232" s="4" t="s">
        <v>662</v>
      </c>
      <c r="B232" s="15" t="s">
        <v>694</v>
      </c>
      <c r="C232" s="15" t="s">
        <v>695</v>
      </c>
      <c r="D232" s="15">
        <v>1</v>
      </c>
      <c r="E232" s="16" t="s">
        <v>668</v>
      </c>
      <c r="F232" s="15">
        <v>7690400</v>
      </c>
      <c r="G232" s="15">
        <v>6760000</v>
      </c>
      <c r="H232" s="17">
        <v>250000</v>
      </c>
      <c r="I232" s="17">
        <v>680400</v>
      </c>
      <c r="J232" s="18" t="s">
        <v>8</v>
      </c>
    </row>
    <row r="233" spans="1:10" x14ac:dyDescent="0.2">
      <c r="A233" s="4" t="s">
        <v>665</v>
      </c>
      <c r="B233" s="15" t="s">
        <v>697</v>
      </c>
      <c r="C233" s="15" t="s">
        <v>698</v>
      </c>
      <c r="D233" s="15">
        <v>1</v>
      </c>
      <c r="E233" s="16" t="s">
        <v>668</v>
      </c>
      <c r="F233" s="15">
        <v>6710400</v>
      </c>
      <c r="G233" s="15">
        <v>5780000</v>
      </c>
      <c r="H233" s="17">
        <v>250000</v>
      </c>
      <c r="I233" s="17">
        <v>680400</v>
      </c>
      <c r="J233" s="18" t="s">
        <v>8</v>
      </c>
    </row>
    <row r="234" spans="1:10" x14ac:dyDescent="0.2">
      <c r="A234" s="4" t="s">
        <v>669</v>
      </c>
      <c r="B234" s="15" t="s">
        <v>700</v>
      </c>
      <c r="C234" s="15" t="s">
        <v>701</v>
      </c>
      <c r="D234" s="15">
        <v>1</v>
      </c>
      <c r="E234" s="16" t="s">
        <v>668</v>
      </c>
      <c r="F234" s="15">
        <v>550400</v>
      </c>
      <c r="G234" s="15">
        <v>0</v>
      </c>
      <c r="H234" s="17">
        <v>250000</v>
      </c>
      <c r="I234" s="17">
        <v>300400</v>
      </c>
      <c r="J234" s="18" t="s">
        <v>8</v>
      </c>
    </row>
    <row r="235" spans="1:10" x14ac:dyDescent="0.2">
      <c r="A235" s="4" t="s">
        <v>672</v>
      </c>
      <c r="B235" s="15" t="s">
        <v>703</v>
      </c>
      <c r="C235" s="15" t="s">
        <v>704</v>
      </c>
      <c r="D235" s="15">
        <v>1</v>
      </c>
      <c r="E235" s="16" t="s">
        <v>668</v>
      </c>
      <c r="F235" s="15">
        <v>8670400</v>
      </c>
      <c r="G235" s="15">
        <v>7740000</v>
      </c>
      <c r="H235" s="17">
        <v>250000</v>
      </c>
      <c r="I235" s="17">
        <v>680400</v>
      </c>
      <c r="J235" s="18" t="s">
        <v>8</v>
      </c>
    </row>
    <row r="236" spans="1:10" x14ac:dyDescent="0.2">
      <c r="A236" s="4" t="s">
        <v>675</v>
      </c>
      <c r="B236" s="15" t="s">
        <v>706</v>
      </c>
      <c r="C236" s="15" t="s">
        <v>707</v>
      </c>
      <c r="D236" s="15">
        <v>1</v>
      </c>
      <c r="E236" s="16" t="s">
        <v>668</v>
      </c>
      <c r="F236" s="15">
        <v>1390400</v>
      </c>
      <c r="G236" s="15">
        <v>460000.00000000093</v>
      </c>
      <c r="H236" s="17">
        <v>250000</v>
      </c>
      <c r="I236" s="17">
        <v>680400</v>
      </c>
      <c r="J236" s="18" t="s">
        <v>8</v>
      </c>
    </row>
    <row r="237" spans="1:10" x14ac:dyDescent="0.2">
      <c r="A237" s="4" t="s">
        <v>678</v>
      </c>
      <c r="B237" s="15" t="s">
        <v>709</v>
      </c>
      <c r="C237" s="15" t="s">
        <v>710</v>
      </c>
      <c r="D237" s="15">
        <v>1</v>
      </c>
      <c r="E237" s="16" t="s">
        <v>668</v>
      </c>
      <c r="F237" s="15">
        <v>550400</v>
      </c>
      <c r="G237" s="15">
        <v>0</v>
      </c>
      <c r="H237" s="17">
        <v>250000</v>
      </c>
      <c r="I237" s="17">
        <v>300400</v>
      </c>
      <c r="J237" s="18" t="s">
        <v>8</v>
      </c>
    </row>
    <row r="238" spans="1:10" x14ac:dyDescent="0.2">
      <c r="A238" s="4" t="s">
        <v>681</v>
      </c>
      <c r="B238" s="15" t="s">
        <v>712</v>
      </c>
      <c r="C238" s="15" t="s">
        <v>713</v>
      </c>
      <c r="D238" s="15">
        <v>1</v>
      </c>
      <c r="E238" s="16" t="s">
        <v>668</v>
      </c>
      <c r="F238" s="15">
        <v>3630400</v>
      </c>
      <c r="G238" s="15">
        <v>2700000</v>
      </c>
      <c r="H238" s="17">
        <v>250000</v>
      </c>
      <c r="I238" s="17">
        <v>680400</v>
      </c>
      <c r="J238" s="18" t="s">
        <v>8</v>
      </c>
    </row>
    <row r="239" spans="1:10" x14ac:dyDescent="0.2">
      <c r="A239" s="4" t="s">
        <v>684</v>
      </c>
      <c r="B239" s="15" t="s">
        <v>715</v>
      </c>
      <c r="C239" s="15" t="s">
        <v>716</v>
      </c>
      <c r="D239" s="15">
        <v>1</v>
      </c>
      <c r="E239" s="16" t="s">
        <v>668</v>
      </c>
      <c r="F239" s="15">
        <v>17730400</v>
      </c>
      <c r="G239" s="15">
        <v>16800000</v>
      </c>
      <c r="H239" s="17">
        <v>250000</v>
      </c>
      <c r="I239" s="17">
        <v>680400</v>
      </c>
      <c r="J239" s="18" t="s">
        <v>8</v>
      </c>
    </row>
    <row r="240" spans="1:10" x14ac:dyDescent="0.2">
      <c r="A240" s="4" t="s">
        <v>687</v>
      </c>
      <c r="B240" s="15" t="s">
        <v>718</v>
      </c>
      <c r="C240" s="15" t="s">
        <v>719</v>
      </c>
      <c r="D240" s="15">
        <v>1</v>
      </c>
      <c r="E240" s="16" t="s">
        <v>668</v>
      </c>
      <c r="F240" s="15">
        <v>17310400</v>
      </c>
      <c r="G240" s="15">
        <v>16380000</v>
      </c>
      <c r="H240" s="17">
        <v>250000</v>
      </c>
      <c r="I240" s="17">
        <v>680400</v>
      </c>
      <c r="J240" s="18" t="s">
        <v>8</v>
      </c>
    </row>
    <row r="241" spans="1:10" x14ac:dyDescent="0.2">
      <c r="A241" s="4" t="s">
        <v>690</v>
      </c>
      <c r="B241" s="15" t="s">
        <v>721</v>
      </c>
      <c r="C241" s="15" t="s">
        <v>722</v>
      </c>
      <c r="D241" s="15">
        <v>1</v>
      </c>
      <c r="E241" s="16" t="s">
        <v>668</v>
      </c>
      <c r="F241" s="15">
        <v>5970400</v>
      </c>
      <c r="G241" s="15">
        <v>5040000.0000000009</v>
      </c>
      <c r="H241" s="17">
        <v>250000</v>
      </c>
      <c r="I241" s="17">
        <v>680400</v>
      </c>
      <c r="J241" s="18" t="s">
        <v>8</v>
      </c>
    </row>
    <row r="242" spans="1:10" x14ac:dyDescent="0.2">
      <c r="A242" s="4" t="s">
        <v>693</v>
      </c>
      <c r="B242" s="15" t="s">
        <v>724</v>
      </c>
      <c r="C242" s="15" t="s">
        <v>725</v>
      </c>
      <c r="D242" s="15">
        <v>1</v>
      </c>
      <c r="E242" s="16" t="s">
        <v>668</v>
      </c>
      <c r="F242" s="15">
        <v>10030400</v>
      </c>
      <c r="G242" s="15">
        <v>9100000</v>
      </c>
      <c r="H242" s="17">
        <v>250000</v>
      </c>
      <c r="I242" s="17">
        <v>680400</v>
      </c>
      <c r="J242" s="18" t="s">
        <v>8</v>
      </c>
    </row>
    <row r="243" spans="1:10" x14ac:dyDescent="0.2">
      <c r="A243" s="4" t="s">
        <v>696</v>
      </c>
      <c r="B243" s="15" t="s">
        <v>727</v>
      </c>
      <c r="C243" s="15" t="s">
        <v>728</v>
      </c>
      <c r="D243" s="15">
        <v>1</v>
      </c>
      <c r="E243" s="16" t="s">
        <v>668</v>
      </c>
      <c r="F243" s="15">
        <v>930400</v>
      </c>
      <c r="G243" s="15">
        <v>0</v>
      </c>
      <c r="H243" s="17">
        <v>250000</v>
      </c>
      <c r="I243" s="17">
        <v>680400</v>
      </c>
      <c r="J243" s="18" t="s">
        <v>8</v>
      </c>
    </row>
    <row r="244" spans="1:10" x14ac:dyDescent="0.2">
      <c r="A244" s="4" t="s">
        <v>699</v>
      </c>
      <c r="B244" s="15" t="s">
        <v>730</v>
      </c>
      <c r="C244" s="15" t="s">
        <v>731</v>
      </c>
      <c r="D244" s="15">
        <v>1</v>
      </c>
      <c r="E244" s="16" t="s">
        <v>668</v>
      </c>
      <c r="F244" s="15">
        <v>5030400</v>
      </c>
      <c r="G244" s="15">
        <v>4100000</v>
      </c>
      <c r="H244" s="17">
        <v>250000</v>
      </c>
      <c r="I244" s="17">
        <v>680400</v>
      </c>
      <c r="J244" s="18" t="s">
        <v>8</v>
      </c>
    </row>
    <row r="245" spans="1:10" x14ac:dyDescent="0.2">
      <c r="A245" s="4" t="s">
        <v>702</v>
      </c>
      <c r="B245" s="15" t="s">
        <v>733</v>
      </c>
      <c r="C245" s="15" t="s">
        <v>734</v>
      </c>
      <c r="D245" s="15">
        <v>1</v>
      </c>
      <c r="E245" s="16" t="s">
        <v>668</v>
      </c>
      <c r="F245" s="15">
        <v>8670400</v>
      </c>
      <c r="G245" s="15">
        <v>7740000</v>
      </c>
      <c r="H245" s="17">
        <v>250000</v>
      </c>
      <c r="I245" s="17">
        <v>680400</v>
      </c>
      <c r="J245" s="18" t="s">
        <v>8</v>
      </c>
    </row>
    <row r="246" spans="1:10" x14ac:dyDescent="0.2">
      <c r="A246" s="4" t="s">
        <v>705</v>
      </c>
      <c r="B246" s="15" t="s">
        <v>736</v>
      </c>
      <c r="C246" s="15" t="s">
        <v>737</v>
      </c>
      <c r="D246" s="15">
        <v>1</v>
      </c>
      <c r="E246" s="16" t="s">
        <v>668</v>
      </c>
      <c r="F246" s="15">
        <v>8670400</v>
      </c>
      <c r="G246" s="15">
        <v>7740000</v>
      </c>
      <c r="H246" s="17">
        <v>250000</v>
      </c>
      <c r="I246" s="17">
        <v>680400</v>
      </c>
      <c r="J246" s="18" t="s">
        <v>8</v>
      </c>
    </row>
    <row r="247" spans="1:10" x14ac:dyDescent="0.2">
      <c r="A247" s="4" t="s">
        <v>708</v>
      </c>
      <c r="B247" s="15" t="s">
        <v>739</v>
      </c>
      <c r="C247" s="15" t="s">
        <v>740</v>
      </c>
      <c r="D247" s="15">
        <v>1</v>
      </c>
      <c r="E247" s="16" t="s">
        <v>668</v>
      </c>
      <c r="F247" s="15">
        <v>6710400</v>
      </c>
      <c r="G247" s="15">
        <v>5780000</v>
      </c>
      <c r="H247" s="17">
        <v>250000</v>
      </c>
      <c r="I247" s="17">
        <v>680400</v>
      </c>
      <c r="J247" s="18" t="s">
        <v>8</v>
      </c>
    </row>
    <row r="248" spans="1:10" x14ac:dyDescent="0.2">
      <c r="A248" s="4" t="s">
        <v>711</v>
      </c>
      <c r="B248" s="15" t="s">
        <v>742</v>
      </c>
      <c r="C248" s="15" t="s">
        <v>743</v>
      </c>
      <c r="D248" s="15">
        <v>1</v>
      </c>
      <c r="E248" s="16" t="s">
        <v>668</v>
      </c>
      <c r="F248" s="15">
        <v>8630400</v>
      </c>
      <c r="G248" s="15">
        <v>7700000</v>
      </c>
      <c r="H248" s="17">
        <v>250000</v>
      </c>
      <c r="I248" s="17">
        <v>680400</v>
      </c>
      <c r="J248" s="18" t="s">
        <v>8</v>
      </c>
    </row>
    <row r="249" spans="1:10" x14ac:dyDescent="0.2">
      <c r="A249" s="4" t="s">
        <v>714</v>
      </c>
      <c r="B249" s="15" t="s">
        <v>745</v>
      </c>
      <c r="C249" s="15" t="s">
        <v>746</v>
      </c>
      <c r="D249" s="15">
        <v>1</v>
      </c>
      <c r="E249" s="16" t="s">
        <v>668</v>
      </c>
      <c r="F249" s="15">
        <v>8670400</v>
      </c>
      <c r="G249" s="15">
        <v>7740000</v>
      </c>
      <c r="H249" s="17">
        <v>250000</v>
      </c>
      <c r="I249" s="17">
        <v>680400</v>
      </c>
      <c r="J249" s="18" t="s">
        <v>8</v>
      </c>
    </row>
    <row r="250" spans="1:10" x14ac:dyDescent="0.2">
      <c r="A250" s="4" t="s">
        <v>717</v>
      </c>
      <c r="B250" s="15" t="s">
        <v>748</v>
      </c>
      <c r="C250" s="15" t="s">
        <v>749</v>
      </c>
      <c r="D250" s="15">
        <v>1</v>
      </c>
      <c r="E250" s="16" t="s">
        <v>668</v>
      </c>
      <c r="F250" s="15">
        <v>4330400</v>
      </c>
      <c r="G250" s="15">
        <v>3400000</v>
      </c>
      <c r="H250" s="17">
        <v>250000</v>
      </c>
      <c r="I250" s="17">
        <v>680400</v>
      </c>
      <c r="J250" s="18" t="s">
        <v>8</v>
      </c>
    </row>
    <row r="251" spans="1:10" x14ac:dyDescent="0.2">
      <c r="A251" s="4" t="s">
        <v>720</v>
      </c>
      <c r="B251" s="15" t="s">
        <v>751</v>
      </c>
      <c r="C251" s="15" t="s">
        <v>752</v>
      </c>
      <c r="D251" s="15">
        <v>1</v>
      </c>
      <c r="E251" s="16" t="s">
        <v>668</v>
      </c>
      <c r="F251" s="15">
        <v>8670400</v>
      </c>
      <c r="G251" s="15">
        <v>7740000</v>
      </c>
      <c r="H251" s="17">
        <v>250000</v>
      </c>
      <c r="I251" s="17">
        <v>680400</v>
      </c>
      <c r="J251" s="18" t="s">
        <v>8</v>
      </c>
    </row>
    <row r="252" spans="1:10" x14ac:dyDescent="0.2">
      <c r="A252" s="4" t="s">
        <v>723</v>
      </c>
      <c r="B252" s="15" t="s">
        <v>754</v>
      </c>
      <c r="C252" s="15" t="s">
        <v>755</v>
      </c>
      <c r="D252" s="15">
        <v>1</v>
      </c>
      <c r="E252" s="16" t="s">
        <v>668</v>
      </c>
      <c r="F252" s="15">
        <v>1390400</v>
      </c>
      <c r="G252" s="15">
        <v>460000.00000000093</v>
      </c>
      <c r="H252" s="17">
        <v>250000</v>
      </c>
      <c r="I252" s="17">
        <v>680400</v>
      </c>
      <c r="J252" s="18" t="s">
        <v>8</v>
      </c>
    </row>
    <row r="253" spans="1:10" x14ac:dyDescent="0.2">
      <c r="A253" s="4" t="s">
        <v>726</v>
      </c>
      <c r="B253" s="15" t="s">
        <v>757</v>
      </c>
      <c r="C253" s="15" t="s">
        <v>758</v>
      </c>
      <c r="D253" s="15">
        <v>1</v>
      </c>
      <c r="E253" s="16" t="s">
        <v>668</v>
      </c>
      <c r="F253" s="15">
        <v>15490400</v>
      </c>
      <c r="G253" s="15">
        <v>14560000</v>
      </c>
      <c r="H253" s="17">
        <v>250000</v>
      </c>
      <c r="I253" s="17">
        <v>680400</v>
      </c>
      <c r="J253" s="18" t="s">
        <v>8</v>
      </c>
    </row>
    <row r="254" spans="1:10" x14ac:dyDescent="0.2">
      <c r="A254" s="4" t="s">
        <v>729</v>
      </c>
      <c r="B254" s="15" t="s">
        <v>760</v>
      </c>
      <c r="C254" s="15" t="s">
        <v>761</v>
      </c>
      <c r="D254" s="15">
        <v>1</v>
      </c>
      <c r="E254" s="16" t="s">
        <v>668</v>
      </c>
      <c r="F254" s="15">
        <v>8670400</v>
      </c>
      <c r="G254" s="15">
        <v>7740000</v>
      </c>
      <c r="H254" s="17">
        <v>250000</v>
      </c>
      <c r="I254" s="17">
        <v>680400</v>
      </c>
      <c r="J254" s="18" t="s">
        <v>8</v>
      </c>
    </row>
    <row r="255" spans="1:10" x14ac:dyDescent="0.2">
      <c r="A255" s="4" t="s">
        <v>732</v>
      </c>
      <c r="B255" s="15" t="s">
        <v>763</v>
      </c>
      <c r="C255" s="15" t="s">
        <v>764</v>
      </c>
      <c r="D255" s="15">
        <v>1</v>
      </c>
      <c r="E255" s="16" t="s">
        <v>668</v>
      </c>
      <c r="F255" s="15">
        <v>10490400</v>
      </c>
      <c r="G255" s="15">
        <v>9560000</v>
      </c>
      <c r="H255" s="17">
        <v>250000</v>
      </c>
      <c r="I255" s="17">
        <v>680400</v>
      </c>
      <c r="J255" s="18" t="s">
        <v>8</v>
      </c>
    </row>
    <row r="256" spans="1:10" x14ac:dyDescent="0.2">
      <c r="A256" s="4" t="s">
        <v>735</v>
      </c>
      <c r="B256" s="15" t="s">
        <v>766</v>
      </c>
      <c r="C256" s="15" t="s">
        <v>767</v>
      </c>
      <c r="D256" s="15">
        <v>1</v>
      </c>
      <c r="E256" s="16" t="s">
        <v>668</v>
      </c>
      <c r="F256" s="15">
        <v>5030400</v>
      </c>
      <c r="G256" s="15">
        <v>4100000</v>
      </c>
      <c r="H256" s="17">
        <v>250000</v>
      </c>
      <c r="I256" s="17">
        <v>680400</v>
      </c>
      <c r="J256" s="18" t="s">
        <v>8</v>
      </c>
    </row>
    <row r="257" spans="1:10" x14ac:dyDescent="0.2">
      <c r="A257" s="4" t="s">
        <v>738</v>
      </c>
      <c r="B257" s="15" t="s">
        <v>769</v>
      </c>
      <c r="C257" s="15" t="s">
        <v>770</v>
      </c>
      <c r="D257" s="15">
        <v>1</v>
      </c>
      <c r="E257" s="16" t="s">
        <v>668</v>
      </c>
      <c r="F257" s="15">
        <v>7690400</v>
      </c>
      <c r="G257" s="15">
        <v>6760000</v>
      </c>
      <c r="H257" s="17">
        <v>250000</v>
      </c>
      <c r="I257" s="17">
        <v>680400</v>
      </c>
      <c r="J257" s="18" t="s">
        <v>8</v>
      </c>
    </row>
    <row r="258" spans="1:10" x14ac:dyDescent="0.2">
      <c r="A258" s="4" t="s">
        <v>741</v>
      </c>
      <c r="B258" s="15" t="s">
        <v>772</v>
      </c>
      <c r="C258" s="15" t="s">
        <v>488</v>
      </c>
      <c r="D258" s="15">
        <v>1</v>
      </c>
      <c r="E258" s="16" t="s">
        <v>668</v>
      </c>
      <c r="F258" s="15">
        <v>15490400</v>
      </c>
      <c r="G258" s="15">
        <v>14560000</v>
      </c>
      <c r="H258" s="17">
        <v>250000</v>
      </c>
      <c r="I258" s="17">
        <v>680400</v>
      </c>
      <c r="J258" s="18" t="s">
        <v>8</v>
      </c>
    </row>
    <row r="259" spans="1:10" x14ac:dyDescent="0.2">
      <c r="A259" s="4" t="s">
        <v>744</v>
      </c>
      <c r="B259" s="15" t="s">
        <v>774</v>
      </c>
      <c r="C259" s="15" t="s">
        <v>775</v>
      </c>
      <c r="D259" s="15">
        <v>1</v>
      </c>
      <c r="E259" s="16" t="s">
        <v>668</v>
      </c>
      <c r="F259" s="15">
        <v>10490400</v>
      </c>
      <c r="G259" s="15">
        <v>9560000</v>
      </c>
      <c r="H259" s="17">
        <v>250000</v>
      </c>
      <c r="I259" s="17">
        <v>680400</v>
      </c>
      <c r="J259" s="18" t="s">
        <v>8</v>
      </c>
    </row>
    <row r="260" spans="1:10" x14ac:dyDescent="0.2">
      <c r="A260" s="4" t="s">
        <v>747</v>
      </c>
      <c r="B260" s="15" t="s">
        <v>777</v>
      </c>
      <c r="C260" s="15" t="s">
        <v>778</v>
      </c>
      <c r="D260" s="15">
        <v>1</v>
      </c>
      <c r="E260" s="16" t="s">
        <v>668</v>
      </c>
      <c r="F260" s="15">
        <v>8670400</v>
      </c>
      <c r="G260" s="15">
        <v>7740000</v>
      </c>
      <c r="H260" s="17">
        <v>250000</v>
      </c>
      <c r="I260" s="17">
        <v>680400</v>
      </c>
      <c r="J260" s="18" t="s">
        <v>8</v>
      </c>
    </row>
    <row r="261" spans="1:10" x14ac:dyDescent="0.2">
      <c r="A261" s="4" t="s">
        <v>750</v>
      </c>
      <c r="B261" s="15" t="s">
        <v>780</v>
      </c>
      <c r="C261" s="15" t="s">
        <v>781</v>
      </c>
      <c r="D261" s="15">
        <v>1</v>
      </c>
      <c r="E261" s="16" t="s">
        <v>668</v>
      </c>
      <c r="F261" s="15">
        <v>5000000</v>
      </c>
      <c r="G261" s="15">
        <v>5000000</v>
      </c>
      <c r="H261" s="17">
        <v>0</v>
      </c>
      <c r="I261" s="17">
        <v>0</v>
      </c>
      <c r="J261" s="18" t="s">
        <v>8</v>
      </c>
    </row>
    <row r="262" spans="1:10" x14ac:dyDescent="0.2">
      <c r="A262" s="4" t="s">
        <v>753</v>
      </c>
      <c r="B262" s="15" t="s">
        <v>783</v>
      </c>
      <c r="C262" s="15" t="s">
        <v>784</v>
      </c>
      <c r="D262" s="15">
        <v>1</v>
      </c>
      <c r="E262" s="16" t="s">
        <v>668</v>
      </c>
      <c r="F262" s="15">
        <v>5030400</v>
      </c>
      <c r="G262" s="15">
        <v>4100000</v>
      </c>
      <c r="H262" s="17">
        <v>250000</v>
      </c>
      <c r="I262" s="17">
        <v>680400</v>
      </c>
      <c r="J262" s="18" t="s">
        <v>8</v>
      </c>
    </row>
    <row r="263" spans="1:10" x14ac:dyDescent="0.2">
      <c r="A263" s="4" t="s">
        <v>756</v>
      </c>
      <c r="B263" s="15" t="s">
        <v>786</v>
      </c>
      <c r="C263" s="15" t="s">
        <v>787</v>
      </c>
      <c r="D263" s="15">
        <v>1</v>
      </c>
      <c r="E263" s="16" t="s">
        <v>668</v>
      </c>
      <c r="F263" s="15">
        <v>14370400</v>
      </c>
      <c r="G263" s="15">
        <v>13440000</v>
      </c>
      <c r="H263" s="17">
        <v>250000</v>
      </c>
      <c r="I263" s="17">
        <v>680400</v>
      </c>
      <c r="J263" s="18" t="s">
        <v>8</v>
      </c>
    </row>
    <row r="264" spans="1:10" x14ac:dyDescent="0.2">
      <c r="A264" s="4" t="s">
        <v>759</v>
      </c>
      <c r="B264" s="15" t="s">
        <v>789</v>
      </c>
      <c r="C264" s="15" t="s">
        <v>790</v>
      </c>
      <c r="D264" s="15">
        <v>1</v>
      </c>
      <c r="E264" s="16" t="s">
        <v>668</v>
      </c>
      <c r="F264" s="15">
        <v>17730400</v>
      </c>
      <c r="G264" s="15">
        <v>16800000</v>
      </c>
      <c r="H264" s="17">
        <v>250000</v>
      </c>
      <c r="I264" s="17">
        <v>680400</v>
      </c>
      <c r="J264" s="18" t="s">
        <v>8</v>
      </c>
    </row>
    <row r="265" spans="1:10" x14ac:dyDescent="0.2">
      <c r="A265" s="4" t="s">
        <v>762</v>
      </c>
      <c r="B265" s="15" t="s">
        <v>792</v>
      </c>
      <c r="C265" s="15" t="s">
        <v>793</v>
      </c>
      <c r="D265" s="15">
        <v>2</v>
      </c>
      <c r="E265" s="16" t="s">
        <v>668</v>
      </c>
      <c r="F265" s="15">
        <v>13250000</v>
      </c>
      <c r="G265" s="15">
        <v>12320000</v>
      </c>
      <c r="H265" s="17">
        <v>250000</v>
      </c>
      <c r="I265" s="17">
        <v>680000</v>
      </c>
      <c r="J265" s="18" t="s">
        <v>8</v>
      </c>
    </row>
    <row r="266" spans="1:10" x14ac:dyDescent="0.2">
      <c r="A266" s="4" t="s">
        <v>765</v>
      </c>
      <c r="B266" s="15" t="s">
        <v>795</v>
      </c>
      <c r="C266" s="15" t="s">
        <v>796</v>
      </c>
      <c r="D266" s="15">
        <v>1</v>
      </c>
      <c r="E266" s="16" t="s">
        <v>668</v>
      </c>
      <c r="F266" s="15">
        <v>6710400</v>
      </c>
      <c r="G266" s="15">
        <v>5780000</v>
      </c>
      <c r="H266" s="17">
        <v>250000</v>
      </c>
      <c r="I266" s="17">
        <v>680400</v>
      </c>
      <c r="J266" s="18" t="s">
        <v>8</v>
      </c>
    </row>
    <row r="267" spans="1:10" x14ac:dyDescent="0.2">
      <c r="A267" s="4" t="s">
        <v>768</v>
      </c>
      <c r="B267" s="15" t="s">
        <v>798</v>
      </c>
      <c r="C267" s="15" t="s">
        <v>799</v>
      </c>
      <c r="D267" s="15">
        <v>1</v>
      </c>
      <c r="E267" s="16" t="s">
        <v>668</v>
      </c>
      <c r="F267" s="15">
        <v>13250400</v>
      </c>
      <c r="G267" s="15">
        <v>12320000</v>
      </c>
      <c r="H267" s="17">
        <v>250000</v>
      </c>
      <c r="I267" s="17">
        <v>680400</v>
      </c>
      <c r="J267" s="18" t="s">
        <v>8</v>
      </c>
    </row>
    <row r="268" spans="1:10" x14ac:dyDescent="0.2">
      <c r="A268" s="4" t="s">
        <v>771</v>
      </c>
      <c r="B268" s="15" t="s">
        <v>801</v>
      </c>
      <c r="C268" s="15" t="s">
        <v>802</v>
      </c>
      <c r="D268" s="15">
        <v>1</v>
      </c>
      <c r="E268" s="16" t="s">
        <v>668</v>
      </c>
      <c r="F268" s="15">
        <v>5030400</v>
      </c>
      <c r="G268" s="15">
        <v>4100000</v>
      </c>
      <c r="H268" s="17">
        <v>250000</v>
      </c>
      <c r="I268" s="17">
        <v>680400</v>
      </c>
      <c r="J268" s="18" t="s">
        <v>8</v>
      </c>
    </row>
    <row r="269" spans="1:10" x14ac:dyDescent="0.2">
      <c r="A269" s="4" t="s">
        <v>773</v>
      </c>
      <c r="B269" s="15" t="s">
        <v>804</v>
      </c>
      <c r="C269" s="15" t="s">
        <v>805</v>
      </c>
      <c r="D269" s="15">
        <v>1</v>
      </c>
      <c r="E269" s="16" t="s">
        <v>668</v>
      </c>
      <c r="F269" s="15">
        <v>9370400</v>
      </c>
      <c r="G269" s="15">
        <v>8440000</v>
      </c>
      <c r="H269" s="17">
        <v>250000</v>
      </c>
      <c r="I269" s="17">
        <v>680400</v>
      </c>
      <c r="J269" s="18" t="s">
        <v>8</v>
      </c>
    </row>
    <row r="270" spans="1:10" x14ac:dyDescent="0.2">
      <c r="A270" s="4" t="s">
        <v>776</v>
      </c>
      <c r="B270" s="15" t="s">
        <v>807</v>
      </c>
      <c r="C270" s="15" t="s">
        <v>808</v>
      </c>
      <c r="D270" s="15">
        <v>1</v>
      </c>
      <c r="E270" s="16" t="s">
        <v>668</v>
      </c>
      <c r="F270" s="15">
        <v>17310400</v>
      </c>
      <c r="G270" s="15">
        <v>16380000</v>
      </c>
      <c r="H270" s="17">
        <v>250000</v>
      </c>
      <c r="I270" s="17">
        <v>680400</v>
      </c>
      <c r="J270" s="18" t="s">
        <v>8</v>
      </c>
    </row>
    <row r="271" spans="1:10" x14ac:dyDescent="0.2">
      <c r="A271" s="4" t="s">
        <v>779</v>
      </c>
      <c r="B271" s="15" t="s">
        <v>810</v>
      </c>
      <c r="C271" s="15" t="s">
        <v>811</v>
      </c>
      <c r="D271" s="15">
        <v>1</v>
      </c>
      <c r="E271" s="16" t="s">
        <v>668</v>
      </c>
      <c r="F271" s="15">
        <v>970400</v>
      </c>
      <c r="G271" s="15">
        <v>40000.000000000931</v>
      </c>
      <c r="H271" s="17">
        <v>250000</v>
      </c>
      <c r="I271" s="17">
        <v>680400</v>
      </c>
      <c r="J271" s="18" t="s">
        <v>8</v>
      </c>
    </row>
    <row r="272" spans="1:10" x14ac:dyDescent="0.2">
      <c r="A272" s="4" t="s">
        <v>782</v>
      </c>
      <c r="B272" s="15" t="s">
        <v>813</v>
      </c>
      <c r="C272" s="15" t="s">
        <v>814</v>
      </c>
      <c r="D272" s="15">
        <v>1</v>
      </c>
      <c r="E272" s="16" t="s">
        <v>668</v>
      </c>
      <c r="F272" s="15">
        <v>14370400</v>
      </c>
      <c r="G272" s="15">
        <v>13440000</v>
      </c>
      <c r="H272" s="17">
        <v>250000</v>
      </c>
      <c r="I272" s="17">
        <v>680400</v>
      </c>
      <c r="J272" s="18" t="s">
        <v>8</v>
      </c>
    </row>
    <row r="273" spans="1:10" x14ac:dyDescent="0.2">
      <c r="A273" s="4" t="s">
        <v>785</v>
      </c>
      <c r="B273" s="15" t="s">
        <v>816</v>
      </c>
      <c r="C273" s="15" t="s">
        <v>817</v>
      </c>
      <c r="D273" s="15">
        <v>1</v>
      </c>
      <c r="E273" s="16" t="s">
        <v>668</v>
      </c>
      <c r="F273" s="15">
        <v>10030400</v>
      </c>
      <c r="G273" s="15">
        <v>9100000</v>
      </c>
      <c r="H273" s="17">
        <v>250000</v>
      </c>
      <c r="I273" s="17">
        <v>680400</v>
      </c>
      <c r="J273" s="18" t="s">
        <v>8</v>
      </c>
    </row>
    <row r="274" spans="1:10" x14ac:dyDescent="0.2">
      <c r="A274" s="4" t="s">
        <v>788</v>
      </c>
      <c r="B274" s="15" t="s">
        <v>819</v>
      </c>
      <c r="C274" s="15" t="s">
        <v>820</v>
      </c>
      <c r="D274" s="15">
        <v>1</v>
      </c>
      <c r="E274" s="16" t="s">
        <v>668</v>
      </c>
      <c r="F274" s="15">
        <v>6710400</v>
      </c>
      <c r="G274" s="15">
        <v>5780000</v>
      </c>
      <c r="H274" s="17">
        <v>250000</v>
      </c>
      <c r="I274" s="17">
        <v>680400</v>
      </c>
      <c r="J274" s="18" t="s">
        <v>8</v>
      </c>
    </row>
    <row r="275" spans="1:10" x14ac:dyDescent="0.2">
      <c r="A275" s="4" t="s">
        <v>791</v>
      </c>
      <c r="B275" s="15" t="s">
        <v>822</v>
      </c>
      <c r="C275" s="15" t="s">
        <v>823</v>
      </c>
      <c r="D275" s="15">
        <v>1</v>
      </c>
      <c r="E275" s="16" t="s">
        <v>668</v>
      </c>
      <c r="F275" s="15">
        <v>15490400</v>
      </c>
      <c r="G275" s="15">
        <v>14560000</v>
      </c>
      <c r="H275" s="17">
        <v>250000</v>
      </c>
      <c r="I275" s="17">
        <v>680400</v>
      </c>
      <c r="J275" s="18" t="s">
        <v>8</v>
      </c>
    </row>
    <row r="276" spans="1:10" x14ac:dyDescent="0.2">
      <c r="A276" s="4" t="s">
        <v>794</v>
      </c>
      <c r="B276" s="15" t="s">
        <v>825</v>
      </c>
      <c r="C276" s="15" t="s">
        <v>826</v>
      </c>
      <c r="D276" s="15">
        <v>1</v>
      </c>
      <c r="E276" s="16" t="s">
        <v>668</v>
      </c>
      <c r="F276" s="15">
        <v>970400</v>
      </c>
      <c r="G276" s="15">
        <v>40000.000000000931</v>
      </c>
      <c r="H276" s="17">
        <v>250000</v>
      </c>
      <c r="I276" s="17">
        <v>680400</v>
      </c>
      <c r="J276" s="18" t="s">
        <v>8</v>
      </c>
    </row>
    <row r="277" spans="1:10" x14ac:dyDescent="0.2">
      <c r="A277" s="4" t="s">
        <v>797</v>
      </c>
      <c r="B277" s="15" t="s">
        <v>828</v>
      </c>
      <c r="C277" s="15" t="s">
        <v>829</v>
      </c>
      <c r="D277" s="15">
        <v>1</v>
      </c>
      <c r="E277" s="16" t="s">
        <v>668</v>
      </c>
      <c r="F277" s="15">
        <v>8670400</v>
      </c>
      <c r="G277" s="15">
        <v>7740000</v>
      </c>
      <c r="H277" s="17">
        <v>250000</v>
      </c>
      <c r="I277" s="17">
        <v>680400</v>
      </c>
      <c r="J277" s="18" t="s">
        <v>8</v>
      </c>
    </row>
    <row r="278" spans="1:10" x14ac:dyDescent="0.2">
      <c r="A278" s="4" t="s">
        <v>800</v>
      </c>
      <c r="B278" s="15" t="s">
        <v>831</v>
      </c>
      <c r="C278" s="15" t="s">
        <v>832</v>
      </c>
      <c r="D278" s="15">
        <v>1</v>
      </c>
      <c r="E278" s="16" t="s">
        <v>668</v>
      </c>
      <c r="F278" s="15">
        <v>16330400</v>
      </c>
      <c r="G278" s="15">
        <v>15400000</v>
      </c>
      <c r="H278" s="17">
        <v>250000</v>
      </c>
      <c r="I278" s="17">
        <v>680400</v>
      </c>
      <c r="J278" s="18" t="s">
        <v>8</v>
      </c>
    </row>
    <row r="279" spans="1:10" x14ac:dyDescent="0.2">
      <c r="A279" s="4" t="s">
        <v>803</v>
      </c>
      <c r="B279" s="15" t="s">
        <v>834</v>
      </c>
      <c r="C279" s="15" t="s">
        <v>835</v>
      </c>
      <c r="D279" s="15">
        <v>1</v>
      </c>
      <c r="E279" s="16" t="s">
        <v>668</v>
      </c>
      <c r="F279" s="15">
        <v>1390400</v>
      </c>
      <c r="G279" s="15">
        <v>460000.00000000093</v>
      </c>
      <c r="H279" s="17">
        <v>250000</v>
      </c>
      <c r="I279" s="17">
        <v>680400</v>
      </c>
      <c r="J279" s="18" t="s">
        <v>8</v>
      </c>
    </row>
    <row r="280" spans="1:10" x14ac:dyDescent="0.2">
      <c r="A280" s="4" t="s">
        <v>806</v>
      </c>
      <c r="B280" s="15" t="s">
        <v>837</v>
      </c>
      <c r="C280" s="15" t="s">
        <v>838</v>
      </c>
      <c r="D280" s="15">
        <v>1</v>
      </c>
      <c r="E280" s="16" t="s">
        <v>668</v>
      </c>
      <c r="F280" s="15">
        <v>3630400</v>
      </c>
      <c r="G280" s="15">
        <v>2700000</v>
      </c>
      <c r="H280" s="17">
        <v>250000</v>
      </c>
      <c r="I280" s="17">
        <v>680400</v>
      </c>
      <c r="J280" s="18" t="s">
        <v>8</v>
      </c>
    </row>
    <row r="281" spans="1:10" x14ac:dyDescent="0.2">
      <c r="A281" s="4" t="s">
        <v>809</v>
      </c>
      <c r="B281" s="15" t="s">
        <v>840</v>
      </c>
      <c r="C281" s="15" t="s">
        <v>841</v>
      </c>
      <c r="D281" s="15">
        <v>1</v>
      </c>
      <c r="E281" s="16" t="s">
        <v>668</v>
      </c>
      <c r="F281" s="15">
        <v>16050400</v>
      </c>
      <c r="G281" s="15">
        <v>15120000</v>
      </c>
      <c r="H281" s="17">
        <v>250000</v>
      </c>
      <c r="I281" s="17">
        <v>680400</v>
      </c>
      <c r="J281" s="18" t="s">
        <v>8</v>
      </c>
    </row>
    <row r="282" spans="1:10" x14ac:dyDescent="0.2">
      <c r="A282" s="4" t="s">
        <v>812</v>
      </c>
      <c r="B282" s="15" t="s">
        <v>843</v>
      </c>
      <c r="C282" s="15" t="s">
        <v>844</v>
      </c>
      <c r="D282" s="15">
        <v>1</v>
      </c>
      <c r="E282" s="16" t="s">
        <v>668</v>
      </c>
      <c r="F282" s="15">
        <v>5030400</v>
      </c>
      <c r="G282" s="15">
        <v>4100000</v>
      </c>
      <c r="H282" s="17">
        <v>250000</v>
      </c>
      <c r="I282" s="17">
        <v>680400</v>
      </c>
      <c r="J282" s="18" t="s">
        <v>8</v>
      </c>
    </row>
    <row r="283" spans="1:10" x14ac:dyDescent="0.2">
      <c r="A283" s="4" t="s">
        <v>815</v>
      </c>
      <c r="B283" s="15" t="s">
        <v>846</v>
      </c>
      <c r="C283" s="15" t="s">
        <v>847</v>
      </c>
      <c r="D283" s="15">
        <v>1</v>
      </c>
      <c r="E283" s="16" t="s">
        <v>668</v>
      </c>
      <c r="F283" s="15">
        <v>1390400</v>
      </c>
      <c r="G283" s="15">
        <v>460000.00000000093</v>
      </c>
      <c r="H283" s="17">
        <v>250000</v>
      </c>
      <c r="I283" s="17">
        <v>680400</v>
      </c>
      <c r="J283" s="18" t="s">
        <v>8</v>
      </c>
    </row>
    <row r="284" spans="1:10" x14ac:dyDescent="0.2">
      <c r="A284" s="4" t="s">
        <v>818</v>
      </c>
      <c r="B284" s="15" t="s">
        <v>849</v>
      </c>
      <c r="C284" s="15" t="s">
        <v>850</v>
      </c>
      <c r="D284" s="15">
        <v>1</v>
      </c>
      <c r="E284" s="16" t="s">
        <v>668</v>
      </c>
      <c r="F284" s="15">
        <v>930400</v>
      </c>
      <c r="G284" s="15">
        <v>0</v>
      </c>
      <c r="H284" s="17">
        <v>250000</v>
      </c>
      <c r="I284" s="17">
        <v>680400</v>
      </c>
      <c r="J284" s="18" t="s">
        <v>8</v>
      </c>
    </row>
    <row r="285" spans="1:10" x14ac:dyDescent="0.2">
      <c r="A285" s="4" t="s">
        <v>821</v>
      </c>
      <c r="B285" s="15" t="s">
        <v>852</v>
      </c>
      <c r="C285" s="15" t="s">
        <v>853</v>
      </c>
      <c r="D285" s="15">
        <v>1</v>
      </c>
      <c r="E285" s="16" t="s">
        <v>668</v>
      </c>
      <c r="F285" s="15">
        <v>7690400</v>
      </c>
      <c r="G285" s="15">
        <v>6760000</v>
      </c>
      <c r="H285" s="17">
        <v>250000</v>
      </c>
      <c r="I285" s="17">
        <v>680400</v>
      </c>
      <c r="J285" s="18" t="s">
        <v>8</v>
      </c>
    </row>
    <row r="286" spans="1:10" x14ac:dyDescent="0.2">
      <c r="A286" s="4" t="s">
        <v>824</v>
      </c>
      <c r="B286" s="15" t="s">
        <v>855</v>
      </c>
      <c r="C286" s="15" t="s">
        <v>856</v>
      </c>
      <c r="D286" s="15">
        <v>1</v>
      </c>
      <c r="E286" s="16" t="s">
        <v>668</v>
      </c>
      <c r="F286" s="15">
        <v>6390400</v>
      </c>
      <c r="G286" s="15">
        <v>5460000.0000000009</v>
      </c>
      <c r="H286" s="17">
        <v>250000</v>
      </c>
      <c r="I286" s="17">
        <v>680400</v>
      </c>
      <c r="J286" s="18" t="s">
        <v>8</v>
      </c>
    </row>
    <row r="287" spans="1:10" x14ac:dyDescent="0.2">
      <c r="A287" s="4" t="s">
        <v>827</v>
      </c>
      <c r="B287" s="15" t="s">
        <v>858</v>
      </c>
      <c r="C287" s="15" t="s">
        <v>859</v>
      </c>
      <c r="D287" s="15">
        <v>1</v>
      </c>
      <c r="E287" s="16" t="s">
        <v>668</v>
      </c>
      <c r="F287" s="15">
        <v>8670000</v>
      </c>
      <c r="G287" s="15">
        <v>7740000</v>
      </c>
      <c r="H287" s="17">
        <v>250000</v>
      </c>
      <c r="I287" s="17">
        <v>680000</v>
      </c>
      <c r="J287" s="18" t="s">
        <v>8</v>
      </c>
    </row>
    <row r="288" spans="1:10" x14ac:dyDescent="0.2">
      <c r="A288" s="4" t="s">
        <v>830</v>
      </c>
      <c r="B288" s="15" t="s">
        <v>861</v>
      </c>
      <c r="C288" s="15" t="s">
        <v>862</v>
      </c>
      <c r="D288" s="15">
        <v>1</v>
      </c>
      <c r="E288" s="16" t="s">
        <v>668</v>
      </c>
      <c r="F288" s="15">
        <v>16050400</v>
      </c>
      <c r="G288" s="15">
        <v>15120000</v>
      </c>
      <c r="H288" s="17">
        <v>250000</v>
      </c>
      <c r="I288" s="17">
        <v>680400</v>
      </c>
      <c r="J288" s="18" t="s">
        <v>8</v>
      </c>
    </row>
    <row r="289" spans="1:10" x14ac:dyDescent="0.2">
      <c r="A289" s="4" t="s">
        <v>833</v>
      </c>
      <c r="B289" s="15" t="s">
        <v>864</v>
      </c>
      <c r="C289" s="15" t="s">
        <v>865</v>
      </c>
      <c r="D289" s="15">
        <v>1</v>
      </c>
      <c r="E289" s="16" t="s">
        <v>668</v>
      </c>
      <c r="F289" s="15">
        <v>9330400</v>
      </c>
      <c r="G289" s="15">
        <v>8400000</v>
      </c>
      <c r="H289" s="17">
        <v>250000</v>
      </c>
      <c r="I289" s="17">
        <v>680400</v>
      </c>
      <c r="J289" s="18" t="s">
        <v>8</v>
      </c>
    </row>
    <row r="290" spans="1:10" x14ac:dyDescent="0.2">
      <c r="A290" s="4" t="s">
        <v>836</v>
      </c>
      <c r="B290" s="15" t="s">
        <v>867</v>
      </c>
      <c r="C290" s="15" t="s">
        <v>868</v>
      </c>
      <c r="D290" s="15">
        <v>1</v>
      </c>
      <c r="E290" s="16" t="s">
        <v>668</v>
      </c>
      <c r="F290" s="15">
        <v>10490400</v>
      </c>
      <c r="G290" s="15">
        <v>9560000</v>
      </c>
      <c r="H290" s="17">
        <v>250000</v>
      </c>
      <c r="I290" s="17">
        <v>680400</v>
      </c>
      <c r="J290" s="18" t="s">
        <v>8</v>
      </c>
    </row>
    <row r="291" spans="1:10" x14ac:dyDescent="0.2">
      <c r="A291" s="4" t="s">
        <v>839</v>
      </c>
      <c r="B291" s="15" t="s">
        <v>870</v>
      </c>
      <c r="C291" s="15" t="s">
        <v>871</v>
      </c>
      <c r="D291" s="15">
        <v>1</v>
      </c>
      <c r="E291" s="16" t="s">
        <v>668</v>
      </c>
      <c r="F291" s="15">
        <v>8670000</v>
      </c>
      <c r="G291" s="15">
        <v>7740000</v>
      </c>
      <c r="H291" s="17">
        <v>250000</v>
      </c>
      <c r="I291" s="17">
        <v>680000</v>
      </c>
      <c r="J291" s="18" t="s">
        <v>8</v>
      </c>
    </row>
    <row r="292" spans="1:10" x14ac:dyDescent="0.2">
      <c r="A292" s="4" t="s">
        <v>842</v>
      </c>
      <c r="B292" s="15" t="s">
        <v>873</v>
      </c>
      <c r="C292" s="15" t="s">
        <v>874</v>
      </c>
      <c r="D292" s="15">
        <v>1</v>
      </c>
      <c r="E292" s="16" t="s">
        <v>668</v>
      </c>
      <c r="F292" s="15">
        <v>6710400</v>
      </c>
      <c r="G292" s="15">
        <v>5780000</v>
      </c>
      <c r="H292" s="17">
        <v>250000</v>
      </c>
      <c r="I292" s="17">
        <v>680400</v>
      </c>
      <c r="J292" s="18" t="s">
        <v>8</v>
      </c>
    </row>
    <row r="293" spans="1:10" x14ac:dyDescent="0.2">
      <c r="A293" s="4" t="s">
        <v>845</v>
      </c>
      <c r="B293" s="15" t="s">
        <v>876</v>
      </c>
      <c r="C293" s="15" t="s">
        <v>877</v>
      </c>
      <c r="D293" s="15">
        <v>1</v>
      </c>
      <c r="E293" s="16" t="s">
        <v>668</v>
      </c>
      <c r="F293" s="15">
        <v>1390400</v>
      </c>
      <c r="G293" s="15">
        <v>460000.00000000093</v>
      </c>
      <c r="H293" s="17">
        <v>250000</v>
      </c>
      <c r="I293" s="17">
        <v>680400</v>
      </c>
      <c r="J293" s="18" t="s">
        <v>8</v>
      </c>
    </row>
    <row r="294" spans="1:10" x14ac:dyDescent="0.2">
      <c r="A294" s="4" t="s">
        <v>848</v>
      </c>
      <c r="B294" s="15" t="s">
        <v>879</v>
      </c>
      <c r="C294" s="15" t="s">
        <v>880</v>
      </c>
      <c r="D294" s="15">
        <v>1</v>
      </c>
      <c r="E294" s="16" t="s">
        <v>668</v>
      </c>
      <c r="F294" s="15">
        <v>3630400</v>
      </c>
      <c r="G294" s="15">
        <v>2700000</v>
      </c>
      <c r="H294" s="17">
        <v>250000</v>
      </c>
      <c r="I294" s="17">
        <v>680400</v>
      </c>
      <c r="J294" s="18" t="s">
        <v>8</v>
      </c>
    </row>
    <row r="295" spans="1:10" x14ac:dyDescent="0.2">
      <c r="A295" s="4" t="s">
        <v>851</v>
      </c>
      <c r="B295" s="15" t="s">
        <v>882</v>
      </c>
      <c r="C295" s="15" t="s">
        <v>883</v>
      </c>
      <c r="D295" s="15">
        <v>2</v>
      </c>
      <c r="E295" s="16" t="s">
        <v>668</v>
      </c>
      <c r="F295" s="15">
        <v>14370000</v>
      </c>
      <c r="G295" s="15">
        <v>13440000</v>
      </c>
      <c r="H295" s="17">
        <v>250000</v>
      </c>
      <c r="I295" s="17">
        <v>680000</v>
      </c>
      <c r="J295" s="18" t="s">
        <v>8</v>
      </c>
    </row>
    <row r="296" spans="1:10" x14ac:dyDescent="0.2">
      <c r="A296" s="4" t="s">
        <v>854</v>
      </c>
      <c r="B296" s="15" t="s">
        <v>885</v>
      </c>
      <c r="C296" s="15" t="s">
        <v>886</v>
      </c>
      <c r="D296" s="15">
        <v>1</v>
      </c>
      <c r="E296" s="16" t="s">
        <v>668</v>
      </c>
      <c r="F296" s="15">
        <v>14370400</v>
      </c>
      <c r="G296" s="15">
        <v>13440000</v>
      </c>
      <c r="H296" s="17">
        <v>250000</v>
      </c>
      <c r="I296" s="17">
        <v>680400</v>
      </c>
      <c r="J296" s="18" t="s">
        <v>8</v>
      </c>
    </row>
    <row r="297" spans="1:10" x14ac:dyDescent="0.2">
      <c r="A297" s="4" t="s">
        <v>857</v>
      </c>
      <c r="B297" s="15" t="s">
        <v>888</v>
      </c>
      <c r="C297" s="15" t="s">
        <v>889</v>
      </c>
      <c r="D297" s="15">
        <v>1</v>
      </c>
      <c r="E297" s="16" t="s">
        <v>668</v>
      </c>
      <c r="F297" s="15">
        <v>3630400</v>
      </c>
      <c r="G297" s="15">
        <v>2700000</v>
      </c>
      <c r="H297" s="17">
        <v>250000</v>
      </c>
      <c r="I297" s="17">
        <v>680400</v>
      </c>
      <c r="J297" s="18" t="s">
        <v>8</v>
      </c>
    </row>
    <row r="298" spans="1:10" x14ac:dyDescent="0.2">
      <c r="A298" s="4" t="s">
        <v>860</v>
      </c>
      <c r="B298" s="15" t="s">
        <v>891</v>
      </c>
      <c r="C298" s="15" t="s">
        <v>892</v>
      </c>
      <c r="D298" s="15">
        <v>1</v>
      </c>
      <c r="E298" s="16" t="s">
        <v>668</v>
      </c>
      <c r="F298" s="15">
        <v>10490400</v>
      </c>
      <c r="G298" s="15">
        <v>9560000</v>
      </c>
      <c r="H298" s="17">
        <v>250000</v>
      </c>
      <c r="I298" s="17">
        <v>680400</v>
      </c>
      <c r="J298" s="18" t="s">
        <v>8</v>
      </c>
    </row>
    <row r="299" spans="1:10" x14ac:dyDescent="0.2">
      <c r="A299" s="4" t="s">
        <v>863</v>
      </c>
      <c r="B299" s="15" t="s">
        <v>894</v>
      </c>
      <c r="C299" s="15" t="s">
        <v>895</v>
      </c>
      <c r="D299" s="15">
        <v>1</v>
      </c>
      <c r="E299" s="16" t="s">
        <v>668</v>
      </c>
      <c r="F299" s="15">
        <v>15490400</v>
      </c>
      <c r="G299" s="15">
        <v>14560000</v>
      </c>
      <c r="H299" s="17">
        <v>250000</v>
      </c>
      <c r="I299" s="17">
        <v>680400</v>
      </c>
      <c r="J299" s="18" t="s">
        <v>8</v>
      </c>
    </row>
    <row r="300" spans="1:10" x14ac:dyDescent="0.2">
      <c r="A300" s="4" t="s">
        <v>866</v>
      </c>
      <c r="B300" s="15" t="s">
        <v>897</v>
      </c>
      <c r="C300" s="15" t="s">
        <v>898</v>
      </c>
      <c r="D300" s="15">
        <v>1</v>
      </c>
      <c r="E300" s="16" t="s">
        <v>668</v>
      </c>
      <c r="F300" s="15">
        <v>8670400</v>
      </c>
      <c r="G300" s="15">
        <v>7740000</v>
      </c>
      <c r="H300" s="17">
        <v>250000</v>
      </c>
      <c r="I300" s="17">
        <v>680400</v>
      </c>
      <c r="J300" s="18" t="s">
        <v>8</v>
      </c>
    </row>
    <row r="301" spans="1:10" x14ac:dyDescent="0.2">
      <c r="A301" s="4" t="s">
        <v>869</v>
      </c>
      <c r="B301" s="15" t="s">
        <v>900</v>
      </c>
      <c r="C301" s="15" t="s">
        <v>901</v>
      </c>
      <c r="D301" s="15">
        <v>1</v>
      </c>
      <c r="E301" s="16" t="s">
        <v>668</v>
      </c>
      <c r="F301" s="15">
        <v>15490400</v>
      </c>
      <c r="G301" s="15">
        <v>14560000</v>
      </c>
      <c r="H301" s="17">
        <v>250000</v>
      </c>
      <c r="I301" s="17">
        <v>680400</v>
      </c>
      <c r="J301" s="18" t="s">
        <v>8</v>
      </c>
    </row>
    <row r="302" spans="1:10" x14ac:dyDescent="0.2">
      <c r="A302" s="4" t="s">
        <v>872</v>
      </c>
      <c r="B302" s="15" t="s">
        <v>903</v>
      </c>
      <c r="C302" s="15" t="s">
        <v>904</v>
      </c>
      <c r="D302" s="15">
        <v>1</v>
      </c>
      <c r="E302" s="16" t="s">
        <v>668</v>
      </c>
      <c r="F302" s="15">
        <v>5030400</v>
      </c>
      <c r="G302" s="15">
        <v>4100000</v>
      </c>
      <c r="H302" s="17">
        <v>250000</v>
      </c>
      <c r="I302" s="17">
        <v>680400</v>
      </c>
      <c r="J302" s="18" t="s">
        <v>8</v>
      </c>
    </row>
    <row r="303" spans="1:10" x14ac:dyDescent="0.2">
      <c r="A303" s="4" t="s">
        <v>875</v>
      </c>
      <c r="B303" s="15" t="s">
        <v>906</v>
      </c>
      <c r="C303" s="15" t="s">
        <v>907</v>
      </c>
      <c r="D303" s="15">
        <v>1</v>
      </c>
      <c r="E303" s="16" t="s">
        <v>668</v>
      </c>
      <c r="F303" s="15">
        <v>15490400</v>
      </c>
      <c r="G303" s="15">
        <v>14560000</v>
      </c>
      <c r="H303" s="17">
        <v>250000</v>
      </c>
      <c r="I303" s="17">
        <v>680400</v>
      </c>
      <c r="J303" s="18" t="s">
        <v>8</v>
      </c>
    </row>
    <row r="304" spans="1:10" x14ac:dyDescent="0.2">
      <c r="A304" s="4" t="s">
        <v>878</v>
      </c>
      <c r="B304" s="15" t="s">
        <v>909</v>
      </c>
      <c r="C304" s="15" t="s">
        <v>910</v>
      </c>
      <c r="D304" s="15">
        <v>1</v>
      </c>
      <c r="E304" s="16" t="s">
        <v>668</v>
      </c>
      <c r="F304" s="15">
        <v>15490400</v>
      </c>
      <c r="G304" s="15">
        <v>14560000</v>
      </c>
      <c r="H304" s="17">
        <v>250000</v>
      </c>
      <c r="I304" s="17">
        <v>680400</v>
      </c>
      <c r="J304" s="18" t="s">
        <v>8</v>
      </c>
    </row>
    <row r="305" spans="1:10" x14ac:dyDescent="0.2">
      <c r="A305" s="4" t="s">
        <v>881</v>
      </c>
      <c r="B305" s="15" t="s">
        <v>912</v>
      </c>
      <c r="C305" s="15" t="s">
        <v>913</v>
      </c>
      <c r="D305" s="15">
        <v>1</v>
      </c>
      <c r="E305" s="16" t="s">
        <v>668</v>
      </c>
      <c r="F305" s="15">
        <v>930400</v>
      </c>
      <c r="G305" s="15">
        <v>0</v>
      </c>
      <c r="H305" s="17">
        <v>250000</v>
      </c>
      <c r="I305" s="17">
        <v>680400</v>
      </c>
      <c r="J305" s="18" t="s">
        <v>8</v>
      </c>
    </row>
    <row r="306" spans="1:10" x14ac:dyDescent="0.2">
      <c r="A306" s="4" t="s">
        <v>884</v>
      </c>
      <c r="B306" s="15" t="s">
        <v>915</v>
      </c>
      <c r="C306" s="15" t="s">
        <v>916</v>
      </c>
      <c r="D306" s="15">
        <v>1</v>
      </c>
      <c r="E306" s="16" t="s">
        <v>668</v>
      </c>
      <c r="F306" s="15">
        <v>3630400</v>
      </c>
      <c r="G306" s="15">
        <v>2700000</v>
      </c>
      <c r="H306" s="17">
        <v>250000</v>
      </c>
      <c r="I306" s="17">
        <v>680400</v>
      </c>
      <c r="J306" s="18" t="s">
        <v>8</v>
      </c>
    </row>
    <row r="307" spans="1:10" x14ac:dyDescent="0.2">
      <c r="A307" s="4" t="s">
        <v>887</v>
      </c>
      <c r="B307" s="15" t="s">
        <v>918</v>
      </c>
      <c r="C307" s="15" t="s">
        <v>919</v>
      </c>
      <c r="D307" s="15">
        <v>1</v>
      </c>
      <c r="E307" s="16" t="s">
        <v>668</v>
      </c>
      <c r="F307" s="15">
        <v>9370400</v>
      </c>
      <c r="G307" s="15">
        <v>8440000</v>
      </c>
      <c r="H307" s="17">
        <v>250000</v>
      </c>
      <c r="I307" s="17">
        <v>680400</v>
      </c>
      <c r="J307" s="18" t="s">
        <v>8</v>
      </c>
    </row>
    <row r="308" spans="1:10" x14ac:dyDescent="0.2">
      <c r="A308" s="4" t="s">
        <v>890</v>
      </c>
      <c r="B308" s="15" t="s">
        <v>921</v>
      </c>
      <c r="C308" s="15" t="s">
        <v>922</v>
      </c>
      <c r="D308" s="15">
        <v>1</v>
      </c>
      <c r="E308" s="16" t="s">
        <v>668</v>
      </c>
      <c r="F308" s="15">
        <v>6710400</v>
      </c>
      <c r="G308" s="15">
        <v>5780000</v>
      </c>
      <c r="H308" s="17">
        <v>250000</v>
      </c>
      <c r="I308" s="17">
        <v>680400</v>
      </c>
      <c r="J308" s="18" t="s">
        <v>8</v>
      </c>
    </row>
    <row r="309" spans="1:10" x14ac:dyDescent="0.2">
      <c r="A309" s="4" t="s">
        <v>893</v>
      </c>
      <c r="B309" s="15" t="s">
        <v>223</v>
      </c>
      <c r="C309" s="15" t="s">
        <v>224</v>
      </c>
      <c r="D309" s="15">
        <v>2</v>
      </c>
      <c r="E309" s="16" t="s">
        <v>668</v>
      </c>
      <c r="F309" s="15">
        <v>10490400</v>
      </c>
      <c r="G309" s="15">
        <v>9560000</v>
      </c>
      <c r="H309" s="17">
        <v>250000</v>
      </c>
      <c r="I309" s="17">
        <v>680400</v>
      </c>
      <c r="J309" s="18" t="s">
        <v>8</v>
      </c>
    </row>
    <row r="310" spans="1:10" x14ac:dyDescent="0.2">
      <c r="A310" s="4" t="s">
        <v>896</v>
      </c>
      <c r="B310" s="15" t="s">
        <v>925</v>
      </c>
      <c r="C310" s="15" t="s">
        <v>926</v>
      </c>
      <c r="D310" s="15">
        <v>1</v>
      </c>
      <c r="E310" s="16" t="s">
        <v>668</v>
      </c>
      <c r="F310" s="15">
        <v>8670400</v>
      </c>
      <c r="G310" s="15">
        <v>7740000</v>
      </c>
      <c r="H310" s="17">
        <v>250000</v>
      </c>
      <c r="I310" s="17">
        <v>680400</v>
      </c>
      <c r="J310" s="18" t="s">
        <v>8</v>
      </c>
    </row>
    <row r="311" spans="1:10" x14ac:dyDescent="0.2">
      <c r="A311" s="4" t="s">
        <v>899</v>
      </c>
      <c r="B311" s="15" t="s">
        <v>928</v>
      </c>
      <c r="C311" s="15" t="s">
        <v>929</v>
      </c>
      <c r="D311" s="15">
        <v>1</v>
      </c>
      <c r="E311" s="16" t="s">
        <v>668</v>
      </c>
      <c r="F311" s="15">
        <v>7690400</v>
      </c>
      <c r="G311" s="15">
        <v>6760000</v>
      </c>
      <c r="H311" s="17">
        <v>250000</v>
      </c>
      <c r="I311" s="17">
        <v>680400</v>
      </c>
      <c r="J311" s="18" t="s">
        <v>8</v>
      </c>
    </row>
    <row r="312" spans="1:10" x14ac:dyDescent="0.2">
      <c r="A312" s="4" t="s">
        <v>902</v>
      </c>
      <c r="B312" s="15" t="s">
        <v>931</v>
      </c>
      <c r="C312" s="15" t="s">
        <v>932</v>
      </c>
      <c r="D312" s="15">
        <v>1</v>
      </c>
      <c r="E312" s="16" t="s">
        <v>668</v>
      </c>
      <c r="F312" s="15">
        <v>1390400</v>
      </c>
      <c r="G312" s="15">
        <v>460000.00000000093</v>
      </c>
      <c r="H312" s="17">
        <v>250000</v>
      </c>
      <c r="I312" s="17">
        <v>680400</v>
      </c>
      <c r="J312" s="18" t="s">
        <v>8</v>
      </c>
    </row>
    <row r="313" spans="1:10" x14ac:dyDescent="0.2">
      <c r="A313" s="4" t="s">
        <v>905</v>
      </c>
      <c r="B313" s="15" t="s">
        <v>934</v>
      </c>
      <c r="C313" s="15" t="s">
        <v>935</v>
      </c>
      <c r="D313" s="15">
        <v>1</v>
      </c>
      <c r="E313" s="16" t="s">
        <v>668</v>
      </c>
      <c r="F313" s="15">
        <v>5550400</v>
      </c>
      <c r="G313" s="15">
        <v>4620000.0000000009</v>
      </c>
      <c r="H313" s="17">
        <v>250000</v>
      </c>
      <c r="I313" s="17">
        <v>680400</v>
      </c>
      <c r="J313" s="18" t="s">
        <v>8</v>
      </c>
    </row>
    <row r="314" spans="1:10" x14ac:dyDescent="0.2">
      <c r="A314" s="4" t="s">
        <v>908</v>
      </c>
      <c r="B314" s="15" t="s">
        <v>937</v>
      </c>
      <c r="C314" s="15" t="s">
        <v>938</v>
      </c>
      <c r="D314" s="15">
        <v>1</v>
      </c>
      <c r="E314" s="16" t="s">
        <v>668</v>
      </c>
      <c r="F314" s="15">
        <v>16330400</v>
      </c>
      <c r="G314" s="15">
        <v>15400000</v>
      </c>
      <c r="H314" s="17">
        <v>250000</v>
      </c>
      <c r="I314" s="17">
        <v>680400</v>
      </c>
      <c r="J314" s="18" t="s">
        <v>8</v>
      </c>
    </row>
    <row r="315" spans="1:10" x14ac:dyDescent="0.2">
      <c r="A315" s="4" t="s">
        <v>911</v>
      </c>
      <c r="B315" s="15" t="s">
        <v>940</v>
      </c>
      <c r="C315" s="15" t="s">
        <v>941</v>
      </c>
      <c r="D315" s="15">
        <v>1</v>
      </c>
      <c r="E315" s="16" t="s">
        <v>668</v>
      </c>
      <c r="F315" s="15">
        <v>1390400</v>
      </c>
      <c r="G315" s="15">
        <v>460000.00000000093</v>
      </c>
      <c r="H315" s="17">
        <v>250000</v>
      </c>
      <c r="I315" s="17">
        <v>680400</v>
      </c>
      <c r="J315" s="18" t="s">
        <v>8</v>
      </c>
    </row>
    <row r="316" spans="1:10" x14ac:dyDescent="0.2">
      <c r="A316" s="4" t="s">
        <v>914</v>
      </c>
      <c r="B316" s="15" t="s">
        <v>943</v>
      </c>
      <c r="C316" s="15" t="s">
        <v>944</v>
      </c>
      <c r="D316" s="15">
        <v>1</v>
      </c>
      <c r="E316" s="16" t="s">
        <v>668</v>
      </c>
      <c r="F316" s="15">
        <v>15490400</v>
      </c>
      <c r="G316" s="15">
        <v>14560000</v>
      </c>
      <c r="H316" s="17">
        <v>250000</v>
      </c>
      <c r="I316" s="17">
        <v>680400</v>
      </c>
      <c r="J316" s="18" t="s">
        <v>8</v>
      </c>
    </row>
    <row r="317" spans="1:10" x14ac:dyDescent="0.2">
      <c r="A317" s="4" t="s">
        <v>917</v>
      </c>
      <c r="B317" s="15" t="s">
        <v>946</v>
      </c>
      <c r="C317" s="15" t="s">
        <v>947</v>
      </c>
      <c r="D317" s="15">
        <v>1</v>
      </c>
      <c r="E317" s="16" t="s">
        <v>668</v>
      </c>
      <c r="F317" s="15">
        <v>8670400</v>
      </c>
      <c r="G317" s="15">
        <v>7740000</v>
      </c>
      <c r="H317" s="17">
        <v>250000</v>
      </c>
      <c r="I317" s="17">
        <v>680400</v>
      </c>
      <c r="J317" s="18" t="s">
        <v>8</v>
      </c>
    </row>
    <row r="318" spans="1:10" x14ac:dyDescent="0.2">
      <c r="A318" s="4" t="s">
        <v>920</v>
      </c>
      <c r="B318" s="15" t="s">
        <v>949</v>
      </c>
      <c r="C318" s="15" t="s">
        <v>950</v>
      </c>
      <c r="D318" s="15">
        <v>1</v>
      </c>
      <c r="E318" s="16" t="s">
        <v>668</v>
      </c>
      <c r="F318" s="15">
        <v>15490400</v>
      </c>
      <c r="G318" s="15">
        <v>14560000</v>
      </c>
      <c r="H318" s="17">
        <v>250000</v>
      </c>
      <c r="I318" s="17">
        <v>680400</v>
      </c>
      <c r="J318" s="18" t="s">
        <v>8</v>
      </c>
    </row>
    <row r="319" spans="1:10" x14ac:dyDescent="0.2">
      <c r="A319" s="4" t="s">
        <v>923</v>
      </c>
      <c r="B319" s="15" t="s">
        <v>952</v>
      </c>
      <c r="C319" s="15" t="s">
        <v>953</v>
      </c>
      <c r="D319" s="15">
        <v>1</v>
      </c>
      <c r="E319" s="16" t="s">
        <v>668</v>
      </c>
      <c r="F319" s="15">
        <v>5030400</v>
      </c>
      <c r="G319" s="15">
        <v>4100000</v>
      </c>
      <c r="H319" s="17">
        <v>250000</v>
      </c>
      <c r="I319" s="17">
        <v>680400</v>
      </c>
      <c r="J319" s="18" t="s">
        <v>8</v>
      </c>
    </row>
    <row r="320" spans="1:10" x14ac:dyDescent="0.2">
      <c r="A320" s="4" t="s">
        <v>924</v>
      </c>
      <c r="B320" s="15" t="s">
        <v>955</v>
      </c>
      <c r="C320" s="15" t="s">
        <v>956</v>
      </c>
      <c r="D320" s="15">
        <v>1</v>
      </c>
      <c r="E320" s="16" t="s">
        <v>668</v>
      </c>
      <c r="F320" s="15">
        <v>930400</v>
      </c>
      <c r="G320" s="15">
        <v>0</v>
      </c>
      <c r="H320" s="17">
        <v>250000</v>
      </c>
      <c r="I320" s="17">
        <v>680400</v>
      </c>
      <c r="J320" s="18" t="s">
        <v>8</v>
      </c>
    </row>
    <row r="321" spans="1:10" x14ac:dyDescent="0.2">
      <c r="A321" s="4" t="s">
        <v>927</v>
      </c>
      <c r="B321" s="15" t="s">
        <v>958</v>
      </c>
      <c r="C321" s="15" t="s">
        <v>959</v>
      </c>
      <c r="D321" s="15">
        <v>1</v>
      </c>
      <c r="E321" s="16" t="s">
        <v>668</v>
      </c>
      <c r="F321" s="15">
        <v>14790400</v>
      </c>
      <c r="G321" s="15">
        <v>13860000</v>
      </c>
      <c r="H321" s="17">
        <v>250000</v>
      </c>
      <c r="I321" s="17">
        <v>680400</v>
      </c>
      <c r="J321" s="18" t="s">
        <v>8</v>
      </c>
    </row>
    <row r="322" spans="1:10" x14ac:dyDescent="0.2">
      <c r="A322" s="4" t="s">
        <v>930</v>
      </c>
      <c r="B322" s="15" t="s">
        <v>961</v>
      </c>
      <c r="C322" s="15" t="s">
        <v>962</v>
      </c>
      <c r="D322" s="15">
        <v>1</v>
      </c>
      <c r="E322" s="16" t="s">
        <v>668</v>
      </c>
      <c r="F322" s="15">
        <v>1390400</v>
      </c>
      <c r="G322" s="15">
        <v>460000.00000000093</v>
      </c>
      <c r="H322" s="17">
        <v>250000</v>
      </c>
      <c r="I322" s="17">
        <v>680400</v>
      </c>
      <c r="J322" s="18" t="s">
        <v>8</v>
      </c>
    </row>
    <row r="323" spans="1:10" x14ac:dyDescent="0.2">
      <c r="A323" s="4" t="s">
        <v>933</v>
      </c>
      <c r="B323" s="15" t="s">
        <v>964</v>
      </c>
      <c r="C323" s="15" t="s">
        <v>965</v>
      </c>
      <c r="D323" s="15">
        <v>1</v>
      </c>
      <c r="E323" s="16" t="s">
        <v>668</v>
      </c>
      <c r="F323" s="15">
        <v>7690400</v>
      </c>
      <c r="G323" s="15">
        <v>6760000</v>
      </c>
      <c r="H323" s="17">
        <v>250000</v>
      </c>
      <c r="I323" s="17">
        <v>680400</v>
      </c>
      <c r="J323" s="18" t="s">
        <v>8</v>
      </c>
    </row>
    <row r="324" spans="1:10" x14ac:dyDescent="0.2">
      <c r="A324" s="4" t="s">
        <v>936</v>
      </c>
      <c r="B324" s="15" t="s">
        <v>967</v>
      </c>
      <c r="C324" s="15" t="s">
        <v>968</v>
      </c>
      <c r="D324" s="15">
        <v>1</v>
      </c>
      <c r="E324" s="16" t="s">
        <v>668</v>
      </c>
      <c r="F324" s="15">
        <v>16330400</v>
      </c>
      <c r="G324" s="15">
        <v>15400000</v>
      </c>
      <c r="H324" s="17">
        <v>250000</v>
      </c>
      <c r="I324" s="17">
        <v>680400</v>
      </c>
      <c r="J324" s="18" t="s">
        <v>8</v>
      </c>
    </row>
    <row r="325" spans="1:10" x14ac:dyDescent="0.2">
      <c r="A325" s="4" t="s">
        <v>939</v>
      </c>
      <c r="B325" s="15" t="s">
        <v>970</v>
      </c>
      <c r="C325" s="15" t="s">
        <v>971</v>
      </c>
      <c r="D325" s="15">
        <v>1</v>
      </c>
      <c r="E325" s="16" t="s">
        <v>668</v>
      </c>
      <c r="F325" s="15">
        <v>3630400</v>
      </c>
      <c r="G325" s="15">
        <v>2700000</v>
      </c>
      <c r="H325" s="17">
        <v>250000</v>
      </c>
      <c r="I325" s="17">
        <v>680400</v>
      </c>
      <c r="J325" s="18" t="s">
        <v>8</v>
      </c>
    </row>
    <row r="326" spans="1:10" x14ac:dyDescent="0.2">
      <c r="A326" s="4" t="s">
        <v>942</v>
      </c>
      <c r="B326" s="15" t="s">
        <v>973</v>
      </c>
      <c r="C326" s="15" t="s">
        <v>974</v>
      </c>
      <c r="D326" s="15">
        <v>2</v>
      </c>
      <c r="E326" s="16" t="s">
        <v>668</v>
      </c>
      <c r="F326" s="15">
        <v>9370000</v>
      </c>
      <c r="G326" s="15">
        <v>8440000</v>
      </c>
      <c r="H326" s="17">
        <v>250000</v>
      </c>
      <c r="I326" s="17">
        <v>680000</v>
      </c>
      <c r="J326" s="18" t="s">
        <v>8</v>
      </c>
    </row>
    <row r="327" spans="1:10" x14ac:dyDescent="0.2">
      <c r="A327" s="4" t="s">
        <v>945</v>
      </c>
      <c r="B327" s="15" t="s">
        <v>976</v>
      </c>
      <c r="C327" s="15" t="s">
        <v>977</v>
      </c>
      <c r="D327" s="15">
        <v>1</v>
      </c>
      <c r="E327" s="16" t="s">
        <v>668</v>
      </c>
      <c r="F327" s="15">
        <v>8670400</v>
      </c>
      <c r="G327" s="15">
        <v>7740000</v>
      </c>
      <c r="H327" s="17">
        <v>250000</v>
      </c>
      <c r="I327" s="17">
        <v>680400</v>
      </c>
      <c r="J327" s="18" t="s">
        <v>8</v>
      </c>
    </row>
    <row r="328" spans="1:10" x14ac:dyDescent="0.2">
      <c r="A328" s="4" t="s">
        <v>948</v>
      </c>
      <c r="B328" s="15" t="s">
        <v>979</v>
      </c>
      <c r="C328" s="15" t="s">
        <v>980</v>
      </c>
      <c r="D328" s="15">
        <v>1</v>
      </c>
      <c r="E328" s="16" t="s">
        <v>668</v>
      </c>
      <c r="F328" s="15">
        <v>10030400</v>
      </c>
      <c r="G328" s="15">
        <v>9100000</v>
      </c>
      <c r="H328" s="17">
        <v>250000</v>
      </c>
      <c r="I328" s="17">
        <v>680400</v>
      </c>
      <c r="J328" s="18" t="s">
        <v>8</v>
      </c>
    </row>
    <row r="329" spans="1:10" x14ac:dyDescent="0.2">
      <c r="A329" s="4" t="s">
        <v>951</v>
      </c>
      <c r="B329" s="15" t="s">
        <v>982</v>
      </c>
      <c r="C329" s="15" t="s">
        <v>983</v>
      </c>
      <c r="D329" s="15">
        <v>1</v>
      </c>
      <c r="E329" s="16" t="s">
        <v>668</v>
      </c>
      <c r="F329" s="15">
        <v>4330400</v>
      </c>
      <c r="G329" s="15">
        <v>3400000</v>
      </c>
      <c r="H329" s="17">
        <v>250000</v>
      </c>
      <c r="I329" s="17">
        <v>680400</v>
      </c>
      <c r="J329" s="18" t="s">
        <v>8</v>
      </c>
    </row>
    <row r="330" spans="1:10" x14ac:dyDescent="0.2">
      <c r="A330" s="4" t="s">
        <v>954</v>
      </c>
      <c r="B330" s="15" t="s">
        <v>973</v>
      </c>
      <c r="C330" s="15" t="s">
        <v>974</v>
      </c>
      <c r="D330" s="15">
        <v>2</v>
      </c>
      <c r="E330" s="16" t="s">
        <v>668</v>
      </c>
      <c r="F330" s="15">
        <v>1000</v>
      </c>
      <c r="G330" s="15">
        <v>600</v>
      </c>
      <c r="H330" s="17">
        <v>0</v>
      </c>
      <c r="I330" s="17">
        <v>400</v>
      </c>
      <c r="J330" s="18" t="s">
        <v>8</v>
      </c>
    </row>
    <row r="331" spans="1:10" x14ac:dyDescent="0.2">
      <c r="A331" s="4" t="s">
        <v>957</v>
      </c>
      <c r="B331" s="15" t="s">
        <v>986</v>
      </c>
      <c r="C331" s="15" t="s">
        <v>987</v>
      </c>
      <c r="D331" s="15">
        <v>1</v>
      </c>
      <c r="E331" s="16" t="s">
        <v>668</v>
      </c>
      <c r="F331" s="15">
        <v>17730400</v>
      </c>
      <c r="G331" s="15">
        <v>16800000</v>
      </c>
      <c r="H331" s="17">
        <v>250000</v>
      </c>
      <c r="I331" s="17">
        <v>680400</v>
      </c>
      <c r="J331" s="18" t="s">
        <v>8</v>
      </c>
    </row>
    <row r="332" spans="1:10" x14ac:dyDescent="0.2">
      <c r="A332" s="4" t="s">
        <v>960</v>
      </c>
      <c r="B332" s="15" t="s">
        <v>989</v>
      </c>
      <c r="C332" s="15" t="s">
        <v>990</v>
      </c>
      <c r="D332" s="15">
        <v>1</v>
      </c>
      <c r="E332" s="16" t="s">
        <v>668</v>
      </c>
      <c r="F332" s="15">
        <v>5030400</v>
      </c>
      <c r="G332" s="15">
        <v>4100000</v>
      </c>
      <c r="H332" s="17">
        <v>250000</v>
      </c>
      <c r="I332" s="17">
        <v>680400</v>
      </c>
      <c r="J332" s="18" t="s">
        <v>8</v>
      </c>
    </row>
    <row r="333" spans="1:10" x14ac:dyDescent="0.2">
      <c r="A333" s="4" t="s">
        <v>963</v>
      </c>
      <c r="B333" s="15" t="s">
        <v>992</v>
      </c>
      <c r="C333" s="15" t="s">
        <v>993</v>
      </c>
      <c r="D333" s="15">
        <v>1</v>
      </c>
      <c r="E333" s="16" t="s">
        <v>668</v>
      </c>
      <c r="F333" s="15">
        <v>5030400</v>
      </c>
      <c r="G333" s="15">
        <v>4100000</v>
      </c>
      <c r="H333" s="17">
        <v>250000</v>
      </c>
      <c r="I333" s="17">
        <v>680400</v>
      </c>
      <c r="J333" s="18" t="s">
        <v>8</v>
      </c>
    </row>
    <row r="334" spans="1:10" x14ac:dyDescent="0.2">
      <c r="A334" s="4" t="s">
        <v>966</v>
      </c>
      <c r="B334" s="15" t="s">
        <v>995</v>
      </c>
      <c r="C334" s="15" t="s">
        <v>996</v>
      </c>
      <c r="D334" s="15">
        <v>1</v>
      </c>
      <c r="E334" s="16" t="s">
        <v>668</v>
      </c>
      <c r="F334" s="15">
        <v>1390400</v>
      </c>
      <c r="G334" s="15">
        <v>460000.00000000093</v>
      </c>
      <c r="H334" s="17">
        <v>250000</v>
      </c>
      <c r="I334" s="17">
        <v>680400</v>
      </c>
      <c r="J334" s="18" t="s">
        <v>8</v>
      </c>
    </row>
    <row r="335" spans="1:10" x14ac:dyDescent="0.2">
      <c r="A335" s="4" t="s">
        <v>969</v>
      </c>
      <c r="B335" s="15" t="s">
        <v>998</v>
      </c>
      <c r="C335" s="15" t="s">
        <v>999</v>
      </c>
      <c r="D335" s="15">
        <v>1</v>
      </c>
      <c r="E335" s="16" t="s">
        <v>668</v>
      </c>
      <c r="F335" s="15">
        <v>930400</v>
      </c>
      <c r="G335" s="15">
        <v>0</v>
      </c>
      <c r="H335" s="17">
        <v>250000</v>
      </c>
      <c r="I335" s="17">
        <v>680400</v>
      </c>
      <c r="J335" s="18" t="s">
        <v>8</v>
      </c>
    </row>
    <row r="336" spans="1:10" x14ac:dyDescent="0.2">
      <c r="A336" s="4" t="s">
        <v>972</v>
      </c>
      <c r="B336" s="15" t="s">
        <v>1001</v>
      </c>
      <c r="C336" s="15" t="s">
        <v>1002</v>
      </c>
      <c r="D336" s="15">
        <v>1</v>
      </c>
      <c r="E336" s="16" t="s">
        <v>668</v>
      </c>
      <c r="F336" s="15">
        <v>17730400</v>
      </c>
      <c r="G336" s="15">
        <v>16800000</v>
      </c>
      <c r="H336" s="17">
        <v>250000</v>
      </c>
      <c r="I336" s="17">
        <v>680400</v>
      </c>
      <c r="J336" s="18" t="s">
        <v>8</v>
      </c>
    </row>
    <row r="337" spans="1:10" x14ac:dyDescent="0.2">
      <c r="A337" s="4" t="s">
        <v>975</v>
      </c>
      <c r="B337" s="15" t="s">
        <v>1004</v>
      </c>
      <c r="C337" s="15" t="s">
        <v>458</v>
      </c>
      <c r="D337" s="15">
        <v>1</v>
      </c>
      <c r="E337" s="16" t="s">
        <v>668</v>
      </c>
      <c r="F337" s="15">
        <v>17730400</v>
      </c>
      <c r="G337" s="15">
        <v>16800000</v>
      </c>
      <c r="H337" s="17">
        <v>250000</v>
      </c>
      <c r="I337" s="17">
        <v>680400</v>
      </c>
      <c r="J337" s="18" t="s">
        <v>8</v>
      </c>
    </row>
    <row r="338" spans="1:10" x14ac:dyDescent="0.2">
      <c r="A338" s="4" t="s">
        <v>978</v>
      </c>
      <c r="B338" s="15" t="s">
        <v>1006</v>
      </c>
      <c r="C338" s="15" t="s">
        <v>1007</v>
      </c>
      <c r="D338" s="15">
        <v>1</v>
      </c>
      <c r="E338" s="16" t="s">
        <v>668</v>
      </c>
      <c r="F338" s="15">
        <v>10030400</v>
      </c>
      <c r="G338" s="15">
        <v>9100000</v>
      </c>
      <c r="H338" s="17">
        <v>250000</v>
      </c>
      <c r="I338" s="17">
        <v>680400</v>
      </c>
      <c r="J338" s="18" t="s">
        <v>8</v>
      </c>
    </row>
    <row r="339" spans="1:10" x14ac:dyDescent="0.2">
      <c r="A339" s="4" t="s">
        <v>981</v>
      </c>
      <c r="B339" s="15" t="s">
        <v>1009</v>
      </c>
      <c r="C339" s="15" t="s">
        <v>1010</v>
      </c>
      <c r="D339" s="15">
        <v>1</v>
      </c>
      <c r="E339" s="16" t="s">
        <v>668</v>
      </c>
      <c r="F339" s="15">
        <v>13250400</v>
      </c>
      <c r="G339" s="15">
        <v>12320000</v>
      </c>
      <c r="H339" s="17">
        <v>250000</v>
      </c>
      <c r="I339" s="17">
        <v>680400</v>
      </c>
      <c r="J339" s="18" t="s">
        <v>8</v>
      </c>
    </row>
    <row r="340" spans="1:10" x14ac:dyDescent="0.2">
      <c r="A340" s="4" t="s">
        <v>984</v>
      </c>
      <c r="B340" s="15" t="s">
        <v>1012</v>
      </c>
      <c r="C340" s="15" t="s">
        <v>1013</v>
      </c>
      <c r="D340" s="15">
        <v>1</v>
      </c>
      <c r="E340" s="16" t="s">
        <v>668</v>
      </c>
      <c r="F340" s="15">
        <v>10490400</v>
      </c>
      <c r="G340" s="15">
        <v>9560000</v>
      </c>
      <c r="H340" s="17">
        <v>250000</v>
      </c>
      <c r="I340" s="17">
        <v>680400</v>
      </c>
      <c r="J340" s="18" t="s">
        <v>8</v>
      </c>
    </row>
    <row r="341" spans="1:10" x14ac:dyDescent="0.2">
      <c r="A341" s="4" t="s">
        <v>985</v>
      </c>
      <c r="B341" s="15" t="s">
        <v>1015</v>
      </c>
      <c r="C341" s="15" t="s">
        <v>1016</v>
      </c>
      <c r="D341" s="15">
        <v>1</v>
      </c>
      <c r="E341" s="16" t="s">
        <v>1017</v>
      </c>
      <c r="F341" s="15">
        <v>1390400</v>
      </c>
      <c r="G341" s="15">
        <v>460000.00000000093</v>
      </c>
      <c r="H341" s="17">
        <v>250000</v>
      </c>
      <c r="I341" s="17">
        <v>680400</v>
      </c>
      <c r="J341" s="18" t="s">
        <v>8</v>
      </c>
    </row>
    <row r="342" spans="1:10" x14ac:dyDescent="0.2">
      <c r="A342" s="4" t="s">
        <v>988</v>
      </c>
      <c r="B342" s="15" t="s">
        <v>1019</v>
      </c>
      <c r="C342" s="15" t="s">
        <v>1020</v>
      </c>
      <c r="D342" s="15">
        <v>1</v>
      </c>
      <c r="E342" s="16" t="s">
        <v>1017</v>
      </c>
      <c r="F342" s="15">
        <v>5971000</v>
      </c>
      <c r="G342" s="15">
        <v>5040600</v>
      </c>
      <c r="H342" s="17">
        <v>250000</v>
      </c>
      <c r="I342" s="17">
        <v>680400</v>
      </c>
      <c r="J342" s="18" t="s">
        <v>8</v>
      </c>
    </row>
    <row r="343" spans="1:10" x14ac:dyDescent="0.2">
      <c r="A343" s="4" t="s">
        <v>991</v>
      </c>
      <c r="B343" s="15" t="s">
        <v>1022</v>
      </c>
      <c r="C343" s="15" t="s">
        <v>1023</v>
      </c>
      <c r="D343" s="15">
        <v>1</v>
      </c>
      <c r="E343" s="16" t="s">
        <v>1017</v>
      </c>
      <c r="F343" s="15">
        <v>19130400</v>
      </c>
      <c r="G343" s="15">
        <v>18200000</v>
      </c>
      <c r="H343" s="17">
        <v>250000</v>
      </c>
      <c r="I343" s="17">
        <v>680400</v>
      </c>
      <c r="J343" s="18" t="s">
        <v>8</v>
      </c>
    </row>
    <row r="344" spans="1:10" x14ac:dyDescent="0.2">
      <c r="A344" s="4" t="s">
        <v>994</v>
      </c>
      <c r="B344" s="15" t="s">
        <v>1025</v>
      </c>
      <c r="C344" s="15" t="s">
        <v>1026</v>
      </c>
      <c r="D344" s="15">
        <v>1</v>
      </c>
      <c r="E344" s="16" t="s">
        <v>1017</v>
      </c>
      <c r="F344" s="15">
        <v>10490400</v>
      </c>
      <c r="G344" s="15">
        <v>9560000</v>
      </c>
      <c r="H344" s="17">
        <v>250000</v>
      </c>
      <c r="I344" s="17">
        <v>680400</v>
      </c>
      <c r="J344" s="18" t="s">
        <v>8</v>
      </c>
    </row>
    <row r="345" spans="1:10" x14ac:dyDescent="0.2">
      <c r="A345" s="4" t="s">
        <v>997</v>
      </c>
      <c r="B345" s="15" t="s">
        <v>1028</v>
      </c>
      <c r="C345" s="15" t="s">
        <v>253</v>
      </c>
      <c r="D345" s="15">
        <v>1</v>
      </c>
      <c r="E345" s="16" t="s">
        <v>1017</v>
      </c>
      <c r="F345" s="15">
        <v>5930400</v>
      </c>
      <c r="G345" s="15">
        <v>5000000</v>
      </c>
      <c r="H345" s="17">
        <v>250000</v>
      </c>
      <c r="I345" s="17">
        <v>680400</v>
      </c>
      <c r="J345" s="18" t="s">
        <v>8</v>
      </c>
    </row>
    <row r="346" spans="1:10" x14ac:dyDescent="0.2">
      <c r="A346" s="4" t="s">
        <v>1000</v>
      </c>
      <c r="B346" s="15" t="s">
        <v>1030</v>
      </c>
      <c r="C346" s="15" t="s">
        <v>1031</v>
      </c>
      <c r="D346" s="15">
        <v>1</v>
      </c>
      <c r="E346" s="16" t="s">
        <v>1017</v>
      </c>
      <c r="F346" s="15">
        <v>3630400</v>
      </c>
      <c r="G346" s="15">
        <v>2700000</v>
      </c>
      <c r="H346" s="17">
        <v>250000</v>
      </c>
      <c r="I346" s="17">
        <v>680400</v>
      </c>
      <c r="J346" s="18" t="s">
        <v>8</v>
      </c>
    </row>
    <row r="347" spans="1:10" x14ac:dyDescent="0.2">
      <c r="A347" s="4" t="s">
        <v>1003</v>
      </c>
      <c r="B347" s="15" t="s">
        <v>1033</v>
      </c>
      <c r="C347" s="15" t="s">
        <v>1034</v>
      </c>
      <c r="D347" s="15">
        <v>1</v>
      </c>
      <c r="E347" s="16" t="s">
        <v>1017</v>
      </c>
      <c r="F347" s="15">
        <v>5970400</v>
      </c>
      <c r="G347" s="15">
        <v>5040000.0000000009</v>
      </c>
      <c r="H347" s="17">
        <v>250000</v>
      </c>
      <c r="I347" s="17">
        <v>680400</v>
      </c>
      <c r="J347" s="18" t="s">
        <v>8</v>
      </c>
    </row>
    <row r="348" spans="1:10" x14ac:dyDescent="0.2">
      <c r="A348" s="4" t="s">
        <v>1005</v>
      </c>
      <c r="B348" s="15" t="s">
        <v>1036</v>
      </c>
      <c r="C348" s="15" t="s">
        <v>1037</v>
      </c>
      <c r="D348" s="15">
        <v>1</v>
      </c>
      <c r="E348" s="16" t="s">
        <v>1017</v>
      </c>
      <c r="F348" s="15">
        <v>6710400</v>
      </c>
      <c r="G348" s="15">
        <v>5780000</v>
      </c>
      <c r="H348" s="17">
        <v>250000</v>
      </c>
      <c r="I348" s="17">
        <v>680400</v>
      </c>
      <c r="J348" s="18" t="s">
        <v>8</v>
      </c>
    </row>
    <row r="349" spans="1:10" x14ac:dyDescent="0.2">
      <c r="A349" s="4" t="s">
        <v>1008</v>
      </c>
      <c r="B349" s="15" t="s">
        <v>1039</v>
      </c>
      <c r="C349" s="15" t="s">
        <v>1040</v>
      </c>
      <c r="D349" s="15">
        <v>1</v>
      </c>
      <c r="E349" s="16" t="s">
        <v>1017</v>
      </c>
      <c r="F349" s="15">
        <v>10490400</v>
      </c>
      <c r="G349" s="15">
        <v>9560000</v>
      </c>
      <c r="H349" s="17">
        <v>250000</v>
      </c>
      <c r="I349" s="17">
        <v>680400</v>
      </c>
      <c r="J349" s="18" t="s">
        <v>8</v>
      </c>
    </row>
    <row r="350" spans="1:10" x14ac:dyDescent="0.2">
      <c r="A350" s="4" t="s">
        <v>1011</v>
      </c>
      <c r="B350" s="15" t="s">
        <v>1042</v>
      </c>
      <c r="C350" s="15" t="s">
        <v>1043</v>
      </c>
      <c r="D350" s="15">
        <v>1</v>
      </c>
      <c r="E350" s="16" t="s">
        <v>1017</v>
      </c>
      <c r="F350" s="15">
        <v>13250400</v>
      </c>
      <c r="G350" s="15">
        <v>12320000</v>
      </c>
      <c r="H350" s="17">
        <v>250000</v>
      </c>
      <c r="I350" s="17">
        <v>680400</v>
      </c>
      <c r="J350" s="18" t="s">
        <v>8</v>
      </c>
    </row>
    <row r="351" spans="1:10" x14ac:dyDescent="0.2">
      <c r="A351" s="4" t="s">
        <v>1014</v>
      </c>
      <c r="B351" s="15" t="s">
        <v>1045</v>
      </c>
      <c r="C351" s="15" t="s">
        <v>274</v>
      </c>
      <c r="D351" s="15">
        <v>1</v>
      </c>
      <c r="E351" s="16" t="s">
        <v>1017</v>
      </c>
      <c r="F351" s="15">
        <v>6390400</v>
      </c>
      <c r="G351" s="15">
        <v>5460000.0000000009</v>
      </c>
      <c r="H351" s="17">
        <v>250000</v>
      </c>
      <c r="I351" s="17">
        <v>680400</v>
      </c>
      <c r="J351" s="18" t="s">
        <v>8</v>
      </c>
    </row>
    <row r="352" spans="1:10" x14ac:dyDescent="0.2">
      <c r="A352" s="4" t="s">
        <v>1018</v>
      </c>
      <c r="B352" s="15" t="s">
        <v>1047</v>
      </c>
      <c r="C352" s="15" t="s">
        <v>1048</v>
      </c>
      <c r="D352" s="15">
        <v>1</v>
      </c>
      <c r="E352" s="16" t="s">
        <v>1017</v>
      </c>
      <c r="F352" s="15">
        <v>6710400</v>
      </c>
      <c r="G352" s="15">
        <v>5780000</v>
      </c>
      <c r="H352" s="17">
        <v>250000</v>
      </c>
      <c r="I352" s="17">
        <v>680400</v>
      </c>
      <c r="J352" s="18" t="s">
        <v>8</v>
      </c>
    </row>
    <row r="353" spans="1:10" x14ac:dyDescent="0.2">
      <c r="A353" s="4" t="s">
        <v>1021</v>
      </c>
      <c r="B353" s="15" t="s">
        <v>1050</v>
      </c>
      <c r="C353" s="15" t="s">
        <v>1051</v>
      </c>
      <c r="D353" s="15">
        <v>1</v>
      </c>
      <c r="E353" s="16" t="s">
        <v>1017</v>
      </c>
      <c r="F353" s="15">
        <v>8250400</v>
      </c>
      <c r="G353" s="15">
        <v>7320000</v>
      </c>
      <c r="H353" s="17">
        <v>250000</v>
      </c>
      <c r="I353" s="17">
        <v>680400</v>
      </c>
      <c r="J353" s="18" t="s">
        <v>8</v>
      </c>
    </row>
    <row r="354" spans="1:10" x14ac:dyDescent="0.2">
      <c r="A354" s="4" t="s">
        <v>1024</v>
      </c>
      <c r="B354" s="15" t="s">
        <v>1053</v>
      </c>
      <c r="C354" s="15" t="s">
        <v>1054</v>
      </c>
      <c r="D354" s="15">
        <v>1</v>
      </c>
      <c r="E354" s="16" t="s">
        <v>1017</v>
      </c>
      <c r="F354" s="15">
        <v>16330400</v>
      </c>
      <c r="G354" s="15">
        <v>15400000</v>
      </c>
      <c r="H354" s="17">
        <v>250000</v>
      </c>
      <c r="I354" s="17">
        <v>680400</v>
      </c>
      <c r="J354" s="18" t="s">
        <v>8</v>
      </c>
    </row>
    <row r="355" spans="1:10" x14ac:dyDescent="0.2">
      <c r="A355" s="4" t="s">
        <v>1027</v>
      </c>
      <c r="B355" s="15" t="s">
        <v>1056</v>
      </c>
      <c r="C355" s="15" t="s">
        <v>1057</v>
      </c>
      <c r="D355" s="15">
        <v>1</v>
      </c>
      <c r="E355" s="16" t="s">
        <v>1017</v>
      </c>
      <c r="F355" s="15">
        <v>8250400</v>
      </c>
      <c r="G355" s="15">
        <v>7320000</v>
      </c>
      <c r="H355" s="17">
        <v>250000</v>
      </c>
      <c r="I355" s="17">
        <v>680400</v>
      </c>
      <c r="J355" s="18" t="s">
        <v>8</v>
      </c>
    </row>
    <row r="356" spans="1:10" x14ac:dyDescent="0.2">
      <c r="A356" s="4" t="s">
        <v>1029</v>
      </c>
      <c r="B356" s="15" t="s">
        <v>1059</v>
      </c>
      <c r="C356" s="15" t="s">
        <v>1060</v>
      </c>
      <c r="D356" s="15">
        <v>1</v>
      </c>
      <c r="E356" s="16" t="s">
        <v>1017</v>
      </c>
      <c r="F356" s="15">
        <v>1391000</v>
      </c>
      <c r="G356" s="15">
        <v>460600</v>
      </c>
      <c r="H356" s="17">
        <v>250000</v>
      </c>
      <c r="I356" s="17">
        <v>680400</v>
      </c>
      <c r="J356" s="18" t="s">
        <v>8</v>
      </c>
    </row>
    <row r="357" spans="1:10" x14ac:dyDescent="0.2">
      <c r="A357" s="4" t="s">
        <v>1032</v>
      </c>
      <c r="B357" s="15" t="s">
        <v>1062</v>
      </c>
      <c r="C357" s="15" t="s">
        <v>1063</v>
      </c>
      <c r="D357" s="15">
        <v>1</v>
      </c>
      <c r="E357" s="16" t="s">
        <v>1017</v>
      </c>
      <c r="F357" s="15">
        <v>13250400</v>
      </c>
      <c r="G357" s="15">
        <v>12320000</v>
      </c>
      <c r="H357" s="17">
        <v>250000</v>
      </c>
      <c r="I357" s="17">
        <v>680400</v>
      </c>
      <c r="J357" s="18" t="s">
        <v>8</v>
      </c>
    </row>
    <row r="358" spans="1:10" x14ac:dyDescent="0.2">
      <c r="A358" s="4" t="s">
        <v>1035</v>
      </c>
      <c r="B358" s="15" t="s">
        <v>1065</v>
      </c>
      <c r="C358" s="15" t="s">
        <v>1066</v>
      </c>
      <c r="D358" s="15">
        <v>1</v>
      </c>
      <c r="E358" s="16" t="s">
        <v>1017</v>
      </c>
      <c r="F358" s="15">
        <v>7690400</v>
      </c>
      <c r="G358" s="15">
        <v>6760000</v>
      </c>
      <c r="H358" s="17">
        <v>250000</v>
      </c>
      <c r="I358" s="17">
        <v>680400</v>
      </c>
      <c r="J358" s="18" t="s">
        <v>8</v>
      </c>
    </row>
    <row r="359" spans="1:10" x14ac:dyDescent="0.2">
      <c r="A359" s="4" t="s">
        <v>1038</v>
      </c>
      <c r="B359" s="15" t="s">
        <v>1068</v>
      </c>
      <c r="C359" s="15" t="s">
        <v>1069</v>
      </c>
      <c r="D359" s="15">
        <v>1</v>
      </c>
      <c r="E359" s="16" t="s">
        <v>1017</v>
      </c>
      <c r="F359" s="15">
        <v>17310400</v>
      </c>
      <c r="G359" s="15">
        <v>16380000</v>
      </c>
      <c r="H359" s="17">
        <v>250000</v>
      </c>
      <c r="I359" s="17">
        <v>680400</v>
      </c>
      <c r="J359" s="18" t="s">
        <v>8</v>
      </c>
    </row>
    <row r="360" spans="1:10" x14ac:dyDescent="0.2">
      <c r="A360" s="4" t="s">
        <v>1041</v>
      </c>
      <c r="B360" s="15" t="s">
        <v>1071</v>
      </c>
      <c r="C360" s="15" t="s">
        <v>1072</v>
      </c>
      <c r="D360" s="15">
        <v>1</v>
      </c>
      <c r="E360" s="16" t="s">
        <v>1017</v>
      </c>
      <c r="F360" s="15">
        <v>3630400</v>
      </c>
      <c r="G360" s="15">
        <v>2700000</v>
      </c>
      <c r="H360" s="17">
        <v>250000</v>
      </c>
      <c r="I360" s="17">
        <v>680400</v>
      </c>
      <c r="J360" s="18" t="s">
        <v>8</v>
      </c>
    </row>
    <row r="361" spans="1:10" x14ac:dyDescent="0.2">
      <c r="A361" s="4" t="s">
        <v>1044</v>
      </c>
      <c r="B361" s="15" t="s">
        <v>1074</v>
      </c>
      <c r="C361" s="15" t="s">
        <v>1075</v>
      </c>
      <c r="D361" s="15">
        <v>1</v>
      </c>
      <c r="E361" s="16" t="s">
        <v>1017</v>
      </c>
      <c r="F361" s="15">
        <v>15490400</v>
      </c>
      <c r="G361" s="15">
        <v>14560000</v>
      </c>
      <c r="H361" s="17">
        <v>250000</v>
      </c>
      <c r="I361" s="17">
        <v>680400</v>
      </c>
      <c r="J361" s="18" t="s">
        <v>8</v>
      </c>
    </row>
    <row r="362" spans="1:10" x14ac:dyDescent="0.2">
      <c r="A362" s="4" t="s">
        <v>1046</v>
      </c>
      <c r="B362" s="15" t="s">
        <v>1077</v>
      </c>
      <c r="C362" s="15" t="s">
        <v>1078</v>
      </c>
      <c r="D362" s="15">
        <v>1</v>
      </c>
      <c r="E362" s="16" t="s">
        <v>1017</v>
      </c>
      <c r="F362" s="15">
        <v>15490400</v>
      </c>
      <c r="G362" s="15">
        <v>14560000</v>
      </c>
      <c r="H362" s="17">
        <v>250000</v>
      </c>
      <c r="I362" s="17">
        <v>680400</v>
      </c>
      <c r="J362" s="18" t="s">
        <v>8</v>
      </c>
    </row>
    <row r="363" spans="1:10" x14ac:dyDescent="0.2">
      <c r="A363" s="4" t="s">
        <v>1049</v>
      </c>
      <c r="B363" s="15" t="s">
        <v>1080</v>
      </c>
      <c r="C363" s="15" t="s">
        <v>1081</v>
      </c>
      <c r="D363" s="15">
        <v>1</v>
      </c>
      <c r="E363" s="16" t="s">
        <v>1017</v>
      </c>
      <c r="F363" s="15">
        <v>19130400</v>
      </c>
      <c r="G363" s="15">
        <v>18200000</v>
      </c>
      <c r="H363" s="17">
        <v>250000</v>
      </c>
      <c r="I363" s="17">
        <v>680400</v>
      </c>
      <c r="J363" s="18" t="s">
        <v>8</v>
      </c>
    </row>
    <row r="364" spans="1:10" x14ac:dyDescent="0.2">
      <c r="A364" s="4" t="s">
        <v>1052</v>
      </c>
      <c r="B364" s="15" t="s">
        <v>1083</v>
      </c>
      <c r="C364" s="15" t="s">
        <v>1084</v>
      </c>
      <c r="D364" s="15">
        <v>2</v>
      </c>
      <c r="E364" s="16" t="s">
        <v>1017</v>
      </c>
      <c r="F364" s="15">
        <v>19130000</v>
      </c>
      <c r="G364" s="15">
        <v>18200000</v>
      </c>
      <c r="H364" s="17">
        <v>250000</v>
      </c>
      <c r="I364" s="17">
        <v>680000</v>
      </c>
      <c r="J364" s="18" t="s">
        <v>8</v>
      </c>
    </row>
    <row r="365" spans="1:10" x14ac:dyDescent="0.2">
      <c r="A365" s="4" t="s">
        <v>1055</v>
      </c>
      <c r="B365" s="15" t="s">
        <v>1086</v>
      </c>
      <c r="C365" s="15" t="s">
        <v>1087</v>
      </c>
      <c r="D365" s="15">
        <v>1</v>
      </c>
      <c r="E365" s="16" t="s">
        <v>1017</v>
      </c>
      <c r="F365" s="15">
        <v>8250400</v>
      </c>
      <c r="G365" s="15">
        <v>7320000</v>
      </c>
      <c r="H365" s="17">
        <v>250000</v>
      </c>
      <c r="I365" s="17">
        <v>680400</v>
      </c>
      <c r="J365" s="18" t="s">
        <v>8</v>
      </c>
    </row>
    <row r="366" spans="1:10" x14ac:dyDescent="0.2">
      <c r="A366" s="4" t="s">
        <v>1058</v>
      </c>
      <c r="B366" s="15" t="s">
        <v>1089</v>
      </c>
      <c r="C366" s="15" t="s">
        <v>1090</v>
      </c>
      <c r="D366" s="15">
        <v>1</v>
      </c>
      <c r="E366" s="16" t="s">
        <v>1017</v>
      </c>
      <c r="F366" s="15">
        <v>6710400</v>
      </c>
      <c r="G366" s="15">
        <v>5780000</v>
      </c>
      <c r="H366" s="17">
        <v>250000</v>
      </c>
      <c r="I366" s="17">
        <v>680400</v>
      </c>
      <c r="J366" s="18" t="s">
        <v>8</v>
      </c>
    </row>
    <row r="367" spans="1:10" x14ac:dyDescent="0.2">
      <c r="A367" s="4" t="s">
        <v>1061</v>
      </c>
      <c r="B367" s="15" t="s">
        <v>1092</v>
      </c>
      <c r="C367" s="15" t="s">
        <v>1093</v>
      </c>
      <c r="D367" s="15">
        <v>1</v>
      </c>
      <c r="E367" s="16" t="s">
        <v>1017</v>
      </c>
      <c r="F367" s="15">
        <v>13250400</v>
      </c>
      <c r="G367" s="15">
        <v>12320000</v>
      </c>
      <c r="H367" s="17">
        <v>250000</v>
      </c>
      <c r="I367" s="17">
        <v>680400</v>
      </c>
      <c r="J367" s="18" t="s">
        <v>8</v>
      </c>
    </row>
    <row r="368" spans="1:10" x14ac:dyDescent="0.2">
      <c r="A368" s="4" t="s">
        <v>1064</v>
      </c>
      <c r="B368" s="15" t="s">
        <v>1095</v>
      </c>
      <c r="C368" s="15" t="s">
        <v>1096</v>
      </c>
      <c r="D368" s="15">
        <v>1</v>
      </c>
      <c r="E368" s="16" t="s">
        <v>1017</v>
      </c>
      <c r="F368" s="15">
        <v>8631000</v>
      </c>
      <c r="G368" s="15">
        <v>7700600</v>
      </c>
      <c r="H368" s="17">
        <v>250000</v>
      </c>
      <c r="I368" s="17">
        <v>680400</v>
      </c>
      <c r="J368" s="18" t="s">
        <v>8</v>
      </c>
    </row>
    <row r="369" spans="1:10" x14ac:dyDescent="0.2">
      <c r="A369" s="4" t="s">
        <v>1067</v>
      </c>
      <c r="B369" s="15" t="s">
        <v>1098</v>
      </c>
      <c r="C369" s="15" t="s">
        <v>1099</v>
      </c>
      <c r="D369" s="15">
        <v>1</v>
      </c>
      <c r="E369" s="16" t="s">
        <v>1017</v>
      </c>
      <c r="F369" s="15">
        <v>17310400</v>
      </c>
      <c r="G369" s="15">
        <v>16380000</v>
      </c>
      <c r="H369" s="17">
        <v>250000</v>
      </c>
      <c r="I369" s="17">
        <v>680400</v>
      </c>
      <c r="J369" s="18" t="s">
        <v>8</v>
      </c>
    </row>
    <row r="370" spans="1:10" x14ac:dyDescent="0.2">
      <c r="A370" s="4" t="s">
        <v>1070</v>
      </c>
      <c r="B370" s="15" t="s">
        <v>1101</v>
      </c>
      <c r="C370" s="15" t="s">
        <v>1102</v>
      </c>
      <c r="D370" s="15">
        <v>1</v>
      </c>
      <c r="E370" s="16" t="s">
        <v>1017</v>
      </c>
      <c r="F370" s="15">
        <v>7690400</v>
      </c>
      <c r="G370" s="15">
        <v>6760000</v>
      </c>
      <c r="H370" s="17">
        <v>250000</v>
      </c>
      <c r="I370" s="17">
        <v>680400</v>
      </c>
      <c r="J370" s="18" t="s">
        <v>8</v>
      </c>
    </row>
    <row r="371" spans="1:10" x14ac:dyDescent="0.2">
      <c r="A371" s="4" t="s">
        <v>1073</v>
      </c>
      <c r="B371" s="15" t="s">
        <v>1104</v>
      </c>
      <c r="C371" s="15" t="s">
        <v>1105</v>
      </c>
      <c r="D371" s="15">
        <v>1</v>
      </c>
      <c r="E371" s="16" t="s">
        <v>1017</v>
      </c>
      <c r="F371" s="15">
        <v>10030400</v>
      </c>
      <c r="G371" s="15">
        <v>9100000</v>
      </c>
      <c r="H371" s="17">
        <v>250000</v>
      </c>
      <c r="I371" s="17">
        <v>680400</v>
      </c>
      <c r="J371" s="18" t="s">
        <v>8</v>
      </c>
    </row>
    <row r="372" spans="1:10" x14ac:dyDescent="0.2">
      <c r="A372" s="4" t="s">
        <v>1076</v>
      </c>
      <c r="B372" s="15" t="s">
        <v>1107</v>
      </c>
      <c r="C372" s="15" t="s">
        <v>1108</v>
      </c>
      <c r="D372" s="15">
        <v>1</v>
      </c>
      <c r="E372" s="16" t="s">
        <v>1017</v>
      </c>
      <c r="F372" s="15">
        <v>19130400</v>
      </c>
      <c r="G372" s="15">
        <v>18200000</v>
      </c>
      <c r="H372" s="17">
        <v>250000</v>
      </c>
      <c r="I372" s="17">
        <v>680400</v>
      </c>
      <c r="J372" s="18" t="s">
        <v>8</v>
      </c>
    </row>
    <row r="373" spans="1:10" x14ac:dyDescent="0.2">
      <c r="A373" s="4" t="s">
        <v>1079</v>
      </c>
      <c r="B373" s="15" t="s">
        <v>1110</v>
      </c>
      <c r="C373" s="15" t="s">
        <v>1111</v>
      </c>
      <c r="D373" s="15">
        <v>1</v>
      </c>
      <c r="E373" s="16" t="s">
        <v>1017</v>
      </c>
      <c r="F373" s="15">
        <v>930400</v>
      </c>
      <c r="G373" s="15">
        <v>0</v>
      </c>
      <c r="H373" s="17">
        <v>250000</v>
      </c>
      <c r="I373" s="17">
        <v>680400</v>
      </c>
      <c r="J373" s="18" t="s">
        <v>8</v>
      </c>
    </row>
    <row r="374" spans="1:10" x14ac:dyDescent="0.2">
      <c r="A374" s="4" t="s">
        <v>1082</v>
      </c>
      <c r="B374" s="15" t="s">
        <v>1113</v>
      </c>
      <c r="C374" s="15" t="s">
        <v>1114</v>
      </c>
      <c r="D374" s="15">
        <v>1</v>
      </c>
      <c r="E374" s="16" t="s">
        <v>1017</v>
      </c>
      <c r="F374" s="15">
        <v>1390400</v>
      </c>
      <c r="G374" s="15">
        <v>460000.00000000093</v>
      </c>
      <c r="H374" s="17">
        <v>250000</v>
      </c>
      <c r="I374" s="17">
        <v>680400</v>
      </c>
      <c r="J374" s="18" t="s">
        <v>8</v>
      </c>
    </row>
    <row r="375" spans="1:10" x14ac:dyDescent="0.2">
      <c r="A375" s="4" t="s">
        <v>1085</v>
      </c>
      <c r="B375" s="15" t="s">
        <v>1116</v>
      </c>
      <c r="C375" s="15" t="s">
        <v>1117</v>
      </c>
      <c r="D375" s="15">
        <v>1</v>
      </c>
      <c r="E375" s="16" t="s">
        <v>1017</v>
      </c>
      <c r="F375" s="15">
        <v>17310400</v>
      </c>
      <c r="G375" s="15">
        <v>16380000</v>
      </c>
      <c r="H375" s="17">
        <v>250000</v>
      </c>
      <c r="I375" s="17">
        <v>680400</v>
      </c>
      <c r="J375" s="18" t="s">
        <v>8</v>
      </c>
    </row>
    <row r="376" spans="1:10" x14ac:dyDescent="0.2">
      <c r="A376" s="4" t="s">
        <v>1088</v>
      </c>
      <c r="B376" s="15" t="s">
        <v>1119</v>
      </c>
      <c r="C376" s="15" t="s">
        <v>1120</v>
      </c>
      <c r="D376" s="15">
        <v>1</v>
      </c>
      <c r="E376" s="16" t="s">
        <v>1017</v>
      </c>
      <c r="F376" s="15">
        <v>8670400</v>
      </c>
      <c r="G376" s="15">
        <v>7740000</v>
      </c>
      <c r="H376" s="17">
        <v>250000</v>
      </c>
      <c r="I376" s="17">
        <v>680400</v>
      </c>
      <c r="J376" s="18" t="s">
        <v>8</v>
      </c>
    </row>
    <row r="377" spans="1:10" x14ac:dyDescent="0.2">
      <c r="A377" s="4" t="s">
        <v>1091</v>
      </c>
      <c r="B377" s="15" t="s">
        <v>1122</v>
      </c>
      <c r="C377" s="15" t="s">
        <v>1123</v>
      </c>
      <c r="D377" s="15">
        <v>1</v>
      </c>
      <c r="E377" s="16" t="s">
        <v>1017</v>
      </c>
      <c r="F377" s="15">
        <v>15490400</v>
      </c>
      <c r="G377" s="15">
        <v>14560000</v>
      </c>
      <c r="H377" s="17">
        <v>250000</v>
      </c>
      <c r="I377" s="17">
        <v>680400</v>
      </c>
      <c r="J377" s="18" t="s">
        <v>8</v>
      </c>
    </row>
    <row r="378" spans="1:10" x14ac:dyDescent="0.2">
      <c r="A378" s="4" t="s">
        <v>1094</v>
      </c>
      <c r="B378" s="15" t="s">
        <v>1125</v>
      </c>
      <c r="C378" s="15" t="s">
        <v>1126</v>
      </c>
      <c r="D378" s="15">
        <v>1</v>
      </c>
      <c r="E378" s="16" t="s">
        <v>1017</v>
      </c>
      <c r="F378" s="15">
        <v>930400</v>
      </c>
      <c r="G378" s="15">
        <v>0</v>
      </c>
      <c r="H378" s="17">
        <v>250000</v>
      </c>
      <c r="I378" s="17">
        <v>680400</v>
      </c>
      <c r="J378" s="18" t="s">
        <v>8</v>
      </c>
    </row>
    <row r="379" spans="1:10" x14ac:dyDescent="0.2">
      <c r="A379" s="4" t="s">
        <v>1097</v>
      </c>
      <c r="B379" s="15" t="s">
        <v>1128</v>
      </c>
      <c r="C379" s="15" t="s">
        <v>1129</v>
      </c>
      <c r="D379" s="15">
        <v>1</v>
      </c>
      <c r="E379" s="16" t="s">
        <v>1017</v>
      </c>
      <c r="F379" s="15">
        <v>1390400</v>
      </c>
      <c r="G379" s="15">
        <v>460000.00000000093</v>
      </c>
      <c r="H379" s="17">
        <v>250000</v>
      </c>
      <c r="I379" s="17">
        <v>680400</v>
      </c>
      <c r="J379" s="18" t="s">
        <v>8</v>
      </c>
    </row>
    <row r="380" spans="1:10" x14ac:dyDescent="0.2">
      <c r="A380" s="4" t="s">
        <v>1100</v>
      </c>
      <c r="B380" s="15" t="s">
        <v>1131</v>
      </c>
      <c r="C380" s="15" t="s">
        <v>1132</v>
      </c>
      <c r="D380" s="15">
        <v>1</v>
      </c>
      <c r="E380" s="16" t="s">
        <v>1017</v>
      </c>
      <c r="F380" s="15">
        <v>14370400</v>
      </c>
      <c r="G380" s="15">
        <v>13440000</v>
      </c>
      <c r="H380" s="17">
        <v>250000</v>
      </c>
      <c r="I380" s="17">
        <v>680400</v>
      </c>
      <c r="J380" s="18" t="s">
        <v>8</v>
      </c>
    </row>
    <row r="381" spans="1:10" x14ac:dyDescent="0.2">
      <c r="A381" s="4" t="s">
        <v>1103</v>
      </c>
      <c r="B381" s="15" t="s">
        <v>1134</v>
      </c>
      <c r="C381" s="15" t="s">
        <v>1135</v>
      </c>
      <c r="D381" s="15">
        <v>1</v>
      </c>
      <c r="E381" s="16" t="s">
        <v>1017</v>
      </c>
      <c r="F381" s="15">
        <v>5550400</v>
      </c>
      <c r="G381" s="15">
        <v>4620000.0000000009</v>
      </c>
      <c r="H381" s="17">
        <v>250000</v>
      </c>
      <c r="I381" s="17">
        <v>680400</v>
      </c>
      <c r="J381" s="18" t="s">
        <v>8</v>
      </c>
    </row>
    <row r="382" spans="1:10" x14ac:dyDescent="0.2">
      <c r="A382" s="4" t="s">
        <v>1106</v>
      </c>
      <c r="B382" s="15" t="s">
        <v>1137</v>
      </c>
      <c r="C382" s="15" t="s">
        <v>1138</v>
      </c>
      <c r="D382" s="15">
        <v>1</v>
      </c>
      <c r="E382" s="16" t="s">
        <v>1017</v>
      </c>
      <c r="F382" s="15">
        <v>8670400</v>
      </c>
      <c r="G382" s="15">
        <v>7740000</v>
      </c>
      <c r="H382" s="17">
        <v>250000</v>
      </c>
      <c r="I382" s="17">
        <v>680400</v>
      </c>
      <c r="J382" s="18" t="s">
        <v>8</v>
      </c>
    </row>
    <row r="383" spans="1:10" x14ac:dyDescent="0.2">
      <c r="A383" s="4" t="s">
        <v>1109</v>
      </c>
      <c r="B383" s="15" t="s">
        <v>1140</v>
      </c>
      <c r="C383" s="15" t="s">
        <v>1141</v>
      </c>
      <c r="D383" s="15">
        <v>2</v>
      </c>
      <c r="E383" s="16" t="s">
        <v>1017</v>
      </c>
      <c r="F383" s="15">
        <v>14370000</v>
      </c>
      <c r="G383" s="15">
        <v>13440000</v>
      </c>
      <c r="H383" s="17">
        <v>250000</v>
      </c>
      <c r="I383" s="17">
        <v>680000</v>
      </c>
      <c r="J383" s="18" t="s">
        <v>8</v>
      </c>
    </row>
    <row r="384" spans="1:10" x14ac:dyDescent="0.2">
      <c r="A384" s="4" t="s">
        <v>1112</v>
      </c>
      <c r="B384" s="15" t="s">
        <v>1143</v>
      </c>
      <c r="C384" s="15" t="s">
        <v>1144</v>
      </c>
      <c r="D384" s="15">
        <v>1</v>
      </c>
      <c r="E384" s="16" t="s">
        <v>1017</v>
      </c>
      <c r="F384" s="15">
        <v>10030400</v>
      </c>
      <c r="G384" s="15">
        <v>9100000</v>
      </c>
      <c r="H384" s="17">
        <v>250000</v>
      </c>
      <c r="I384" s="17">
        <v>680400</v>
      </c>
      <c r="J384" s="18" t="s">
        <v>8</v>
      </c>
    </row>
    <row r="385" spans="1:10" x14ac:dyDescent="0.2">
      <c r="A385" s="4" t="s">
        <v>1115</v>
      </c>
      <c r="B385" s="15" t="s">
        <v>1146</v>
      </c>
      <c r="C385" s="15" t="s">
        <v>1147</v>
      </c>
      <c r="D385" s="15">
        <v>1</v>
      </c>
      <c r="E385" s="16" t="s">
        <v>1017</v>
      </c>
      <c r="F385" s="15">
        <v>14370400</v>
      </c>
      <c r="G385" s="15">
        <v>13440000</v>
      </c>
      <c r="H385" s="17">
        <v>250000</v>
      </c>
      <c r="I385" s="17">
        <v>680400</v>
      </c>
      <c r="J385" s="18" t="s">
        <v>8</v>
      </c>
    </row>
    <row r="386" spans="1:10" x14ac:dyDescent="0.2">
      <c r="A386" s="4" t="s">
        <v>1118</v>
      </c>
      <c r="B386" s="15" t="s">
        <v>1149</v>
      </c>
      <c r="C386" s="15" t="s">
        <v>1150</v>
      </c>
      <c r="D386" s="15">
        <v>1</v>
      </c>
      <c r="E386" s="16" t="s">
        <v>1017</v>
      </c>
      <c r="F386" s="15">
        <v>6710400</v>
      </c>
      <c r="G386" s="15">
        <v>5780000</v>
      </c>
      <c r="H386" s="17">
        <v>250000</v>
      </c>
      <c r="I386" s="17">
        <v>680400</v>
      </c>
      <c r="J386" s="18" t="s">
        <v>8</v>
      </c>
    </row>
    <row r="387" spans="1:10" x14ac:dyDescent="0.2">
      <c r="A387" s="4" t="s">
        <v>1121</v>
      </c>
      <c r="B387" s="15" t="s">
        <v>1152</v>
      </c>
      <c r="C387" s="15" t="s">
        <v>1153</v>
      </c>
      <c r="D387" s="15">
        <v>1</v>
      </c>
      <c r="E387" s="16" t="s">
        <v>1017</v>
      </c>
      <c r="F387" s="15">
        <v>15490400</v>
      </c>
      <c r="G387" s="15">
        <v>14560000</v>
      </c>
      <c r="H387" s="17">
        <v>250000</v>
      </c>
      <c r="I387" s="17">
        <v>680400</v>
      </c>
      <c r="J387" s="18" t="s">
        <v>8</v>
      </c>
    </row>
    <row r="388" spans="1:10" x14ac:dyDescent="0.2">
      <c r="A388" s="4" t="s">
        <v>1124</v>
      </c>
      <c r="B388" s="15" t="s">
        <v>1155</v>
      </c>
      <c r="C388" s="15" t="s">
        <v>1156</v>
      </c>
      <c r="D388" s="15">
        <v>1</v>
      </c>
      <c r="E388" s="16" t="s">
        <v>1017</v>
      </c>
      <c r="F388" s="15">
        <v>5030400</v>
      </c>
      <c r="G388" s="15">
        <v>4100000</v>
      </c>
      <c r="H388" s="17">
        <v>250000</v>
      </c>
      <c r="I388" s="17">
        <v>680400</v>
      </c>
      <c r="J388" s="18" t="s">
        <v>8</v>
      </c>
    </row>
    <row r="389" spans="1:10" x14ac:dyDescent="0.2">
      <c r="A389" s="4" t="s">
        <v>1127</v>
      </c>
      <c r="B389" s="15" t="s">
        <v>1158</v>
      </c>
      <c r="C389" s="15" t="s">
        <v>1159</v>
      </c>
      <c r="D389" s="15">
        <v>1</v>
      </c>
      <c r="E389" s="16" t="s">
        <v>1017</v>
      </c>
      <c r="F389" s="15">
        <v>8250400</v>
      </c>
      <c r="G389" s="15">
        <v>7320000</v>
      </c>
      <c r="H389" s="17">
        <v>250000</v>
      </c>
      <c r="I389" s="17">
        <v>680400</v>
      </c>
      <c r="J389" s="18" t="s">
        <v>8</v>
      </c>
    </row>
    <row r="390" spans="1:10" x14ac:dyDescent="0.2">
      <c r="A390" s="4" t="s">
        <v>1130</v>
      </c>
      <c r="B390" s="15" t="s">
        <v>1161</v>
      </c>
      <c r="C390" s="15" t="s">
        <v>1162</v>
      </c>
      <c r="D390" s="15">
        <v>1</v>
      </c>
      <c r="E390" s="16" t="s">
        <v>1017</v>
      </c>
      <c r="F390" s="15">
        <v>550400</v>
      </c>
      <c r="G390" s="15">
        <v>0</v>
      </c>
      <c r="H390" s="17">
        <v>250000</v>
      </c>
      <c r="I390" s="17">
        <v>300400</v>
      </c>
      <c r="J390" s="18" t="s">
        <v>8</v>
      </c>
    </row>
    <row r="391" spans="1:10" x14ac:dyDescent="0.2">
      <c r="A391" s="4" t="s">
        <v>1133</v>
      </c>
      <c r="B391" s="15" t="s">
        <v>1164</v>
      </c>
      <c r="C391" s="15" t="s">
        <v>1165</v>
      </c>
      <c r="D391" s="15">
        <v>1</v>
      </c>
      <c r="E391" s="16" t="s">
        <v>1017</v>
      </c>
      <c r="F391" s="15">
        <v>10490400</v>
      </c>
      <c r="G391" s="15">
        <v>9560000</v>
      </c>
      <c r="H391" s="17">
        <v>250000</v>
      </c>
      <c r="I391" s="17">
        <v>680400</v>
      </c>
      <c r="J391" s="18" t="s">
        <v>8</v>
      </c>
    </row>
    <row r="392" spans="1:10" x14ac:dyDescent="0.2">
      <c r="A392" s="4" t="s">
        <v>1136</v>
      </c>
      <c r="B392" s="15" t="s">
        <v>1167</v>
      </c>
      <c r="C392" s="15" t="s">
        <v>1168</v>
      </c>
      <c r="D392" s="15">
        <v>1</v>
      </c>
      <c r="E392" s="16" t="s">
        <v>1017</v>
      </c>
      <c r="F392" s="15">
        <v>17730400</v>
      </c>
      <c r="G392" s="15">
        <v>16800000</v>
      </c>
      <c r="H392" s="17">
        <v>250000</v>
      </c>
      <c r="I392" s="17">
        <v>680400</v>
      </c>
      <c r="J392" s="18" t="s">
        <v>8</v>
      </c>
    </row>
    <row r="393" spans="1:10" x14ac:dyDescent="0.2">
      <c r="A393" s="4" t="s">
        <v>1139</v>
      </c>
      <c r="B393" s="15" t="s">
        <v>1170</v>
      </c>
      <c r="C393" s="15" t="s">
        <v>1171</v>
      </c>
      <c r="D393" s="15">
        <v>1</v>
      </c>
      <c r="E393" s="16" t="s">
        <v>1017</v>
      </c>
      <c r="F393" s="15">
        <v>7690400</v>
      </c>
      <c r="G393" s="15">
        <v>6760000</v>
      </c>
      <c r="H393" s="17">
        <v>250000</v>
      </c>
      <c r="I393" s="17">
        <v>680400</v>
      </c>
      <c r="J393" s="18" t="s">
        <v>8</v>
      </c>
    </row>
    <row r="394" spans="1:10" x14ac:dyDescent="0.2">
      <c r="A394" s="4" t="s">
        <v>1142</v>
      </c>
      <c r="B394" s="15" t="s">
        <v>1173</v>
      </c>
      <c r="C394" s="15" t="s">
        <v>1174</v>
      </c>
      <c r="D394" s="15">
        <v>1</v>
      </c>
      <c r="E394" s="16" t="s">
        <v>1017</v>
      </c>
      <c r="F394" s="15">
        <v>5030400</v>
      </c>
      <c r="G394" s="15">
        <v>4100000</v>
      </c>
      <c r="H394" s="17">
        <v>250000</v>
      </c>
      <c r="I394" s="17">
        <v>680400</v>
      </c>
      <c r="J394" s="18" t="s">
        <v>8</v>
      </c>
    </row>
    <row r="395" spans="1:10" x14ac:dyDescent="0.2">
      <c r="A395" s="4" t="s">
        <v>1145</v>
      </c>
      <c r="B395" s="15" t="s">
        <v>1176</v>
      </c>
      <c r="C395" s="15" t="s">
        <v>1177</v>
      </c>
      <c r="D395" s="15">
        <v>1</v>
      </c>
      <c r="E395" s="16" t="s">
        <v>1017</v>
      </c>
      <c r="F395" s="15">
        <v>3630400</v>
      </c>
      <c r="G395" s="15">
        <v>2700000</v>
      </c>
      <c r="H395" s="17">
        <v>250000</v>
      </c>
      <c r="I395" s="17">
        <v>680400</v>
      </c>
      <c r="J395" s="18" t="s">
        <v>8</v>
      </c>
    </row>
    <row r="396" spans="1:10" x14ac:dyDescent="0.2">
      <c r="A396" s="4" t="s">
        <v>1148</v>
      </c>
      <c r="B396" s="15" t="s">
        <v>1179</v>
      </c>
      <c r="C396" s="15" t="s">
        <v>1180</v>
      </c>
      <c r="D396" s="15">
        <v>1</v>
      </c>
      <c r="E396" s="16" t="s">
        <v>1017</v>
      </c>
      <c r="F396" s="15">
        <v>15490400</v>
      </c>
      <c r="G396" s="15">
        <v>14560000</v>
      </c>
      <c r="H396" s="17">
        <v>250000</v>
      </c>
      <c r="I396" s="17">
        <v>680400</v>
      </c>
      <c r="J396" s="18" t="s">
        <v>8</v>
      </c>
    </row>
    <row r="397" spans="1:10" x14ac:dyDescent="0.2">
      <c r="A397" s="4" t="s">
        <v>1151</v>
      </c>
      <c r="B397" s="15" t="s">
        <v>1182</v>
      </c>
      <c r="C397" s="15" t="s">
        <v>1183</v>
      </c>
      <c r="D397" s="15">
        <v>1</v>
      </c>
      <c r="E397" s="16" t="s">
        <v>1017</v>
      </c>
      <c r="F397" s="15">
        <v>6710400</v>
      </c>
      <c r="G397" s="15">
        <v>5780000</v>
      </c>
      <c r="H397" s="17">
        <v>250000</v>
      </c>
      <c r="I397" s="17">
        <v>680400</v>
      </c>
      <c r="J397" s="18" t="s">
        <v>8</v>
      </c>
    </row>
    <row r="398" spans="1:10" x14ac:dyDescent="0.2">
      <c r="A398" s="4" t="s">
        <v>1154</v>
      </c>
      <c r="B398" s="15" t="s">
        <v>1185</v>
      </c>
      <c r="C398" s="15" t="s">
        <v>1186</v>
      </c>
      <c r="D398" s="15">
        <v>1</v>
      </c>
      <c r="E398" s="16" t="s">
        <v>1017</v>
      </c>
      <c r="F398" s="15">
        <v>6710400</v>
      </c>
      <c r="G398" s="15">
        <v>5780000</v>
      </c>
      <c r="H398" s="17">
        <v>250000</v>
      </c>
      <c r="I398" s="17">
        <v>680400</v>
      </c>
      <c r="J398" s="18" t="s">
        <v>8</v>
      </c>
    </row>
    <row r="399" spans="1:10" x14ac:dyDescent="0.2">
      <c r="A399" s="4" t="s">
        <v>1157</v>
      </c>
      <c r="B399" s="15" t="s">
        <v>1188</v>
      </c>
      <c r="C399" s="15" t="s">
        <v>1189</v>
      </c>
      <c r="D399" s="15">
        <v>1</v>
      </c>
      <c r="E399" s="16" t="s">
        <v>1017</v>
      </c>
      <c r="F399" s="15">
        <v>5030400</v>
      </c>
      <c r="G399" s="15">
        <v>4100000</v>
      </c>
      <c r="H399" s="17">
        <v>250000</v>
      </c>
      <c r="I399" s="17">
        <v>680400</v>
      </c>
      <c r="J399" s="18" t="s">
        <v>8</v>
      </c>
    </row>
    <row r="400" spans="1:10" x14ac:dyDescent="0.2">
      <c r="A400" s="4" t="s">
        <v>1160</v>
      </c>
      <c r="B400" s="15" t="s">
        <v>1191</v>
      </c>
      <c r="C400" s="15" t="s">
        <v>380</v>
      </c>
      <c r="D400" s="15">
        <v>1</v>
      </c>
      <c r="E400" s="16" t="s">
        <v>1017</v>
      </c>
      <c r="F400" s="15">
        <v>14790400</v>
      </c>
      <c r="G400" s="15">
        <v>13860000</v>
      </c>
      <c r="H400" s="17">
        <v>250000</v>
      </c>
      <c r="I400" s="17">
        <v>680400</v>
      </c>
      <c r="J400" s="18" t="s">
        <v>8</v>
      </c>
    </row>
    <row r="401" spans="1:10" x14ac:dyDescent="0.2">
      <c r="A401" s="4" t="s">
        <v>1163</v>
      </c>
      <c r="B401" s="15" t="s">
        <v>1193</v>
      </c>
      <c r="C401" s="15" t="s">
        <v>1194</v>
      </c>
      <c r="D401" s="15">
        <v>2</v>
      </c>
      <c r="E401" s="16" t="s">
        <v>1017</v>
      </c>
      <c r="F401" s="15">
        <v>930000</v>
      </c>
      <c r="G401" s="15">
        <v>0</v>
      </c>
      <c r="H401" s="17">
        <v>250000</v>
      </c>
      <c r="I401" s="17">
        <v>680000</v>
      </c>
      <c r="J401" s="18" t="s">
        <v>8</v>
      </c>
    </row>
    <row r="402" spans="1:10" x14ac:dyDescent="0.2">
      <c r="A402" s="4" t="s">
        <v>1166</v>
      </c>
      <c r="B402" s="15" t="s">
        <v>1196</v>
      </c>
      <c r="C402" s="15" t="s">
        <v>1197</v>
      </c>
      <c r="D402" s="15">
        <v>1</v>
      </c>
      <c r="E402" s="16" t="s">
        <v>1017</v>
      </c>
      <c r="F402" s="15">
        <v>13250400</v>
      </c>
      <c r="G402" s="15">
        <v>12320000</v>
      </c>
      <c r="H402" s="17">
        <v>250000</v>
      </c>
      <c r="I402" s="17">
        <v>680400</v>
      </c>
      <c r="J402" s="18" t="s">
        <v>8</v>
      </c>
    </row>
    <row r="403" spans="1:10" x14ac:dyDescent="0.2">
      <c r="A403" s="4" t="s">
        <v>1169</v>
      </c>
      <c r="B403" s="15" t="s">
        <v>1199</v>
      </c>
      <c r="C403" s="15" t="s">
        <v>1200</v>
      </c>
      <c r="D403" s="15">
        <v>1</v>
      </c>
      <c r="E403" s="16" t="s">
        <v>1017</v>
      </c>
      <c r="F403" s="15">
        <v>6710400</v>
      </c>
      <c r="G403" s="15">
        <v>5780000</v>
      </c>
      <c r="H403" s="17">
        <v>250000</v>
      </c>
      <c r="I403" s="17">
        <v>680400</v>
      </c>
      <c r="J403" s="18" t="s">
        <v>8</v>
      </c>
    </row>
    <row r="404" spans="1:10" x14ac:dyDescent="0.2">
      <c r="A404" s="4" t="s">
        <v>1172</v>
      </c>
      <c r="B404" s="15" t="s">
        <v>1202</v>
      </c>
      <c r="C404" s="15" t="s">
        <v>1203</v>
      </c>
      <c r="D404" s="15">
        <v>1</v>
      </c>
      <c r="E404" s="16" t="s">
        <v>1017</v>
      </c>
      <c r="F404" s="15">
        <v>4330400</v>
      </c>
      <c r="G404" s="15">
        <v>3400000</v>
      </c>
      <c r="H404" s="17">
        <v>250000</v>
      </c>
      <c r="I404" s="17">
        <v>680400</v>
      </c>
      <c r="J404" s="18" t="s">
        <v>8</v>
      </c>
    </row>
    <row r="405" spans="1:10" x14ac:dyDescent="0.2">
      <c r="A405" s="4" t="s">
        <v>1175</v>
      </c>
      <c r="B405" s="15" t="s">
        <v>1205</v>
      </c>
      <c r="C405" s="15" t="s">
        <v>1206</v>
      </c>
      <c r="D405" s="15">
        <v>1</v>
      </c>
      <c r="E405" s="16" t="s">
        <v>1017</v>
      </c>
      <c r="F405" s="15">
        <v>15490400</v>
      </c>
      <c r="G405" s="15">
        <v>14560000</v>
      </c>
      <c r="H405" s="17">
        <v>250000</v>
      </c>
      <c r="I405" s="17">
        <v>680400</v>
      </c>
      <c r="J405" s="18" t="s">
        <v>8</v>
      </c>
    </row>
    <row r="406" spans="1:10" x14ac:dyDescent="0.2">
      <c r="A406" s="4" t="s">
        <v>1178</v>
      </c>
      <c r="B406" s="15" t="s">
        <v>1208</v>
      </c>
      <c r="C406" s="15" t="s">
        <v>1209</v>
      </c>
      <c r="D406" s="15">
        <v>1</v>
      </c>
      <c r="E406" s="16" t="s">
        <v>1017</v>
      </c>
      <c r="F406" s="15">
        <v>6710400</v>
      </c>
      <c r="G406" s="15">
        <v>5780000</v>
      </c>
      <c r="H406" s="17">
        <v>250000</v>
      </c>
      <c r="I406" s="17">
        <v>680400</v>
      </c>
      <c r="J406" s="18" t="s">
        <v>8</v>
      </c>
    </row>
    <row r="407" spans="1:10" x14ac:dyDescent="0.2">
      <c r="A407" s="4" t="s">
        <v>1181</v>
      </c>
      <c r="B407" s="15" t="s">
        <v>1211</v>
      </c>
      <c r="C407" s="15" t="s">
        <v>1212</v>
      </c>
      <c r="D407" s="15">
        <v>1</v>
      </c>
      <c r="E407" s="16" t="s">
        <v>1017</v>
      </c>
      <c r="F407" s="15">
        <v>8250400</v>
      </c>
      <c r="G407" s="15">
        <v>7320000</v>
      </c>
      <c r="H407" s="17">
        <v>250000</v>
      </c>
      <c r="I407" s="17">
        <v>680400</v>
      </c>
      <c r="J407" s="18" t="s">
        <v>8</v>
      </c>
    </row>
    <row r="408" spans="1:10" x14ac:dyDescent="0.2">
      <c r="A408" s="4" t="s">
        <v>1184</v>
      </c>
      <c r="B408" s="15" t="s">
        <v>1214</v>
      </c>
      <c r="C408" s="15" t="s">
        <v>1215</v>
      </c>
      <c r="D408" s="15">
        <v>1</v>
      </c>
      <c r="E408" s="16" t="s">
        <v>1017</v>
      </c>
      <c r="F408" s="15">
        <v>10490400</v>
      </c>
      <c r="G408" s="15">
        <v>9560000</v>
      </c>
      <c r="H408" s="17">
        <v>250000</v>
      </c>
      <c r="I408" s="17">
        <v>680400</v>
      </c>
      <c r="J408" s="18" t="s">
        <v>8</v>
      </c>
    </row>
    <row r="409" spans="1:10" x14ac:dyDescent="0.2">
      <c r="A409" s="4" t="s">
        <v>1187</v>
      </c>
      <c r="B409" s="15" t="s">
        <v>1217</v>
      </c>
      <c r="C409" s="15" t="s">
        <v>1218</v>
      </c>
      <c r="D409" s="15">
        <v>1</v>
      </c>
      <c r="E409" s="16" t="s">
        <v>1017</v>
      </c>
      <c r="F409" s="15">
        <v>6710400</v>
      </c>
      <c r="G409" s="15">
        <v>5780000</v>
      </c>
      <c r="H409" s="17">
        <v>250000</v>
      </c>
      <c r="I409" s="17">
        <v>680400</v>
      </c>
      <c r="J409" s="18" t="s">
        <v>8</v>
      </c>
    </row>
    <row r="410" spans="1:10" x14ac:dyDescent="0.2">
      <c r="A410" s="4" t="s">
        <v>1190</v>
      </c>
      <c r="B410" s="15" t="s">
        <v>1220</v>
      </c>
      <c r="C410" s="15" t="s">
        <v>1221</v>
      </c>
      <c r="D410" s="15">
        <v>1</v>
      </c>
      <c r="E410" s="16" t="s">
        <v>1017</v>
      </c>
      <c r="F410" s="15">
        <v>10490400</v>
      </c>
      <c r="G410" s="15">
        <v>9560000</v>
      </c>
      <c r="H410" s="17">
        <v>250000</v>
      </c>
      <c r="I410" s="17">
        <v>680400</v>
      </c>
      <c r="J410" s="18" t="s">
        <v>8</v>
      </c>
    </row>
    <row r="411" spans="1:10" x14ac:dyDescent="0.2">
      <c r="A411" s="4" t="s">
        <v>1192</v>
      </c>
      <c r="B411" s="15" t="s">
        <v>1223</v>
      </c>
      <c r="C411" s="15" t="s">
        <v>1224</v>
      </c>
      <c r="D411" s="15">
        <v>1</v>
      </c>
      <c r="E411" s="16" t="s">
        <v>1017</v>
      </c>
      <c r="F411" s="15">
        <v>10490400</v>
      </c>
      <c r="G411" s="15">
        <v>9560000</v>
      </c>
      <c r="H411" s="17">
        <v>250000</v>
      </c>
      <c r="I411" s="17">
        <v>680400</v>
      </c>
      <c r="J411" s="18" t="s">
        <v>8</v>
      </c>
    </row>
    <row r="412" spans="1:10" x14ac:dyDescent="0.2">
      <c r="A412" s="4" t="s">
        <v>1195</v>
      </c>
      <c r="B412" s="15" t="s">
        <v>1226</v>
      </c>
      <c r="C412" s="15" t="s">
        <v>1227</v>
      </c>
      <c r="D412" s="15">
        <v>1</v>
      </c>
      <c r="E412" s="16" t="s">
        <v>1017</v>
      </c>
      <c r="F412" s="15">
        <v>15490400</v>
      </c>
      <c r="G412" s="15">
        <v>14560000</v>
      </c>
      <c r="H412" s="17">
        <v>250000</v>
      </c>
      <c r="I412" s="17">
        <v>680400</v>
      </c>
      <c r="J412" s="18" t="s">
        <v>8</v>
      </c>
    </row>
    <row r="413" spans="1:10" x14ac:dyDescent="0.2">
      <c r="A413" s="4" t="s">
        <v>1198</v>
      </c>
      <c r="B413" s="15" t="s">
        <v>1229</v>
      </c>
      <c r="C413" s="15" t="s">
        <v>1230</v>
      </c>
      <c r="D413" s="15">
        <v>1</v>
      </c>
      <c r="E413" s="16" t="s">
        <v>1017</v>
      </c>
      <c r="F413" s="15">
        <v>5030400</v>
      </c>
      <c r="G413" s="15">
        <v>4100000</v>
      </c>
      <c r="H413" s="17">
        <v>250000</v>
      </c>
      <c r="I413" s="17">
        <v>680400</v>
      </c>
      <c r="J413" s="18" t="s">
        <v>8</v>
      </c>
    </row>
    <row r="414" spans="1:10" x14ac:dyDescent="0.2">
      <c r="A414" s="4" t="s">
        <v>1201</v>
      </c>
      <c r="B414" s="15" t="s">
        <v>1232</v>
      </c>
      <c r="C414" s="15" t="s">
        <v>1233</v>
      </c>
      <c r="D414" s="15">
        <v>1</v>
      </c>
      <c r="E414" s="16" t="s">
        <v>1017</v>
      </c>
      <c r="F414" s="15">
        <v>9370400</v>
      </c>
      <c r="G414" s="15">
        <v>8440000</v>
      </c>
      <c r="H414" s="17">
        <v>250000</v>
      </c>
      <c r="I414" s="17">
        <v>680400</v>
      </c>
      <c r="J414" s="18" t="s">
        <v>8</v>
      </c>
    </row>
    <row r="415" spans="1:10" x14ac:dyDescent="0.2">
      <c r="A415" s="4" t="s">
        <v>1204</v>
      </c>
      <c r="B415" s="15" t="s">
        <v>1235</v>
      </c>
      <c r="C415" s="15" t="s">
        <v>1236</v>
      </c>
      <c r="D415" s="15">
        <v>1</v>
      </c>
      <c r="E415" s="16" t="s">
        <v>1017</v>
      </c>
      <c r="F415" s="15">
        <v>8250400</v>
      </c>
      <c r="G415" s="15">
        <v>7320000</v>
      </c>
      <c r="H415" s="17">
        <v>250000</v>
      </c>
      <c r="I415" s="17">
        <v>680400</v>
      </c>
      <c r="J415" s="18" t="s">
        <v>8</v>
      </c>
    </row>
    <row r="416" spans="1:10" x14ac:dyDescent="0.2">
      <c r="A416" s="4" t="s">
        <v>1207</v>
      </c>
      <c r="B416" s="15" t="s">
        <v>1238</v>
      </c>
      <c r="C416" s="15" t="s">
        <v>1239</v>
      </c>
      <c r="D416" s="15">
        <v>1</v>
      </c>
      <c r="E416" s="16" t="s">
        <v>1017</v>
      </c>
      <c r="F416" s="15">
        <v>7690400</v>
      </c>
      <c r="G416" s="15">
        <v>6760000</v>
      </c>
      <c r="H416" s="17">
        <v>250000</v>
      </c>
      <c r="I416" s="17">
        <v>680400</v>
      </c>
      <c r="J416" s="18" t="s">
        <v>8</v>
      </c>
    </row>
    <row r="417" spans="1:10" x14ac:dyDescent="0.2">
      <c r="A417" s="4" t="s">
        <v>1210</v>
      </c>
      <c r="B417" s="15" t="s">
        <v>1241</v>
      </c>
      <c r="C417" s="15" t="s">
        <v>1242</v>
      </c>
      <c r="D417" s="15">
        <v>1</v>
      </c>
      <c r="E417" s="16" t="s">
        <v>1017</v>
      </c>
      <c r="F417" s="15">
        <v>1390400</v>
      </c>
      <c r="G417" s="15">
        <v>460000.00000000093</v>
      </c>
      <c r="H417" s="17">
        <v>250000</v>
      </c>
      <c r="I417" s="17">
        <v>680400</v>
      </c>
      <c r="J417" s="18" t="s">
        <v>8</v>
      </c>
    </row>
    <row r="418" spans="1:10" x14ac:dyDescent="0.2">
      <c r="A418" s="4" t="s">
        <v>1213</v>
      </c>
      <c r="B418" s="15" t="s">
        <v>1244</v>
      </c>
      <c r="C418" s="15" t="s">
        <v>1245</v>
      </c>
      <c r="D418" s="15">
        <v>1</v>
      </c>
      <c r="E418" s="16" t="s">
        <v>1017</v>
      </c>
      <c r="F418" s="15">
        <v>10491207</v>
      </c>
      <c r="G418" s="15">
        <v>9560807</v>
      </c>
      <c r="H418" s="17">
        <v>250000</v>
      </c>
      <c r="I418" s="17">
        <v>680400</v>
      </c>
      <c r="J418" s="18" t="s">
        <v>8</v>
      </c>
    </row>
    <row r="419" spans="1:10" x14ac:dyDescent="0.2">
      <c r="A419" s="4" t="s">
        <v>1216</v>
      </c>
      <c r="B419" s="15" t="s">
        <v>1247</v>
      </c>
      <c r="C419" s="15" t="s">
        <v>1248</v>
      </c>
      <c r="D419" s="15">
        <v>1</v>
      </c>
      <c r="E419" s="16" t="s">
        <v>1017</v>
      </c>
      <c r="F419" s="15">
        <v>7690400</v>
      </c>
      <c r="G419" s="15">
        <v>6760000</v>
      </c>
      <c r="H419" s="17">
        <v>250000</v>
      </c>
      <c r="I419" s="17">
        <v>680400</v>
      </c>
      <c r="J419" s="18" t="s">
        <v>8</v>
      </c>
    </row>
    <row r="420" spans="1:10" x14ac:dyDescent="0.2">
      <c r="A420" s="4" t="s">
        <v>1219</v>
      </c>
      <c r="B420" s="15" t="s">
        <v>882</v>
      </c>
      <c r="C420" s="15" t="s">
        <v>883</v>
      </c>
      <c r="D420" s="15">
        <v>2</v>
      </c>
      <c r="E420" s="16" t="s">
        <v>1017</v>
      </c>
      <c r="F420" s="15">
        <v>1000</v>
      </c>
      <c r="G420" s="15">
        <v>600</v>
      </c>
      <c r="H420" s="17">
        <v>0</v>
      </c>
      <c r="I420" s="17">
        <v>400</v>
      </c>
      <c r="J420" s="18" t="s">
        <v>8</v>
      </c>
    </row>
    <row r="421" spans="1:10" x14ac:dyDescent="0.2">
      <c r="A421" s="4" t="s">
        <v>1222</v>
      </c>
      <c r="B421" s="15" t="s">
        <v>1251</v>
      </c>
      <c r="C421" s="15" t="s">
        <v>1252</v>
      </c>
      <c r="D421" s="15">
        <v>1</v>
      </c>
      <c r="E421" s="16" t="s">
        <v>1017</v>
      </c>
      <c r="F421" s="15">
        <v>930400</v>
      </c>
      <c r="G421" s="15">
        <v>0</v>
      </c>
      <c r="H421" s="17">
        <v>250000</v>
      </c>
      <c r="I421" s="17">
        <v>680400</v>
      </c>
      <c r="J421" s="18" t="s">
        <v>8</v>
      </c>
    </row>
    <row r="422" spans="1:10" x14ac:dyDescent="0.2">
      <c r="A422" s="4" t="s">
        <v>1225</v>
      </c>
      <c r="B422" s="15" t="s">
        <v>425</v>
      </c>
      <c r="C422" s="15" t="s">
        <v>426</v>
      </c>
      <c r="D422" s="15">
        <v>2</v>
      </c>
      <c r="E422" s="16" t="s">
        <v>1017</v>
      </c>
      <c r="F422" s="15">
        <v>1000</v>
      </c>
      <c r="G422" s="15">
        <v>600</v>
      </c>
      <c r="H422" s="17">
        <v>0</v>
      </c>
      <c r="I422" s="17">
        <v>400</v>
      </c>
      <c r="J422" s="18" t="s">
        <v>8</v>
      </c>
    </row>
    <row r="423" spans="1:10" x14ac:dyDescent="0.2">
      <c r="A423" s="4" t="s">
        <v>1228</v>
      </c>
      <c r="B423" s="15" t="s">
        <v>1255</v>
      </c>
      <c r="C423" s="15" t="s">
        <v>1256</v>
      </c>
      <c r="D423" s="15">
        <v>2</v>
      </c>
      <c r="E423" s="16" t="s">
        <v>1017</v>
      </c>
      <c r="F423" s="15">
        <v>7690000</v>
      </c>
      <c r="G423" s="15">
        <v>6760000</v>
      </c>
      <c r="H423" s="17">
        <v>250000</v>
      </c>
      <c r="I423" s="17">
        <v>680000</v>
      </c>
      <c r="J423" s="18" t="s">
        <v>8</v>
      </c>
    </row>
    <row r="424" spans="1:10" x14ac:dyDescent="0.2">
      <c r="A424" s="4" t="s">
        <v>1231</v>
      </c>
      <c r="B424" s="15" t="s">
        <v>1258</v>
      </c>
      <c r="C424" s="15" t="s">
        <v>1259</v>
      </c>
      <c r="D424" s="15">
        <v>1</v>
      </c>
      <c r="E424" s="16" t="s">
        <v>1017</v>
      </c>
      <c r="F424" s="15">
        <v>16050400</v>
      </c>
      <c r="G424" s="15">
        <v>15120000</v>
      </c>
      <c r="H424" s="17">
        <v>250000</v>
      </c>
      <c r="I424" s="17">
        <v>680400</v>
      </c>
      <c r="J424" s="18" t="s">
        <v>8</v>
      </c>
    </row>
    <row r="425" spans="1:10" x14ac:dyDescent="0.2">
      <c r="A425" s="4" t="s">
        <v>1234</v>
      </c>
      <c r="B425" s="15" t="s">
        <v>1261</v>
      </c>
      <c r="C425" s="15" t="s">
        <v>1262</v>
      </c>
      <c r="D425" s="15">
        <v>1</v>
      </c>
      <c r="E425" s="16" t="s">
        <v>1017</v>
      </c>
      <c r="F425" s="15">
        <v>16330400</v>
      </c>
      <c r="G425" s="15">
        <v>15400000</v>
      </c>
      <c r="H425" s="17">
        <v>250000</v>
      </c>
      <c r="I425" s="17">
        <v>680400</v>
      </c>
      <c r="J425" s="18" t="s">
        <v>8</v>
      </c>
    </row>
    <row r="426" spans="1:10" x14ac:dyDescent="0.2">
      <c r="A426" s="4" t="s">
        <v>1237</v>
      </c>
      <c r="B426" s="15" t="s">
        <v>1264</v>
      </c>
      <c r="C426" s="15" t="s">
        <v>1093</v>
      </c>
      <c r="D426" s="15">
        <v>1</v>
      </c>
      <c r="E426" s="16" t="s">
        <v>1017</v>
      </c>
      <c r="F426" s="15">
        <v>15490400</v>
      </c>
      <c r="G426" s="15">
        <v>14560000</v>
      </c>
      <c r="H426" s="17">
        <v>250000</v>
      </c>
      <c r="I426" s="17">
        <v>680400</v>
      </c>
      <c r="J426" s="18" t="s">
        <v>8</v>
      </c>
    </row>
    <row r="427" spans="1:10" x14ac:dyDescent="0.2">
      <c r="A427" s="4" t="s">
        <v>1240</v>
      </c>
      <c r="B427" s="15" t="s">
        <v>1266</v>
      </c>
      <c r="C427" s="15" t="s">
        <v>1267</v>
      </c>
      <c r="D427" s="15">
        <v>1</v>
      </c>
      <c r="E427" s="16" t="s">
        <v>1017</v>
      </c>
      <c r="F427" s="15">
        <v>8670400</v>
      </c>
      <c r="G427" s="15">
        <v>7740000</v>
      </c>
      <c r="H427" s="17">
        <v>250000</v>
      </c>
      <c r="I427" s="17">
        <v>680400</v>
      </c>
      <c r="J427" s="18" t="s">
        <v>8</v>
      </c>
    </row>
    <row r="428" spans="1:10" x14ac:dyDescent="0.2">
      <c r="A428" s="4" t="s">
        <v>1243</v>
      </c>
      <c r="B428" s="15" t="s">
        <v>1269</v>
      </c>
      <c r="C428" s="15" t="s">
        <v>1270</v>
      </c>
      <c r="D428" s="15">
        <v>1</v>
      </c>
      <c r="E428" s="16" t="s">
        <v>1017</v>
      </c>
      <c r="F428" s="15">
        <v>8670400</v>
      </c>
      <c r="G428" s="15">
        <v>7740000</v>
      </c>
      <c r="H428" s="17">
        <v>250000</v>
      </c>
      <c r="I428" s="17">
        <v>680400</v>
      </c>
      <c r="J428" s="18" t="s">
        <v>8</v>
      </c>
    </row>
    <row r="429" spans="1:10" x14ac:dyDescent="0.2">
      <c r="A429" s="4" t="s">
        <v>1246</v>
      </c>
      <c r="B429" s="15" t="s">
        <v>1272</v>
      </c>
      <c r="C429" s="15" t="s">
        <v>1273</v>
      </c>
      <c r="D429" s="15">
        <v>1</v>
      </c>
      <c r="E429" s="16" t="s">
        <v>1017</v>
      </c>
      <c r="F429" s="15">
        <v>550400</v>
      </c>
      <c r="G429" s="15">
        <v>0</v>
      </c>
      <c r="H429" s="17">
        <v>250000</v>
      </c>
      <c r="I429" s="17">
        <v>300400</v>
      </c>
      <c r="J429" s="18" t="s">
        <v>8</v>
      </c>
    </row>
    <row r="430" spans="1:10" x14ac:dyDescent="0.2">
      <c r="A430" s="4" t="s">
        <v>1249</v>
      </c>
      <c r="B430" s="15" t="s">
        <v>1275</v>
      </c>
      <c r="C430" s="15" t="s">
        <v>1276</v>
      </c>
      <c r="D430" s="15">
        <v>1</v>
      </c>
      <c r="E430" s="16" t="s">
        <v>1017</v>
      </c>
      <c r="F430" s="15">
        <v>5030400</v>
      </c>
      <c r="G430" s="15">
        <v>4100000</v>
      </c>
      <c r="H430" s="17">
        <v>250000</v>
      </c>
      <c r="I430" s="17">
        <v>680400</v>
      </c>
      <c r="J430" s="18" t="s">
        <v>8</v>
      </c>
    </row>
    <row r="431" spans="1:10" x14ac:dyDescent="0.2">
      <c r="A431" s="4" t="s">
        <v>1250</v>
      </c>
      <c r="B431" s="15" t="s">
        <v>1140</v>
      </c>
      <c r="C431" s="15" t="s">
        <v>1141</v>
      </c>
      <c r="D431" s="15">
        <v>2</v>
      </c>
      <c r="E431" s="16" t="s">
        <v>1017</v>
      </c>
      <c r="F431" s="15">
        <v>400</v>
      </c>
      <c r="G431" s="15">
        <v>0</v>
      </c>
      <c r="H431" s="17">
        <v>0</v>
      </c>
      <c r="I431" s="17">
        <v>400</v>
      </c>
      <c r="J431" s="18" t="s">
        <v>8</v>
      </c>
    </row>
    <row r="432" spans="1:10" x14ac:dyDescent="0.2">
      <c r="A432" s="4" t="s">
        <v>1253</v>
      </c>
      <c r="B432" s="15" t="s">
        <v>1193</v>
      </c>
      <c r="C432" s="15" t="s">
        <v>1194</v>
      </c>
      <c r="D432" s="15">
        <v>2</v>
      </c>
      <c r="E432" s="16" t="s">
        <v>1017</v>
      </c>
      <c r="F432" s="15">
        <v>400</v>
      </c>
      <c r="G432" s="15">
        <v>0</v>
      </c>
      <c r="H432" s="17">
        <v>0</v>
      </c>
      <c r="I432" s="17">
        <v>400</v>
      </c>
      <c r="J432" s="18" t="s">
        <v>8</v>
      </c>
    </row>
    <row r="433" spans="1:10" x14ac:dyDescent="0.2">
      <c r="A433" s="4" t="s">
        <v>1254</v>
      </c>
      <c r="B433" s="15" t="s">
        <v>1280</v>
      </c>
      <c r="C433" s="15" t="s">
        <v>488</v>
      </c>
      <c r="D433" s="15">
        <v>1</v>
      </c>
      <c r="E433" s="16" t="s">
        <v>1017</v>
      </c>
      <c r="F433" s="15">
        <v>1390400</v>
      </c>
      <c r="G433" s="15">
        <v>460000.00000000093</v>
      </c>
      <c r="H433" s="17">
        <v>250000</v>
      </c>
      <c r="I433" s="17">
        <v>680400</v>
      </c>
      <c r="J433" s="18" t="s">
        <v>8</v>
      </c>
    </row>
    <row r="434" spans="1:10" x14ac:dyDescent="0.2">
      <c r="A434" s="4" t="s">
        <v>1257</v>
      </c>
      <c r="B434" s="15" t="s">
        <v>1282</v>
      </c>
      <c r="C434" s="15" t="s">
        <v>1283</v>
      </c>
      <c r="D434" s="15">
        <v>1</v>
      </c>
      <c r="E434" s="16" t="s">
        <v>1017</v>
      </c>
      <c r="F434" s="15">
        <v>15490400</v>
      </c>
      <c r="G434" s="15">
        <v>14560000</v>
      </c>
      <c r="H434" s="17">
        <v>250000</v>
      </c>
      <c r="I434" s="17">
        <v>680400</v>
      </c>
      <c r="J434" s="18" t="s">
        <v>8</v>
      </c>
    </row>
    <row r="435" spans="1:10" x14ac:dyDescent="0.2">
      <c r="A435" s="4" t="s">
        <v>1260</v>
      </c>
      <c r="B435" s="15" t="s">
        <v>1285</v>
      </c>
      <c r="C435" s="15" t="s">
        <v>1286</v>
      </c>
      <c r="D435" s="15">
        <v>1</v>
      </c>
      <c r="E435" s="16" t="s">
        <v>1017</v>
      </c>
      <c r="F435" s="15">
        <v>6710400</v>
      </c>
      <c r="G435" s="15">
        <v>5780000</v>
      </c>
      <c r="H435" s="17">
        <v>250000</v>
      </c>
      <c r="I435" s="17">
        <v>680400</v>
      </c>
      <c r="J435" s="18" t="s">
        <v>8</v>
      </c>
    </row>
    <row r="436" spans="1:10" x14ac:dyDescent="0.2">
      <c r="A436" s="4" t="s">
        <v>1263</v>
      </c>
      <c r="B436" s="15" t="s">
        <v>1288</v>
      </c>
      <c r="C436" s="15" t="s">
        <v>1289</v>
      </c>
      <c r="D436" s="15">
        <v>1</v>
      </c>
      <c r="E436" s="16" t="s">
        <v>1017</v>
      </c>
      <c r="F436" s="15">
        <v>3630400</v>
      </c>
      <c r="G436" s="15">
        <v>2700000</v>
      </c>
      <c r="H436" s="17">
        <v>250000</v>
      </c>
      <c r="I436" s="17">
        <v>680400</v>
      </c>
      <c r="J436" s="18" t="s">
        <v>8</v>
      </c>
    </row>
    <row r="437" spans="1:10" x14ac:dyDescent="0.2">
      <c r="A437" s="4" t="s">
        <v>1265</v>
      </c>
      <c r="B437" s="15" t="s">
        <v>1291</v>
      </c>
      <c r="C437" s="15" t="s">
        <v>1292</v>
      </c>
      <c r="D437" s="15">
        <v>1</v>
      </c>
      <c r="E437" s="16" t="s">
        <v>1017</v>
      </c>
      <c r="F437" s="15">
        <v>1390400</v>
      </c>
      <c r="G437" s="15">
        <v>460000.00000000093</v>
      </c>
      <c r="H437" s="17">
        <v>250000</v>
      </c>
      <c r="I437" s="17">
        <v>680400</v>
      </c>
      <c r="J437" s="18" t="s">
        <v>8</v>
      </c>
    </row>
    <row r="438" spans="1:10" x14ac:dyDescent="0.2">
      <c r="A438" s="4" t="s">
        <v>1268</v>
      </c>
      <c r="B438" s="15" t="s">
        <v>1294</v>
      </c>
      <c r="C438" s="15" t="s">
        <v>1295</v>
      </c>
      <c r="D438" s="15">
        <v>1</v>
      </c>
      <c r="E438" s="16" t="s">
        <v>1017</v>
      </c>
      <c r="F438" s="15">
        <v>10490400</v>
      </c>
      <c r="G438" s="15">
        <v>9560000</v>
      </c>
      <c r="H438" s="17">
        <v>250000</v>
      </c>
      <c r="I438" s="17">
        <v>680400</v>
      </c>
      <c r="J438" s="18" t="s">
        <v>8</v>
      </c>
    </row>
    <row r="439" spans="1:10" x14ac:dyDescent="0.2">
      <c r="A439" s="4" t="s">
        <v>1271</v>
      </c>
      <c r="B439" s="15" t="s">
        <v>1297</v>
      </c>
      <c r="C439" s="15" t="s">
        <v>1298</v>
      </c>
      <c r="D439" s="15">
        <v>1</v>
      </c>
      <c r="E439" s="16" t="s">
        <v>1017</v>
      </c>
      <c r="F439" s="15">
        <v>16050400</v>
      </c>
      <c r="G439" s="15">
        <v>15120000</v>
      </c>
      <c r="H439" s="17">
        <v>250000</v>
      </c>
      <c r="I439" s="17">
        <v>680400</v>
      </c>
      <c r="J439" s="18" t="s">
        <v>8</v>
      </c>
    </row>
    <row r="440" spans="1:10" x14ac:dyDescent="0.2">
      <c r="A440" s="4" t="s">
        <v>1274</v>
      </c>
      <c r="B440" s="15" t="s">
        <v>1300</v>
      </c>
      <c r="C440" s="15" t="s">
        <v>1301</v>
      </c>
      <c r="D440" s="15">
        <v>1</v>
      </c>
      <c r="E440" s="16" t="s">
        <v>1017</v>
      </c>
      <c r="F440" s="15">
        <v>5030400</v>
      </c>
      <c r="G440" s="15">
        <v>4100000</v>
      </c>
      <c r="H440" s="17">
        <v>250000</v>
      </c>
      <c r="I440" s="17">
        <v>680400</v>
      </c>
      <c r="J440" s="18" t="s">
        <v>8</v>
      </c>
    </row>
    <row r="441" spans="1:10" x14ac:dyDescent="0.2">
      <c r="A441" s="4" t="s">
        <v>1277</v>
      </c>
      <c r="B441" s="15" t="s">
        <v>1303</v>
      </c>
      <c r="C441" s="15" t="s">
        <v>1304</v>
      </c>
      <c r="D441" s="15">
        <v>1</v>
      </c>
      <c r="E441" s="16" t="s">
        <v>1017</v>
      </c>
      <c r="F441" s="15">
        <v>14790400</v>
      </c>
      <c r="G441" s="15">
        <v>13860000</v>
      </c>
      <c r="H441" s="17">
        <v>250000</v>
      </c>
      <c r="I441" s="17">
        <v>680400</v>
      </c>
      <c r="J441" s="18" t="s">
        <v>8</v>
      </c>
    </row>
    <row r="442" spans="1:10" x14ac:dyDescent="0.2">
      <c r="A442" s="4" t="s">
        <v>1278</v>
      </c>
      <c r="B442" s="15" t="s">
        <v>1306</v>
      </c>
      <c r="C442" s="15" t="s">
        <v>1307</v>
      </c>
      <c r="D442" s="15">
        <v>1</v>
      </c>
      <c r="E442" s="16" t="s">
        <v>1017</v>
      </c>
      <c r="F442" s="15">
        <v>8250400</v>
      </c>
      <c r="G442" s="15">
        <v>7320000</v>
      </c>
      <c r="H442" s="17">
        <v>250000</v>
      </c>
      <c r="I442" s="17">
        <v>680400</v>
      </c>
      <c r="J442" s="18" t="s">
        <v>8</v>
      </c>
    </row>
    <row r="443" spans="1:10" x14ac:dyDescent="0.2">
      <c r="A443" s="4" t="s">
        <v>1279</v>
      </c>
      <c r="B443" s="15" t="s">
        <v>1309</v>
      </c>
      <c r="C443" s="15" t="s">
        <v>1310</v>
      </c>
      <c r="D443" s="15">
        <v>1</v>
      </c>
      <c r="E443" s="16" t="s">
        <v>1017</v>
      </c>
      <c r="F443" s="15">
        <v>3630400</v>
      </c>
      <c r="G443" s="15">
        <v>2700000</v>
      </c>
      <c r="H443" s="17">
        <v>250000</v>
      </c>
      <c r="I443" s="17">
        <v>680400</v>
      </c>
      <c r="J443" s="18" t="s">
        <v>8</v>
      </c>
    </row>
    <row r="444" spans="1:10" x14ac:dyDescent="0.2">
      <c r="A444" s="4" t="s">
        <v>1281</v>
      </c>
      <c r="B444" s="15" t="s">
        <v>1312</v>
      </c>
      <c r="C444" s="15" t="s">
        <v>1313</v>
      </c>
      <c r="D444" s="15">
        <v>1</v>
      </c>
      <c r="E444" s="16" t="s">
        <v>1017</v>
      </c>
      <c r="F444" s="15">
        <v>15490400</v>
      </c>
      <c r="G444" s="15">
        <v>14560000</v>
      </c>
      <c r="H444" s="17">
        <v>250000</v>
      </c>
      <c r="I444" s="17">
        <v>680400</v>
      </c>
      <c r="J444" s="18" t="s">
        <v>8</v>
      </c>
    </row>
    <row r="445" spans="1:10" x14ac:dyDescent="0.2">
      <c r="A445" s="4" t="s">
        <v>1284</v>
      </c>
      <c r="B445" s="15" t="s">
        <v>1315</v>
      </c>
      <c r="C445" s="15" t="s">
        <v>1316</v>
      </c>
      <c r="D445" s="15">
        <v>1</v>
      </c>
      <c r="E445" s="16" t="s">
        <v>1017</v>
      </c>
      <c r="F445" s="15">
        <v>5030400</v>
      </c>
      <c r="G445" s="15">
        <v>4100000</v>
      </c>
      <c r="H445" s="17">
        <v>250000</v>
      </c>
      <c r="I445" s="17">
        <v>680400</v>
      </c>
      <c r="J445" s="18" t="s">
        <v>8</v>
      </c>
    </row>
    <row r="446" spans="1:10" x14ac:dyDescent="0.2">
      <c r="A446" s="4" t="s">
        <v>1287</v>
      </c>
      <c r="B446" s="15" t="s">
        <v>1083</v>
      </c>
      <c r="C446" s="15" t="s">
        <v>1084</v>
      </c>
      <c r="D446" s="15">
        <v>2</v>
      </c>
      <c r="E446" s="16" t="s">
        <v>1017</v>
      </c>
      <c r="F446" s="15">
        <v>400</v>
      </c>
      <c r="G446" s="15">
        <v>0</v>
      </c>
      <c r="H446" s="17">
        <v>0</v>
      </c>
      <c r="I446" s="17">
        <v>400</v>
      </c>
      <c r="J446" s="18" t="s">
        <v>8</v>
      </c>
    </row>
    <row r="447" spans="1:10" x14ac:dyDescent="0.2">
      <c r="A447" s="4" t="s">
        <v>1290</v>
      </c>
      <c r="B447" s="15" t="s">
        <v>1319</v>
      </c>
      <c r="C447" s="15" t="s">
        <v>1320</v>
      </c>
      <c r="D447" s="15">
        <v>1</v>
      </c>
      <c r="E447" s="16" t="s">
        <v>1017</v>
      </c>
      <c r="F447" s="15">
        <v>5030400</v>
      </c>
      <c r="G447" s="15">
        <v>4100000</v>
      </c>
      <c r="H447" s="17">
        <v>250000</v>
      </c>
      <c r="I447" s="17">
        <v>680400</v>
      </c>
      <c r="J447" s="18" t="s">
        <v>8</v>
      </c>
    </row>
    <row r="448" spans="1:10" x14ac:dyDescent="0.2">
      <c r="A448" s="4" t="s">
        <v>1293</v>
      </c>
      <c r="B448" s="15" t="s">
        <v>1322</v>
      </c>
      <c r="C448" s="15" t="s">
        <v>1323</v>
      </c>
      <c r="D448" s="15">
        <v>1</v>
      </c>
      <c r="E448" s="16" t="s">
        <v>1017</v>
      </c>
      <c r="F448" s="15">
        <v>14790400</v>
      </c>
      <c r="G448" s="15">
        <v>13860000</v>
      </c>
      <c r="H448" s="17">
        <v>250000</v>
      </c>
      <c r="I448" s="17">
        <v>680400</v>
      </c>
      <c r="J448" s="18" t="s">
        <v>8</v>
      </c>
    </row>
    <row r="449" spans="1:10" x14ac:dyDescent="0.2">
      <c r="A449" s="4" t="s">
        <v>1296</v>
      </c>
      <c r="B449" s="15" t="s">
        <v>1325</v>
      </c>
      <c r="C449" s="15" t="s">
        <v>1326</v>
      </c>
      <c r="D449" s="15">
        <v>1</v>
      </c>
      <c r="E449" s="16" t="s">
        <v>1017</v>
      </c>
      <c r="F449" s="15">
        <v>5030400</v>
      </c>
      <c r="G449" s="15">
        <v>4100000</v>
      </c>
      <c r="H449" s="17">
        <v>250000</v>
      </c>
      <c r="I449" s="17">
        <v>680400</v>
      </c>
      <c r="J449" s="18" t="s">
        <v>8</v>
      </c>
    </row>
    <row r="450" spans="1:10" x14ac:dyDescent="0.2">
      <c r="A450" s="4" t="s">
        <v>1299</v>
      </c>
      <c r="B450" s="15" t="s">
        <v>1328</v>
      </c>
      <c r="C450" s="15" t="s">
        <v>1329</v>
      </c>
      <c r="D450" s="15">
        <v>1</v>
      </c>
      <c r="E450" s="16" t="s">
        <v>1017</v>
      </c>
      <c r="F450" s="15">
        <v>8670400</v>
      </c>
      <c r="G450" s="15">
        <v>7740000</v>
      </c>
      <c r="H450" s="17">
        <v>250000</v>
      </c>
      <c r="I450" s="17">
        <v>680400</v>
      </c>
      <c r="J450" s="18" t="s">
        <v>8</v>
      </c>
    </row>
    <row r="451" spans="1:10" x14ac:dyDescent="0.2">
      <c r="A451" s="4" t="s">
        <v>1302</v>
      </c>
      <c r="B451" s="15" t="s">
        <v>1331</v>
      </c>
      <c r="C451" s="15" t="s">
        <v>1332</v>
      </c>
      <c r="D451" s="15">
        <v>1</v>
      </c>
      <c r="E451" s="16" t="s">
        <v>1017</v>
      </c>
      <c r="F451" s="15">
        <v>16050400</v>
      </c>
      <c r="G451" s="15">
        <v>15120000</v>
      </c>
      <c r="H451" s="17">
        <v>250000</v>
      </c>
      <c r="I451" s="17">
        <v>680400</v>
      </c>
      <c r="J451" s="18" t="s">
        <v>8</v>
      </c>
    </row>
    <row r="452" spans="1:10" x14ac:dyDescent="0.2">
      <c r="A452" s="4" t="s">
        <v>1305</v>
      </c>
      <c r="B452" s="15" t="s">
        <v>1334</v>
      </c>
      <c r="C452" s="15" t="s">
        <v>1335</v>
      </c>
      <c r="D452" s="15">
        <v>1</v>
      </c>
      <c r="E452" s="16" t="s">
        <v>1017</v>
      </c>
      <c r="F452" s="15">
        <v>5030400</v>
      </c>
      <c r="G452" s="15">
        <v>4100000</v>
      </c>
      <c r="H452" s="17">
        <v>250000</v>
      </c>
      <c r="I452" s="17">
        <v>680400</v>
      </c>
      <c r="J452" s="18" t="s">
        <v>8</v>
      </c>
    </row>
    <row r="453" spans="1:10" x14ac:dyDescent="0.2">
      <c r="A453" s="4" t="s">
        <v>1308</v>
      </c>
      <c r="B453" s="15" t="s">
        <v>1337</v>
      </c>
      <c r="C453" s="15" t="s">
        <v>1338</v>
      </c>
      <c r="D453" s="15">
        <v>1</v>
      </c>
      <c r="E453" s="16" t="s">
        <v>1017</v>
      </c>
      <c r="F453" s="15">
        <v>550400</v>
      </c>
      <c r="G453" s="15">
        <v>0</v>
      </c>
      <c r="H453" s="17">
        <v>250000</v>
      </c>
      <c r="I453" s="17">
        <v>300400</v>
      </c>
      <c r="J453" s="18" t="s">
        <v>8</v>
      </c>
    </row>
    <row r="454" spans="1:10" x14ac:dyDescent="0.2">
      <c r="A454" s="4" t="s">
        <v>1311</v>
      </c>
      <c r="B454" s="15" t="s">
        <v>1340</v>
      </c>
      <c r="C454" s="15" t="s">
        <v>1341</v>
      </c>
      <c r="D454" s="15">
        <v>1</v>
      </c>
      <c r="E454" s="16" t="s">
        <v>1017</v>
      </c>
      <c r="F454" s="15">
        <v>9370400</v>
      </c>
      <c r="G454" s="15">
        <v>8440000</v>
      </c>
      <c r="H454" s="17">
        <v>250000</v>
      </c>
      <c r="I454" s="17">
        <v>680400</v>
      </c>
      <c r="J454" s="18" t="s">
        <v>8</v>
      </c>
    </row>
    <row r="455" spans="1:10" x14ac:dyDescent="0.2">
      <c r="A455" s="4" t="s">
        <v>1314</v>
      </c>
      <c r="B455" s="15" t="s">
        <v>1343</v>
      </c>
      <c r="C455" s="15" t="s">
        <v>1344</v>
      </c>
      <c r="D455" s="15">
        <v>1</v>
      </c>
      <c r="E455" s="16" t="s">
        <v>1017</v>
      </c>
      <c r="F455" s="15">
        <v>14790400</v>
      </c>
      <c r="G455" s="15">
        <v>13860000</v>
      </c>
      <c r="H455" s="17">
        <v>250000</v>
      </c>
      <c r="I455" s="17">
        <v>680400</v>
      </c>
      <c r="J455" s="18" t="s">
        <v>8</v>
      </c>
    </row>
    <row r="456" spans="1:10" x14ac:dyDescent="0.2">
      <c r="A456" s="4" t="s">
        <v>1317</v>
      </c>
      <c r="B456" s="15" t="s">
        <v>1346</v>
      </c>
      <c r="C456" s="15" t="s">
        <v>1347</v>
      </c>
      <c r="D456" s="15">
        <v>1</v>
      </c>
      <c r="E456" s="16" t="s">
        <v>1017</v>
      </c>
      <c r="F456" s="15">
        <v>13250400</v>
      </c>
      <c r="G456" s="15">
        <v>12320000</v>
      </c>
      <c r="H456" s="17">
        <v>250000</v>
      </c>
      <c r="I456" s="17">
        <v>680400</v>
      </c>
      <c r="J456" s="18" t="s">
        <v>8</v>
      </c>
    </row>
    <row r="457" spans="1:10" x14ac:dyDescent="0.2">
      <c r="A457" s="4" t="s">
        <v>1318</v>
      </c>
      <c r="B457" s="15" t="s">
        <v>1349</v>
      </c>
      <c r="C457" s="15" t="s">
        <v>1350</v>
      </c>
      <c r="D457" s="15">
        <v>1</v>
      </c>
      <c r="E457" s="16" t="s">
        <v>1017</v>
      </c>
      <c r="F457" s="15">
        <v>3630400</v>
      </c>
      <c r="G457" s="15">
        <v>2700000</v>
      </c>
      <c r="H457" s="17">
        <v>250000</v>
      </c>
      <c r="I457" s="17">
        <v>680400</v>
      </c>
      <c r="J457" s="18" t="s">
        <v>8</v>
      </c>
    </row>
    <row r="458" spans="1:10" x14ac:dyDescent="0.2">
      <c r="A458" s="4" t="s">
        <v>1321</v>
      </c>
      <c r="B458" s="15" t="s">
        <v>236</v>
      </c>
      <c r="C458" s="15" t="s">
        <v>237</v>
      </c>
      <c r="D458" s="15">
        <v>2</v>
      </c>
      <c r="E458" s="16" t="s">
        <v>1017</v>
      </c>
      <c r="F458" s="15">
        <v>5031000</v>
      </c>
      <c r="G458" s="15">
        <v>4100600</v>
      </c>
      <c r="H458" s="17">
        <v>250000</v>
      </c>
      <c r="I458" s="17">
        <v>680400</v>
      </c>
      <c r="J458" s="18" t="s">
        <v>8</v>
      </c>
    </row>
    <row r="459" spans="1:10" x14ac:dyDescent="0.2">
      <c r="A459" s="4" t="s">
        <v>1324</v>
      </c>
      <c r="B459" s="15" t="s">
        <v>1353</v>
      </c>
      <c r="C459" s="15" t="s">
        <v>1354</v>
      </c>
      <c r="D459" s="15">
        <v>1</v>
      </c>
      <c r="E459" s="16" t="s">
        <v>1017</v>
      </c>
      <c r="F459" s="15">
        <v>8670400</v>
      </c>
      <c r="G459" s="15">
        <v>7740000</v>
      </c>
      <c r="H459" s="17">
        <v>250000</v>
      </c>
      <c r="I459" s="17">
        <v>680400</v>
      </c>
      <c r="J459" s="18" t="s">
        <v>8</v>
      </c>
    </row>
    <row r="460" spans="1:10" x14ac:dyDescent="0.2">
      <c r="A460" s="4" t="s">
        <v>1327</v>
      </c>
      <c r="B460" s="15" t="s">
        <v>1356</v>
      </c>
      <c r="C460" s="15" t="s">
        <v>1357</v>
      </c>
      <c r="D460" s="15">
        <v>1</v>
      </c>
      <c r="E460" s="16" t="s">
        <v>1017</v>
      </c>
      <c r="F460" s="15">
        <v>14790400</v>
      </c>
      <c r="G460" s="15">
        <v>13860000</v>
      </c>
      <c r="H460" s="17">
        <v>250000</v>
      </c>
      <c r="I460" s="17">
        <v>680400</v>
      </c>
      <c r="J460" s="18" t="s">
        <v>8</v>
      </c>
    </row>
    <row r="461" spans="1:10" x14ac:dyDescent="0.2">
      <c r="A461" s="4" t="s">
        <v>1330</v>
      </c>
      <c r="B461" s="15" t="s">
        <v>1359</v>
      </c>
      <c r="C461" s="15" t="s">
        <v>1360</v>
      </c>
      <c r="D461" s="15">
        <v>1</v>
      </c>
      <c r="E461" s="16" t="s">
        <v>1017</v>
      </c>
      <c r="F461" s="15">
        <v>17730400</v>
      </c>
      <c r="G461" s="15">
        <v>16800000</v>
      </c>
      <c r="H461" s="17">
        <v>250000</v>
      </c>
      <c r="I461" s="17">
        <v>680400</v>
      </c>
      <c r="J461" s="18" t="s">
        <v>8</v>
      </c>
    </row>
    <row r="462" spans="1:10" x14ac:dyDescent="0.2">
      <c r="A462" s="4" t="s">
        <v>1333</v>
      </c>
      <c r="B462" s="15" t="s">
        <v>1362</v>
      </c>
      <c r="C462" s="15" t="s">
        <v>1363</v>
      </c>
      <c r="D462" s="15">
        <v>1</v>
      </c>
      <c r="E462" s="16" t="s">
        <v>1017</v>
      </c>
      <c r="F462" s="15">
        <v>5030400</v>
      </c>
      <c r="G462" s="15">
        <v>4100000</v>
      </c>
      <c r="H462" s="17">
        <v>250000</v>
      </c>
      <c r="I462" s="17">
        <v>680400</v>
      </c>
      <c r="J462" s="18" t="s">
        <v>8</v>
      </c>
    </row>
    <row r="463" spans="1:10" x14ac:dyDescent="0.2">
      <c r="A463" s="4" t="s">
        <v>1336</v>
      </c>
      <c r="B463" s="15" t="s">
        <v>1365</v>
      </c>
      <c r="C463" s="15" t="s">
        <v>1366</v>
      </c>
      <c r="D463" s="15">
        <v>1</v>
      </c>
      <c r="E463" s="16" t="s">
        <v>1017</v>
      </c>
      <c r="F463" s="15">
        <v>9331000</v>
      </c>
      <c r="G463" s="15">
        <v>8400600</v>
      </c>
      <c r="H463" s="17">
        <v>250000</v>
      </c>
      <c r="I463" s="17">
        <v>680400</v>
      </c>
      <c r="J463" s="18" t="s">
        <v>8</v>
      </c>
    </row>
    <row r="464" spans="1:10" x14ac:dyDescent="0.2">
      <c r="A464" s="4" t="s">
        <v>1339</v>
      </c>
      <c r="B464" s="15" t="s">
        <v>1368</v>
      </c>
      <c r="C464" s="15" t="s">
        <v>1369</v>
      </c>
      <c r="D464" s="15">
        <v>1</v>
      </c>
      <c r="E464" s="16" t="s">
        <v>1017</v>
      </c>
      <c r="F464" s="15">
        <v>5030400</v>
      </c>
      <c r="G464" s="15">
        <v>4100000</v>
      </c>
      <c r="H464" s="17">
        <v>250000</v>
      </c>
      <c r="I464" s="17">
        <v>680400</v>
      </c>
      <c r="J464" s="18" t="s">
        <v>8</v>
      </c>
    </row>
    <row r="465" spans="1:10" x14ac:dyDescent="0.2">
      <c r="A465" s="4" t="s">
        <v>1342</v>
      </c>
      <c r="B465" s="15" t="s">
        <v>1371</v>
      </c>
      <c r="C465" s="15" t="s">
        <v>1372</v>
      </c>
      <c r="D465" s="15">
        <v>1</v>
      </c>
      <c r="E465" s="16" t="s">
        <v>1017</v>
      </c>
      <c r="F465" s="15">
        <v>15490400</v>
      </c>
      <c r="G465" s="15">
        <v>14560000</v>
      </c>
      <c r="H465" s="17">
        <v>250000</v>
      </c>
      <c r="I465" s="17">
        <v>680400</v>
      </c>
      <c r="J465" s="18" t="s">
        <v>8</v>
      </c>
    </row>
    <row r="466" spans="1:10" x14ac:dyDescent="0.2">
      <c r="A466" s="4" t="s">
        <v>1345</v>
      </c>
      <c r="B466" s="15" t="s">
        <v>1374</v>
      </c>
      <c r="C466" s="15" t="s">
        <v>1375</v>
      </c>
      <c r="D466" s="15">
        <v>1</v>
      </c>
      <c r="E466" s="16" t="s">
        <v>1017</v>
      </c>
      <c r="F466" s="15">
        <v>15490400</v>
      </c>
      <c r="G466" s="15">
        <v>14560000</v>
      </c>
      <c r="H466" s="17">
        <v>250000</v>
      </c>
      <c r="I466" s="17">
        <v>680400</v>
      </c>
      <c r="J466" s="18" t="s">
        <v>8</v>
      </c>
    </row>
    <row r="467" spans="1:10" x14ac:dyDescent="0.2">
      <c r="A467" s="4" t="s">
        <v>1348</v>
      </c>
      <c r="B467" s="15" t="s">
        <v>1377</v>
      </c>
      <c r="C467" s="15" t="s">
        <v>1378</v>
      </c>
      <c r="D467" s="15">
        <v>1</v>
      </c>
      <c r="E467" s="16" t="s">
        <v>1017</v>
      </c>
      <c r="F467" s="15">
        <v>15490400</v>
      </c>
      <c r="G467" s="15">
        <v>14560000</v>
      </c>
      <c r="H467" s="17">
        <v>250000</v>
      </c>
      <c r="I467" s="17">
        <v>680400</v>
      </c>
      <c r="J467" s="18" t="s">
        <v>8</v>
      </c>
    </row>
    <row r="468" spans="1:10" x14ac:dyDescent="0.2">
      <c r="A468" s="4" t="s">
        <v>1351</v>
      </c>
      <c r="B468" s="15" t="s">
        <v>1380</v>
      </c>
      <c r="C468" s="15" t="s">
        <v>1381</v>
      </c>
      <c r="D468" s="15">
        <v>1</v>
      </c>
      <c r="E468" s="16" t="s">
        <v>1017</v>
      </c>
      <c r="F468" s="15">
        <v>6710400</v>
      </c>
      <c r="G468" s="15">
        <v>5780000</v>
      </c>
      <c r="H468" s="17">
        <v>250000</v>
      </c>
      <c r="I468" s="17">
        <v>680400</v>
      </c>
      <c r="J468" s="18" t="s">
        <v>8</v>
      </c>
    </row>
    <row r="469" spans="1:10" x14ac:dyDescent="0.2">
      <c r="A469" s="4" t="s">
        <v>1352</v>
      </c>
      <c r="B469" s="15" t="s">
        <v>1383</v>
      </c>
      <c r="C469" s="15" t="s">
        <v>1384</v>
      </c>
      <c r="D469" s="15">
        <v>1</v>
      </c>
      <c r="E469" s="16" t="s">
        <v>1017</v>
      </c>
      <c r="F469" s="15">
        <v>13251000</v>
      </c>
      <c r="G469" s="15">
        <v>12320600</v>
      </c>
      <c r="H469" s="17">
        <v>250000</v>
      </c>
      <c r="I469" s="17">
        <v>680400</v>
      </c>
      <c r="J469" s="18" t="s">
        <v>8</v>
      </c>
    </row>
    <row r="470" spans="1:10" x14ac:dyDescent="0.2">
      <c r="A470" s="4" t="s">
        <v>1355</v>
      </c>
      <c r="B470" s="15" t="s">
        <v>1386</v>
      </c>
      <c r="C470" s="15" t="s">
        <v>1387</v>
      </c>
      <c r="D470" s="15">
        <v>1</v>
      </c>
      <c r="E470" s="16" t="s">
        <v>1017</v>
      </c>
      <c r="F470" s="15">
        <v>930400</v>
      </c>
      <c r="G470" s="15">
        <v>0</v>
      </c>
      <c r="H470" s="17">
        <v>250000</v>
      </c>
      <c r="I470" s="17">
        <v>680400</v>
      </c>
      <c r="J470" s="18" t="s">
        <v>8</v>
      </c>
    </row>
    <row r="471" spans="1:10" x14ac:dyDescent="0.2">
      <c r="A471" s="4" t="s">
        <v>1358</v>
      </c>
      <c r="B471" s="15" t="s">
        <v>1389</v>
      </c>
      <c r="C471" s="15" t="s">
        <v>1390</v>
      </c>
      <c r="D471" s="15">
        <v>1</v>
      </c>
      <c r="E471" s="16" t="s">
        <v>1017</v>
      </c>
      <c r="F471" s="15">
        <v>7690400</v>
      </c>
      <c r="G471" s="15">
        <v>6760000</v>
      </c>
      <c r="H471" s="17">
        <v>250000</v>
      </c>
      <c r="I471" s="17">
        <v>680400</v>
      </c>
      <c r="J471" s="18" t="s">
        <v>8</v>
      </c>
    </row>
    <row r="472" spans="1:10" x14ac:dyDescent="0.2">
      <c r="A472" s="4" t="s">
        <v>1361</v>
      </c>
      <c r="B472" s="15" t="s">
        <v>1392</v>
      </c>
      <c r="C472" s="15" t="s">
        <v>1393</v>
      </c>
      <c r="D472" s="15">
        <v>1</v>
      </c>
      <c r="E472" s="16" t="s">
        <v>1017</v>
      </c>
      <c r="F472" s="15">
        <v>970400</v>
      </c>
      <c r="G472" s="15">
        <v>40000.000000000931</v>
      </c>
      <c r="H472" s="17">
        <v>250000</v>
      </c>
      <c r="I472" s="17">
        <v>680400</v>
      </c>
      <c r="J472" s="18" t="s">
        <v>8</v>
      </c>
    </row>
    <row r="473" spans="1:10" x14ac:dyDescent="0.2">
      <c r="A473" s="4" t="s">
        <v>1364</v>
      </c>
      <c r="B473" s="15" t="s">
        <v>1395</v>
      </c>
      <c r="C473" s="15" t="s">
        <v>1396</v>
      </c>
      <c r="D473" s="15">
        <v>3</v>
      </c>
      <c r="E473" s="16" t="s">
        <v>1017</v>
      </c>
      <c r="F473" s="15">
        <v>16050000</v>
      </c>
      <c r="G473" s="15">
        <v>15120000</v>
      </c>
      <c r="H473" s="17">
        <v>250000</v>
      </c>
      <c r="I473" s="17">
        <v>680000</v>
      </c>
      <c r="J473" s="18" t="s">
        <v>8</v>
      </c>
    </row>
    <row r="474" spans="1:10" x14ac:dyDescent="0.2">
      <c r="A474" s="4" t="s">
        <v>1367</v>
      </c>
      <c r="B474" s="15" t="s">
        <v>1398</v>
      </c>
      <c r="C474" s="15" t="s">
        <v>1399</v>
      </c>
      <c r="D474" s="15">
        <v>1</v>
      </c>
      <c r="E474" s="16" t="s">
        <v>1017</v>
      </c>
      <c r="F474" s="15">
        <v>19130400</v>
      </c>
      <c r="G474" s="15">
        <v>18200000</v>
      </c>
      <c r="H474" s="17">
        <v>250000</v>
      </c>
      <c r="I474" s="17">
        <v>680400</v>
      </c>
      <c r="J474" s="18" t="s">
        <v>8</v>
      </c>
    </row>
    <row r="475" spans="1:10" x14ac:dyDescent="0.2">
      <c r="A475" s="4" t="s">
        <v>1370</v>
      </c>
      <c r="B475" s="15" t="s">
        <v>1401</v>
      </c>
      <c r="C475" s="15" t="s">
        <v>1402</v>
      </c>
      <c r="D475" s="15">
        <v>1</v>
      </c>
      <c r="E475" s="16" t="s">
        <v>1017</v>
      </c>
      <c r="F475" s="15">
        <v>550400</v>
      </c>
      <c r="G475" s="15">
        <v>0</v>
      </c>
      <c r="H475" s="17">
        <v>250000</v>
      </c>
      <c r="I475" s="17">
        <v>300400</v>
      </c>
      <c r="J475" s="18" t="s">
        <v>8</v>
      </c>
    </row>
    <row r="476" spans="1:10" x14ac:dyDescent="0.2">
      <c r="A476" s="4" t="s">
        <v>1373</v>
      </c>
      <c r="B476" s="15" t="s">
        <v>1404</v>
      </c>
      <c r="C476" s="15" t="s">
        <v>1405</v>
      </c>
      <c r="D476" s="15">
        <v>1</v>
      </c>
      <c r="E476" s="16" t="s">
        <v>1017</v>
      </c>
      <c r="F476" s="15">
        <v>9370400</v>
      </c>
      <c r="G476" s="15">
        <v>8440000</v>
      </c>
      <c r="H476" s="17">
        <v>250000</v>
      </c>
      <c r="I476" s="17">
        <v>680400</v>
      </c>
      <c r="J476" s="18" t="s">
        <v>8</v>
      </c>
    </row>
    <row r="477" spans="1:10" x14ac:dyDescent="0.2">
      <c r="A477" s="4" t="s">
        <v>1376</v>
      </c>
      <c r="B477" s="15" t="s">
        <v>1407</v>
      </c>
      <c r="C477" s="15" t="s">
        <v>1408</v>
      </c>
      <c r="D477" s="15">
        <v>1</v>
      </c>
      <c r="E477" s="16" t="s">
        <v>1017</v>
      </c>
      <c r="F477" s="15">
        <v>4330400</v>
      </c>
      <c r="G477" s="15">
        <v>3400000</v>
      </c>
      <c r="H477" s="17">
        <v>250000</v>
      </c>
      <c r="I477" s="17">
        <v>680400</v>
      </c>
      <c r="J477" s="18" t="s">
        <v>8</v>
      </c>
    </row>
    <row r="478" spans="1:10" x14ac:dyDescent="0.2">
      <c r="A478" s="4" t="s">
        <v>1379</v>
      </c>
      <c r="B478" s="15" t="s">
        <v>1410</v>
      </c>
      <c r="C478" s="15" t="s">
        <v>1411</v>
      </c>
      <c r="D478" s="15">
        <v>1</v>
      </c>
      <c r="E478" s="16" t="s">
        <v>1017</v>
      </c>
      <c r="F478" s="15">
        <v>6720000</v>
      </c>
      <c r="G478" s="15">
        <v>5789600</v>
      </c>
      <c r="H478" s="17">
        <v>250000</v>
      </c>
      <c r="I478" s="17">
        <v>680400</v>
      </c>
      <c r="J478" s="18" t="s">
        <v>8</v>
      </c>
    </row>
    <row r="479" spans="1:10" x14ac:dyDescent="0.2">
      <c r="A479" s="4" t="s">
        <v>1382</v>
      </c>
      <c r="B479" s="15" t="s">
        <v>1413</v>
      </c>
      <c r="C479" s="15" t="s">
        <v>1414</v>
      </c>
      <c r="D479" s="15">
        <v>1</v>
      </c>
      <c r="E479" s="16" t="s">
        <v>1017</v>
      </c>
      <c r="F479" s="15">
        <v>16050400</v>
      </c>
      <c r="G479" s="15">
        <v>15120000</v>
      </c>
      <c r="H479" s="17">
        <v>250000</v>
      </c>
      <c r="I479" s="17">
        <v>680400</v>
      </c>
      <c r="J479" s="18" t="s">
        <v>8</v>
      </c>
    </row>
    <row r="480" spans="1:10" x14ac:dyDescent="0.2">
      <c r="A480" s="4" t="s">
        <v>1385</v>
      </c>
      <c r="B480" s="15" t="s">
        <v>1416</v>
      </c>
      <c r="C480" s="15" t="s">
        <v>1417</v>
      </c>
      <c r="D480" s="15">
        <v>1</v>
      </c>
      <c r="E480" s="16" t="s">
        <v>1017</v>
      </c>
      <c r="F480" s="15">
        <v>15490400</v>
      </c>
      <c r="G480" s="15">
        <v>14560000</v>
      </c>
      <c r="H480" s="17">
        <v>250000</v>
      </c>
      <c r="I480" s="17">
        <v>680400</v>
      </c>
      <c r="J480" s="18" t="s">
        <v>8</v>
      </c>
    </row>
    <row r="481" spans="1:10" x14ac:dyDescent="0.2">
      <c r="A481" s="4" t="s">
        <v>1388</v>
      </c>
      <c r="B481" s="15" t="s">
        <v>1419</v>
      </c>
      <c r="C481" s="15" t="s">
        <v>1420</v>
      </c>
      <c r="D481" s="15">
        <v>1</v>
      </c>
      <c r="E481" s="16" t="s">
        <v>1017</v>
      </c>
      <c r="F481" s="15">
        <v>9330400</v>
      </c>
      <c r="G481" s="15">
        <v>8400000</v>
      </c>
      <c r="H481" s="17">
        <v>250000</v>
      </c>
      <c r="I481" s="17">
        <v>680400</v>
      </c>
      <c r="J481" s="18" t="s">
        <v>8</v>
      </c>
    </row>
    <row r="482" spans="1:10" x14ac:dyDescent="0.2">
      <c r="A482" s="4" t="s">
        <v>1391</v>
      </c>
      <c r="B482" s="15" t="s">
        <v>1422</v>
      </c>
      <c r="C482" s="15" t="s">
        <v>1423</v>
      </c>
      <c r="D482" s="15">
        <v>1</v>
      </c>
      <c r="E482" s="16" t="s">
        <v>1017</v>
      </c>
      <c r="F482" s="15">
        <v>10490400</v>
      </c>
      <c r="G482" s="15">
        <v>9560000</v>
      </c>
      <c r="H482" s="17">
        <v>250000</v>
      </c>
      <c r="I482" s="17">
        <v>680400</v>
      </c>
      <c r="J482" s="18" t="s">
        <v>8</v>
      </c>
    </row>
    <row r="483" spans="1:10" x14ac:dyDescent="0.2">
      <c r="A483" s="4" t="s">
        <v>1394</v>
      </c>
      <c r="B483" s="15" t="s">
        <v>1425</v>
      </c>
      <c r="C483" s="15" t="s">
        <v>1426</v>
      </c>
      <c r="D483" s="15">
        <v>1</v>
      </c>
      <c r="E483" s="16" t="s">
        <v>1017</v>
      </c>
      <c r="F483" s="15">
        <v>16050400</v>
      </c>
      <c r="G483" s="15">
        <v>15120000</v>
      </c>
      <c r="H483" s="17">
        <v>250000</v>
      </c>
      <c r="I483" s="17">
        <v>680400</v>
      </c>
      <c r="J483" s="18" t="s">
        <v>8</v>
      </c>
    </row>
    <row r="484" spans="1:10" x14ac:dyDescent="0.2">
      <c r="A484" s="4" t="s">
        <v>1397</v>
      </c>
      <c r="B484" s="15" t="s">
        <v>1428</v>
      </c>
      <c r="C484" s="15" t="s">
        <v>1429</v>
      </c>
      <c r="D484" s="15">
        <v>1</v>
      </c>
      <c r="E484" s="16" t="s">
        <v>1017</v>
      </c>
      <c r="F484" s="15">
        <v>10030400</v>
      </c>
      <c r="G484" s="15">
        <v>9100000</v>
      </c>
      <c r="H484" s="17">
        <v>250000</v>
      </c>
      <c r="I484" s="17">
        <v>680400</v>
      </c>
      <c r="J484" s="18" t="s">
        <v>8</v>
      </c>
    </row>
    <row r="485" spans="1:10" x14ac:dyDescent="0.2">
      <c r="A485" s="4" t="s">
        <v>1400</v>
      </c>
      <c r="B485" s="15" t="s">
        <v>1431</v>
      </c>
      <c r="C485" s="15" t="s">
        <v>1432</v>
      </c>
      <c r="D485" s="15">
        <v>1</v>
      </c>
      <c r="E485" s="16" t="s">
        <v>1017</v>
      </c>
      <c r="F485" s="15">
        <v>8670400</v>
      </c>
      <c r="G485" s="15">
        <v>7740000</v>
      </c>
      <c r="H485" s="17">
        <v>250000</v>
      </c>
      <c r="I485" s="17">
        <v>680400</v>
      </c>
      <c r="J485" s="18" t="s">
        <v>8</v>
      </c>
    </row>
    <row r="486" spans="1:10" x14ac:dyDescent="0.2">
      <c r="A486" s="4" t="s">
        <v>1403</v>
      </c>
      <c r="B486" s="15" t="s">
        <v>1434</v>
      </c>
      <c r="C486" s="15" t="s">
        <v>1435</v>
      </c>
      <c r="D486" s="15">
        <v>1</v>
      </c>
      <c r="E486" s="16" t="s">
        <v>1017</v>
      </c>
      <c r="F486" s="15">
        <v>550400</v>
      </c>
      <c r="G486" s="15">
        <v>0</v>
      </c>
      <c r="H486" s="17">
        <v>250000</v>
      </c>
      <c r="I486" s="17">
        <v>300400</v>
      </c>
      <c r="J486" s="18" t="s">
        <v>8</v>
      </c>
    </row>
    <row r="487" spans="1:10" x14ac:dyDescent="0.2">
      <c r="A487" s="4" t="s">
        <v>1406</v>
      </c>
      <c r="B487" s="15" t="s">
        <v>1437</v>
      </c>
      <c r="C487" s="15" t="s">
        <v>1438</v>
      </c>
      <c r="D487" s="15">
        <v>1</v>
      </c>
      <c r="E487" s="16" t="s">
        <v>1017</v>
      </c>
      <c r="F487" s="15">
        <v>550400</v>
      </c>
      <c r="G487" s="15">
        <v>0</v>
      </c>
      <c r="H487" s="17">
        <v>250000</v>
      </c>
      <c r="I487" s="17">
        <v>300400</v>
      </c>
      <c r="J487" s="18" t="s">
        <v>8</v>
      </c>
    </row>
    <row r="488" spans="1:10" x14ac:dyDescent="0.2">
      <c r="A488" s="4" t="s">
        <v>1409</v>
      </c>
      <c r="B488" s="15" t="s">
        <v>1440</v>
      </c>
      <c r="C488" s="15" t="s">
        <v>1441</v>
      </c>
      <c r="D488" s="15">
        <v>1</v>
      </c>
      <c r="E488" s="16" t="s">
        <v>1017</v>
      </c>
      <c r="F488" s="15">
        <v>7690400</v>
      </c>
      <c r="G488" s="15">
        <v>6760000</v>
      </c>
      <c r="H488" s="17">
        <v>250000</v>
      </c>
      <c r="I488" s="17">
        <v>680400</v>
      </c>
      <c r="J488" s="18" t="s">
        <v>8</v>
      </c>
    </row>
    <row r="489" spans="1:10" x14ac:dyDescent="0.2">
      <c r="A489" s="4" t="s">
        <v>1412</v>
      </c>
      <c r="B489" s="15" t="s">
        <v>1443</v>
      </c>
      <c r="C489" s="15" t="s">
        <v>1444</v>
      </c>
      <c r="D489" s="15">
        <v>1</v>
      </c>
      <c r="E489" s="16" t="s">
        <v>1017</v>
      </c>
      <c r="F489" s="15">
        <v>14370400</v>
      </c>
      <c r="G489" s="15">
        <v>13440000</v>
      </c>
      <c r="H489" s="17">
        <v>250000</v>
      </c>
      <c r="I489" s="17">
        <v>680400</v>
      </c>
      <c r="J489" s="18" t="s">
        <v>8</v>
      </c>
    </row>
    <row r="490" spans="1:10" x14ac:dyDescent="0.2">
      <c r="A490" s="4" t="s">
        <v>1415</v>
      </c>
      <c r="B490" s="15" t="s">
        <v>1446</v>
      </c>
      <c r="C490" s="15" t="s">
        <v>1447</v>
      </c>
      <c r="D490" s="15">
        <v>1</v>
      </c>
      <c r="E490" s="16" t="s">
        <v>1017</v>
      </c>
      <c r="F490" s="15">
        <v>10030400</v>
      </c>
      <c r="G490" s="15">
        <v>9100000</v>
      </c>
      <c r="H490" s="17">
        <v>250000</v>
      </c>
      <c r="I490" s="17">
        <v>680400</v>
      </c>
      <c r="J490" s="18" t="s">
        <v>8</v>
      </c>
    </row>
    <row r="491" spans="1:10" x14ac:dyDescent="0.2">
      <c r="A491" s="4" t="s">
        <v>1418</v>
      </c>
      <c r="B491" s="15" t="s">
        <v>1449</v>
      </c>
      <c r="C491" s="15" t="s">
        <v>1450</v>
      </c>
      <c r="D491" s="15">
        <v>1</v>
      </c>
      <c r="E491" s="16" t="s">
        <v>1017</v>
      </c>
      <c r="F491" s="15">
        <v>7690400</v>
      </c>
      <c r="G491" s="15">
        <v>6760000</v>
      </c>
      <c r="H491" s="17">
        <v>250000</v>
      </c>
      <c r="I491" s="17">
        <v>680400</v>
      </c>
      <c r="J491" s="18" t="s">
        <v>8</v>
      </c>
    </row>
    <row r="492" spans="1:10" x14ac:dyDescent="0.2">
      <c r="A492" s="4" t="s">
        <v>1421</v>
      </c>
      <c r="B492" s="15" t="s">
        <v>1452</v>
      </c>
      <c r="C492" s="15" t="s">
        <v>1453</v>
      </c>
      <c r="D492" s="15">
        <v>1</v>
      </c>
      <c r="E492" s="16" t="s">
        <v>1017</v>
      </c>
      <c r="F492" s="15">
        <v>13254000</v>
      </c>
      <c r="G492" s="15">
        <v>12323600</v>
      </c>
      <c r="H492" s="17">
        <v>250000</v>
      </c>
      <c r="I492" s="17">
        <v>680400</v>
      </c>
      <c r="J492" s="18" t="s">
        <v>8</v>
      </c>
    </row>
    <row r="493" spans="1:10" x14ac:dyDescent="0.2">
      <c r="A493" s="4" t="s">
        <v>1424</v>
      </c>
      <c r="B493" s="15" t="s">
        <v>1455</v>
      </c>
      <c r="C493" s="15" t="s">
        <v>1456</v>
      </c>
      <c r="D493" s="15">
        <v>1</v>
      </c>
      <c r="E493" s="16" t="s">
        <v>1017</v>
      </c>
      <c r="F493" s="15">
        <v>5030400</v>
      </c>
      <c r="G493" s="15">
        <v>4100000</v>
      </c>
      <c r="H493" s="17">
        <v>250000</v>
      </c>
      <c r="I493" s="17">
        <v>680400</v>
      </c>
      <c r="J493" s="18" t="s">
        <v>8</v>
      </c>
    </row>
    <row r="494" spans="1:10" x14ac:dyDescent="0.2">
      <c r="A494" s="4" t="s">
        <v>1427</v>
      </c>
      <c r="B494" s="15" t="s">
        <v>792</v>
      </c>
      <c r="C494" s="15" t="s">
        <v>793</v>
      </c>
      <c r="D494" s="15">
        <v>2</v>
      </c>
      <c r="E494" s="16" t="s">
        <v>1017</v>
      </c>
      <c r="F494" s="15">
        <v>1000</v>
      </c>
      <c r="G494" s="15">
        <v>600</v>
      </c>
      <c r="H494" s="17">
        <v>0</v>
      </c>
      <c r="I494" s="17">
        <v>400</v>
      </c>
      <c r="J494" s="18" t="s">
        <v>8</v>
      </c>
    </row>
    <row r="495" spans="1:10" x14ac:dyDescent="0.2">
      <c r="A495" s="4" t="s">
        <v>1430</v>
      </c>
      <c r="B495" s="15" t="s">
        <v>1459</v>
      </c>
      <c r="C495" s="15" t="s">
        <v>1460</v>
      </c>
      <c r="D495" s="15">
        <v>1</v>
      </c>
      <c r="E495" s="16" t="s">
        <v>1017</v>
      </c>
      <c r="F495" s="15">
        <v>3630400</v>
      </c>
      <c r="G495" s="15">
        <v>2700000</v>
      </c>
      <c r="H495" s="17">
        <v>250000</v>
      </c>
      <c r="I495" s="17">
        <v>680400</v>
      </c>
      <c r="J495" s="18" t="s">
        <v>8</v>
      </c>
    </row>
    <row r="496" spans="1:10" x14ac:dyDescent="0.2">
      <c r="A496" s="4" t="s">
        <v>1433</v>
      </c>
      <c r="B496" s="15" t="s">
        <v>1462</v>
      </c>
      <c r="C496" s="15" t="s">
        <v>1463</v>
      </c>
      <c r="D496" s="15">
        <v>1</v>
      </c>
      <c r="E496" s="16" t="s">
        <v>1017</v>
      </c>
      <c r="F496" s="15">
        <v>1390400</v>
      </c>
      <c r="G496" s="15">
        <v>460000.00000000093</v>
      </c>
      <c r="H496" s="17">
        <v>250000</v>
      </c>
      <c r="I496" s="17">
        <v>680400</v>
      </c>
      <c r="J496" s="18" t="s">
        <v>8</v>
      </c>
    </row>
    <row r="497" spans="1:10" x14ac:dyDescent="0.2">
      <c r="A497" s="4" t="s">
        <v>1436</v>
      </c>
      <c r="B497" s="15" t="s">
        <v>1465</v>
      </c>
      <c r="C497" s="15" t="s">
        <v>1466</v>
      </c>
      <c r="D497" s="15">
        <v>1</v>
      </c>
      <c r="E497" s="16" t="s">
        <v>1017</v>
      </c>
      <c r="F497" s="15">
        <v>4330400</v>
      </c>
      <c r="G497" s="15">
        <v>3400000</v>
      </c>
      <c r="H497" s="17">
        <v>250000</v>
      </c>
      <c r="I497" s="17">
        <v>680400</v>
      </c>
      <c r="J497" s="18" t="s">
        <v>8</v>
      </c>
    </row>
    <row r="498" spans="1:10" x14ac:dyDescent="0.2">
      <c r="A498" s="4" t="s">
        <v>1439</v>
      </c>
      <c r="B498" s="15" t="s">
        <v>1468</v>
      </c>
      <c r="C498" s="15" t="s">
        <v>1469</v>
      </c>
      <c r="D498" s="15">
        <v>1</v>
      </c>
      <c r="E498" s="16" t="s">
        <v>1017</v>
      </c>
      <c r="F498" s="15">
        <v>17730400</v>
      </c>
      <c r="G498" s="15">
        <v>16800000</v>
      </c>
      <c r="H498" s="17">
        <v>250000</v>
      </c>
      <c r="I498" s="17">
        <v>680400</v>
      </c>
      <c r="J498" s="18" t="s">
        <v>8</v>
      </c>
    </row>
    <row r="499" spans="1:10" x14ac:dyDescent="0.2">
      <c r="A499" s="4" t="s">
        <v>1442</v>
      </c>
      <c r="B499" s="15" t="s">
        <v>1471</v>
      </c>
      <c r="C499" s="15" t="s">
        <v>1472</v>
      </c>
      <c r="D499" s="15">
        <v>1</v>
      </c>
      <c r="E499" s="16" t="s">
        <v>1017</v>
      </c>
      <c r="F499" s="15">
        <v>15490400</v>
      </c>
      <c r="G499" s="15">
        <v>14560000</v>
      </c>
      <c r="H499" s="17">
        <v>250000</v>
      </c>
      <c r="I499" s="17">
        <v>680400</v>
      </c>
      <c r="J499" s="18" t="s">
        <v>8</v>
      </c>
    </row>
    <row r="500" spans="1:10" x14ac:dyDescent="0.2">
      <c r="A500" s="4" t="s">
        <v>1445</v>
      </c>
      <c r="B500" s="15" t="s">
        <v>1474</v>
      </c>
      <c r="C500" s="15" t="s">
        <v>1475</v>
      </c>
      <c r="D500" s="15">
        <v>1</v>
      </c>
      <c r="E500" s="16" t="s">
        <v>1017</v>
      </c>
      <c r="F500" s="15">
        <v>8670400</v>
      </c>
      <c r="G500" s="15">
        <v>7740000</v>
      </c>
      <c r="H500" s="17">
        <v>250000</v>
      </c>
      <c r="I500" s="17">
        <v>680400</v>
      </c>
      <c r="J500" s="18" t="s">
        <v>8</v>
      </c>
    </row>
    <row r="501" spans="1:10" x14ac:dyDescent="0.2">
      <c r="A501" s="4" t="s">
        <v>1448</v>
      </c>
      <c r="B501" s="15" t="s">
        <v>1477</v>
      </c>
      <c r="C501" s="15" t="s">
        <v>1478</v>
      </c>
      <c r="D501" s="15">
        <v>1</v>
      </c>
      <c r="E501" s="16" t="s">
        <v>1017</v>
      </c>
      <c r="F501" s="15">
        <v>5030400</v>
      </c>
      <c r="G501" s="15">
        <v>4100000</v>
      </c>
      <c r="H501" s="17">
        <v>250000</v>
      </c>
      <c r="I501" s="17">
        <v>680400</v>
      </c>
      <c r="J501" s="18" t="s">
        <v>8</v>
      </c>
    </row>
    <row r="502" spans="1:10" x14ac:dyDescent="0.2">
      <c r="A502" s="4" t="s">
        <v>1451</v>
      </c>
      <c r="B502" s="15" t="s">
        <v>1480</v>
      </c>
      <c r="C502" s="15" t="s">
        <v>1481</v>
      </c>
      <c r="D502" s="15">
        <v>1</v>
      </c>
      <c r="E502" s="16" t="s">
        <v>1017</v>
      </c>
      <c r="F502" s="15">
        <v>14370400</v>
      </c>
      <c r="G502" s="15">
        <v>13440000</v>
      </c>
      <c r="H502" s="17">
        <v>250000</v>
      </c>
      <c r="I502" s="17">
        <v>680400</v>
      </c>
      <c r="J502" s="18" t="s">
        <v>8</v>
      </c>
    </row>
    <row r="503" spans="1:10" x14ac:dyDescent="0.2">
      <c r="A503" s="4" t="s">
        <v>1454</v>
      </c>
      <c r="B503" s="15" t="s">
        <v>1483</v>
      </c>
      <c r="C503" s="15" t="s">
        <v>1484</v>
      </c>
      <c r="D503" s="15">
        <v>1</v>
      </c>
      <c r="E503" s="16" t="s">
        <v>1017</v>
      </c>
      <c r="F503" s="15">
        <v>13250400</v>
      </c>
      <c r="G503" s="15">
        <v>12320000</v>
      </c>
      <c r="H503" s="17">
        <v>250000</v>
      </c>
      <c r="I503" s="17">
        <v>680400</v>
      </c>
      <c r="J503" s="18" t="s">
        <v>8</v>
      </c>
    </row>
    <row r="504" spans="1:10" x14ac:dyDescent="0.2">
      <c r="A504" s="4" t="s">
        <v>1457</v>
      </c>
      <c r="B504" s="15" t="s">
        <v>1486</v>
      </c>
      <c r="C504" s="15" t="s">
        <v>1487</v>
      </c>
      <c r="D504" s="15">
        <v>1</v>
      </c>
      <c r="E504" s="16" t="s">
        <v>1017</v>
      </c>
      <c r="F504" s="15">
        <v>8630400</v>
      </c>
      <c r="G504" s="15">
        <v>7700000</v>
      </c>
      <c r="H504" s="17">
        <v>250000</v>
      </c>
      <c r="I504" s="17">
        <v>680400</v>
      </c>
      <c r="J504" s="18" t="s">
        <v>8</v>
      </c>
    </row>
    <row r="505" spans="1:10" x14ac:dyDescent="0.2">
      <c r="A505" s="4" t="s">
        <v>1458</v>
      </c>
      <c r="B505" s="15" t="s">
        <v>1489</v>
      </c>
      <c r="C505" s="15" t="s">
        <v>1490</v>
      </c>
      <c r="D505" s="15">
        <v>1</v>
      </c>
      <c r="E505" s="16" t="s">
        <v>1017</v>
      </c>
      <c r="F505" s="15">
        <v>16330400</v>
      </c>
      <c r="G505" s="15">
        <v>15400000</v>
      </c>
      <c r="H505" s="17">
        <v>250000</v>
      </c>
      <c r="I505" s="17">
        <v>680400</v>
      </c>
      <c r="J505" s="18" t="s">
        <v>8</v>
      </c>
    </row>
    <row r="506" spans="1:10" x14ac:dyDescent="0.2">
      <c r="A506" s="4" t="s">
        <v>1461</v>
      </c>
      <c r="B506" s="15" t="s">
        <v>1492</v>
      </c>
      <c r="C506" s="15" t="s">
        <v>1493</v>
      </c>
      <c r="D506" s="15">
        <v>1</v>
      </c>
      <c r="E506" s="16" t="s">
        <v>1017</v>
      </c>
      <c r="F506" s="15">
        <v>10490000</v>
      </c>
      <c r="G506" s="15">
        <v>9560000</v>
      </c>
      <c r="H506" s="17">
        <v>250000</v>
      </c>
      <c r="I506" s="17">
        <v>680000</v>
      </c>
      <c r="J506" s="18" t="s">
        <v>8</v>
      </c>
    </row>
    <row r="507" spans="1:10" x14ac:dyDescent="0.2">
      <c r="A507" s="4" t="s">
        <v>1464</v>
      </c>
      <c r="B507" s="15" t="s">
        <v>1495</v>
      </c>
      <c r="C507" s="15" t="s">
        <v>1496</v>
      </c>
      <c r="D507" s="15">
        <v>1</v>
      </c>
      <c r="E507" s="16" t="s">
        <v>1017</v>
      </c>
      <c r="F507" s="15">
        <v>8250400</v>
      </c>
      <c r="G507" s="15">
        <v>7320000</v>
      </c>
      <c r="H507" s="17">
        <v>250000</v>
      </c>
      <c r="I507" s="17">
        <v>680400</v>
      </c>
      <c r="J507" s="18" t="s">
        <v>8</v>
      </c>
    </row>
    <row r="508" spans="1:10" x14ac:dyDescent="0.2">
      <c r="A508" s="4" t="s">
        <v>1467</v>
      </c>
      <c r="B508" s="15" t="s">
        <v>1498</v>
      </c>
      <c r="C508" s="15" t="s">
        <v>1499</v>
      </c>
      <c r="D508" s="15">
        <v>1</v>
      </c>
      <c r="E508" s="16" t="s">
        <v>1017</v>
      </c>
      <c r="F508" s="15">
        <v>14370400</v>
      </c>
      <c r="G508" s="15">
        <v>13440000</v>
      </c>
      <c r="H508" s="17">
        <v>250000</v>
      </c>
      <c r="I508" s="17">
        <v>680400</v>
      </c>
      <c r="J508" s="18" t="s">
        <v>8</v>
      </c>
    </row>
    <row r="509" spans="1:10" x14ac:dyDescent="0.2">
      <c r="A509" s="4" t="s">
        <v>1470</v>
      </c>
      <c r="B509" s="15" t="s">
        <v>1501</v>
      </c>
      <c r="C509" s="15" t="s">
        <v>1093</v>
      </c>
      <c r="D509" s="15">
        <v>1</v>
      </c>
      <c r="E509" s="16" t="s">
        <v>1017</v>
      </c>
      <c r="F509" s="15">
        <v>8670400</v>
      </c>
      <c r="G509" s="15">
        <v>7740000</v>
      </c>
      <c r="H509" s="17">
        <v>250000</v>
      </c>
      <c r="I509" s="17">
        <v>680400</v>
      </c>
      <c r="J509" s="18" t="s">
        <v>8</v>
      </c>
    </row>
    <row r="510" spans="1:10" x14ac:dyDescent="0.2">
      <c r="A510" s="4" t="s">
        <v>1473</v>
      </c>
      <c r="B510" s="15" t="s">
        <v>1503</v>
      </c>
      <c r="C510" s="15" t="s">
        <v>1504</v>
      </c>
      <c r="D510" s="15">
        <v>1</v>
      </c>
      <c r="E510" s="16" t="s">
        <v>1017</v>
      </c>
      <c r="F510" s="15">
        <v>15490400</v>
      </c>
      <c r="G510" s="15">
        <v>14560000</v>
      </c>
      <c r="H510" s="17">
        <v>250000</v>
      </c>
      <c r="I510" s="17">
        <v>680400</v>
      </c>
      <c r="J510" s="18" t="s">
        <v>8</v>
      </c>
    </row>
    <row r="511" spans="1:10" x14ac:dyDescent="0.2">
      <c r="A511" s="4" t="s">
        <v>1476</v>
      </c>
      <c r="B511" s="15" t="s">
        <v>1506</v>
      </c>
      <c r="C511" s="15" t="s">
        <v>1507</v>
      </c>
      <c r="D511" s="15">
        <v>1</v>
      </c>
      <c r="E511" s="16" t="s">
        <v>1017</v>
      </c>
      <c r="F511" s="15">
        <v>5030400</v>
      </c>
      <c r="G511" s="15">
        <v>4100000</v>
      </c>
      <c r="H511" s="17">
        <v>250000</v>
      </c>
      <c r="I511" s="17">
        <v>680400</v>
      </c>
      <c r="J511" s="18" t="s">
        <v>8</v>
      </c>
    </row>
    <row r="512" spans="1:10" x14ac:dyDescent="0.2">
      <c r="A512" s="4" t="s">
        <v>1479</v>
      </c>
      <c r="B512" s="15" t="s">
        <v>1509</v>
      </c>
      <c r="C512" s="15" t="s">
        <v>1510</v>
      </c>
      <c r="D512" s="15">
        <v>1</v>
      </c>
      <c r="E512" s="16" t="s">
        <v>1017</v>
      </c>
      <c r="F512" s="15">
        <v>10490400</v>
      </c>
      <c r="G512" s="15">
        <v>9560000</v>
      </c>
      <c r="H512" s="17">
        <v>250000</v>
      </c>
      <c r="I512" s="17">
        <v>680400</v>
      </c>
      <c r="J512" s="18" t="s">
        <v>8</v>
      </c>
    </row>
    <row r="513" spans="1:10" x14ac:dyDescent="0.2">
      <c r="A513" s="4" t="s">
        <v>1482</v>
      </c>
      <c r="B513" s="15" t="s">
        <v>1512</v>
      </c>
      <c r="C513" s="15" t="s">
        <v>1513</v>
      </c>
      <c r="D513" s="15">
        <v>1</v>
      </c>
      <c r="E513" s="16" t="s">
        <v>1017</v>
      </c>
      <c r="F513" s="15">
        <v>930000</v>
      </c>
      <c r="G513" s="15">
        <v>0</v>
      </c>
      <c r="H513" s="17">
        <v>250000</v>
      </c>
      <c r="I513" s="17">
        <v>680000</v>
      </c>
      <c r="J513" s="18" t="s">
        <v>8</v>
      </c>
    </row>
    <row r="514" spans="1:10" x14ac:dyDescent="0.2">
      <c r="A514" s="4" t="s">
        <v>1485</v>
      </c>
      <c r="B514" s="15" t="s">
        <v>1515</v>
      </c>
      <c r="C514" s="15" t="s">
        <v>1516</v>
      </c>
      <c r="D514" s="15">
        <v>1</v>
      </c>
      <c r="E514" s="16" t="s">
        <v>1017</v>
      </c>
      <c r="F514" s="15">
        <v>10490400</v>
      </c>
      <c r="G514" s="15">
        <v>9560000</v>
      </c>
      <c r="H514" s="17">
        <v>250000</v>
      </c>
      <c r="I514" s="17">
        <v>680400</v>
      </c>
      <c r="J514" s="18" t="s">
        <v>8</v>
      </c>
    </row>
    <row r="515" spans="1:10" x14ac:dyDescent="0.2">
      <c r="A515" s="4" t="s">
        <v>1488</v>
      </c>
      <c r="B515" s="15" t="s">
        <v>1518</v>
      </c>
      <c r="C515" s="15" t="s">
        <v>1519</v>
      </c>
      <c r="D515" s="15">
        <v>1</v>
      </c>
      <c r="E515" s="16" t="s">
        <v>1017</v>
      </c>
      <c r="F515" s="15">
        <v>14790400</v>
      </c>
      <c r="G515" s="15">
        <v>13860000</v>
      </c>
      <c r="H515" s="17">
        <v>250000</v>
      </c>
      <c r="I515" s="17">
        <v>680400</v>
      </c>
      <c r="J515" s="18" t="s">
        <v>8</v>
      </c>
    </row>
    <row r="516" spans="1:10" x14ac:dyDescent="0.2">
      <c r="A516" s="4" t="s">
        <v>1491</v>
      </c>
      <c r="B516" s="15" t="s">
        <v>1521</v>
      </c>
      <c r="C516" s="15" t="s">
        <v>1522</v>
      </c>
      <c r="D516" s="15">
        <v>1</v>
      </c>
      <c r="E516" s="16" t="s">
        <v>1017</v>
      </c>
      <c r="F516" s="15">
        <v>7690400</v>
      </c>
      <c r="G516" s="15">
        <v>6760000</v>
      </c>
      <c r="H516" s="17">
        <v>250000</v>
      </c>
      <c r="I516" s="17">
        <v>680400</v>
      </c>
      <c r="J516" s="18" t="s">
        <v>8</v>
      </c>
    </row>
    <row r="517" spans="1:10" x14ac:dyDescent="0.2">
      <c r="A517" s="4" t="s">
        <v>1494</v>
      </c>
      <c r="B517" s="15" t="s">
        <v>1524</v>
      </c>
      <c r="C517" s="15" t="s">
        <v>1525</v>
      </c>
      <c r="D517" s="15">
        <v>1</v>
      </c>
      <c r="E517" s="16" t="s">
        <v>1017</v>
      </c>
      <c r="F517" s="15">
        <v>1390400</v>
      </c>
      <c r="G517" s="15">
        <v>460000.00000000093</v>
      </c>
      <c r="H517" s="17">
        <v>250000</v>
      </c>
      <c r="I517" s="17">
        <v>680400</v>
      </c>
      <c r="J517" s="18" t="s">
        <v>8</v>
      </c>
    </row>
    <row r="518" spans="1:10" x14ac:dyDescent="0.2">
      <c r="A518" s="4" t="s">
        <v>1497</v>
      </c>
      <c r="B518" s="15" t="s">
        <v>1527</v>
      </c>
      <c r="C518" s="15" t="s">
        <v>1528</v>
      </c>
      <c r="D518" s="15">
        <v>1</v>
      </c>
      <c r="E518" s="16" t="s">
        <v>1017</v>
      </c>
      <c r="F518" s="15">
        <v>10490400</v>
      </c>
      <c r="G518" s="15">
        <v>9560000</v>
      </c>
      <c r="H518" s="17">
        <v>250000</v>
      </c>
      <c r="I518" s="17">
        <v>680400</v>
      </c>
      <c r="J518" s="18" t="s">
        <v>8</v>
      </c>
    </row>
    <row r="519" spans="1:10" x14ac:dyDescent="0.2">
      <c r="A519" s="4" t="s">
        <v>1500</v>
      </c>
      <c r="B519" s="15" t="s">
        <v>1530</v>
      </c>
      <c r="C519" s="15" t="s">
        <v>1531</v>
      </c>
      <c r="D519" s="15">
        <v>1</v>
      </c>
      <c r="E519" s="16" t="s">
        <v>1017</v>
      </c>
      <c r="F519" s="15">
        <v>6710400</v>
      </c>
      <c r="G519" s="15">
        <v>5780000</v>
      </c>
      <c r="H519" s="17">
        <v>250000</v>
      </c>
      <c r="I519" s="17">
        <v>680400</v>
      </c>
      <c r="J519" s="18" t="s">
        <v>8</v>
      </c>
    </row>
    <row r="520" spans="1:10" x14ac:dyDescent="0.2">
      <c r="A520" s="4" t="s">
        <v>1502</v>
      </c>
      <c r="B520" s="15" t="s">
        <v>1533</v>
      </c>
      <c r="C520" s="15" t="s">
        <v>1534</v>
      </c>
      <c r="D520" s="15">
        <v>1</v>
      </c>
      <c r="E520" s="16" t="s">
        <v>1017</v>
      </c>
      <c r="F520" s="15">
        <v>10490400</v>
      </c>
      <c r="G520" s="15">
        <v>9560000</v>
      </c>
      <c r="H520" s="17">
        <v>250000</v>
      </c>
      <c r="I520" s="17">
        <v>680400</v>
      </c>
      <c r="J520" s="18" t="s">
        <v>8</v>
      </c>
    </row>
    <row r="521" spans="1:10" x14ac:dyDescent="0.2">
      <c r="A521" s="4" t="s">
        <v>1505</v>
      </c>
      <c r="B521" s="15" t="s">
        <v>1536</v>
      </c>
      <c r="C521" s="15" t="s">
        <v>1537</v>
      </c>
      <c r="D521" s="15">
        <v>1</v>
      </c>
      <c r="E521" s="16" t="s">
        <v>1017</v>
      </c>
      <c r="F521" s="15">
        <v>5550400</v>
      </c>
      <c r="G521" s="15">
        <v>4620000.0000000009</v>
      </c>
      <c r="H521" s="17">
        <v>250000</v>
      </c>
      <c r="I521" s="17">
        <v>680400</v>
      </c>
      <c r="J521" s="18" t="s">
        <v>8</v>
      </c>
    </row>
    <row r="522" spans="1:10" x14ac:dyDescent="0.2">
      <c r="A522" s="4" t="s">
        <v>1508</v>
      </c>
      <c r="B522" s="15" t="s">
        <v>1539</v>
      </c>
      <c r="C522" s="15" t="s">
        <v>1540</v>
      </c>
      <c r="D522" s="15">
        <v>1</v>
      </c>
      <c r="E522" s="16" t="s">
        <v>1017</v>
      </c>
      <c r="F522" s="15">
        <v>8670400</v>
      </c>
      <c r="G522" s="15">
        <v>7740000</v>
      </c>
      <c r="H522" s="17">
        <v>250000</v>
      </c>
      <c r="I522" s="17">
        <v>680400</v>
      </c>
      <c r="J522" s="18" t="s">
        <v>8</v>
      </c>
    </row>
    <row r="523" spans="1:10" x14ac:dyDescent="0.2">
      <c r="A523" s="4" t="s">
        <v>1511</v>
      </c>
      <c r="B523" s="15" t="s">
        <v>1542</v>
      </c>
      <c r="C523" s="15" t="s">
        <v>1543</v>
      </c>
      <c r="D523" s="15">
        <v>1</v>
      </c>
      <c r="E523" s="16" t="s">
        <v>1017</v>
      </c>
      <c r="F523" s="15">
        <v>970400</v>
      </c>
      <c r="G523" s="15">
        <v>40000.000000000931</v>
      </c>
      <c r="H523" s="17">
        <v>250000</v>
      </c>
      <c r="I523" s="17">
        <v>680400</v>
      </c>
      <c r="J523" s="18" t="s">
        <v>8</v>
      </c>
    </row>
    <row r="524" spans="1:10" x14ac:dyDescent="0.2">
      <c r="A524" s="4" t="s">
        <v>1514</v>
      </c>
      <c r="B524" s="15" t="s">
        <v>1545</v>
      </c>
      <c r="C524" s="15" t="s">
        <v>1546</v>
      </c>
      <c r="D524" s="15">
        <v>1</v>
      </c>
      <c r="E524" s="16" t="s">
        <v>1017</v>
      </c>
      <c r="F524" s="15">
        <v>5040000</v>
      </c>
      <c r="G524" s="15">
        <v>4109600</v>
      </c>
      <c r="H524" s="17">
        <v>250000</v>
      </c>
      <c r="I524" s="17">
        <v>680400</v>
      </c>
      <c r="J524" s="18" t="s">
        <v>8</v>
      </c>
    </row>
    <row r="525" spans="1:10" x14ac:dyDescent="0.2">
      <c r="A525" s="4" t="s">
        <v>1517</v>
      </c>
      <c r="B525" s="15" t="s">
        <v>1548</v>
      </c>
      <c r="C525" s="15" t="s">
        <v>1549</v>
      </c>
      <c r="D525" s="15">
        <v>1</v>
      </c>
      <c r="E525" s="16" t="s">
        <v>1017</v>
      </c>
      <c r="F525" s="15">
        <v>17730400</v>
      </c>
      <c r="G525" s="15">
        <v>16800000</v>
      </c>
      <c r="H525" s="17">
        <v>250000</v>
      </c>
      <c r="I525" s="17">
        <v>680400</v>
      </c>
      <c r="J525" s="18" t="s">
        <v>8</v>
      </c>
    </row>
    <row r="526" spans="1:10" x14ac:dyDescent="0.2">
      <c r="A526" s="4" t="s">
        <v>1520</v>
      </c>
      <c r="B526" s="15" t="s">
        <v>1551</v>
      </c>
      <c r="C526" s="15" t="s">
        <v>1552</v>
      </c>
      <c r="D526" s="15">
        <v>1</v>
      </c>
      <c r="E526" s="16" t="s">
        <v>1017</v>
      </c>
      <c r="F526" s="15">
        <v>15490400</v>
      </c>
      <c r="G526" s="15">
        <v>14560000</v>
      </c>
      <c r="H526" s="17">
        <v>250000</v>
      </c>
      <c r="I526" s="17">
        <v>680400</v>
      </c>
      <c r="J526" s="18" t="s">
        <v>8</v>
      </c>
    </row>
    <row r="527" spans="1:10" x14ac:dyDescent="0.2">
      <c r="A527" s="4" t="s">
        <v>1523</v>
      </c>
      <c r="B527" s="15" t="s">
        <v>1554</v>
      </c>
      <c r="C527" s="15" t="s">
        <v>1555</v>
      </c>
      <c r="D527" s="15">
        <v>1</v>
      </c>
      <c r="E527" s="16" t="s">
        <v>1017</v>
      </c>
      <c r="F527" s="15">
        <v>1390400</v>
      </c>
      <c r="G527" s="15">
        <v>460000.00000000093</v>
      </c>
      <c r="H527" s="17">
        <v>250000</v>
      </c>
      <c r="I527" s="17">
        <v>680400</v>
      </c>
      <c r="J527" s="18" t="s">
        <v>8</v>
      </c>
    </row>
    <row r="528" spans="1:10" x14ac:dyDescent="0.2">
      <c r="A528" s="4" t="s">
        <v>1526</v>
      </c>
      <c r="B528" s="15" t="s">
        <v>1557</v>
      </c>
      <c r="C528" s="15" t="s">
        <v>1558</v>
      </c>
      <c r="D528" s="15">
        <v>1</v>
      </c>
      <c r="E528" s="16" t="s">
        <v>1017</v>
      </c>
      <c r="F528" s="15">
        <v>15490400</v>
      </c>
      <c r="G528" s="15">
        <v>14560000</v>
      </c>
      <c r="H528" s="17">
        <v>250000</v>
      </c>
      <c r="I528" s="17">
        <v>680400</v>
      </c>
      <c r="J528" s="18" t="s">
        <v>8</v>
      </c>
    </row>
    <row r="529" spans="1:10" x14ac:dyDescent="0.2">
      <c r="A529" s="4" t="s">
        <v>1529</v>
      </c>
      <c r="B529" s="15" t="s">
        <v>1560</v>
      </c>
      <c r="C529" s="15" t="s">
        <v>1561</v>
      </c>
      <c r="D529" s="15">
        <v>1</v>
      </c>
      <c r="E529" s="16" t="s">
        <v>1017</v>
      </c>
      <c r="F529" s="15">
        <v>10490400</v>
      </c>
      <c r="G529" s="15">
        <v>9560000</v>
      </c>
      <c r="H529" s="17">
        <v>250000</v>
      </c>
      <c r="I529" s="17">
        <v>680400</v>
      </c>
      <c r="J529" s="18" t="s">
        <v>8</v>
      </c>
    </row>
    <row r="530" spans="1:10" x14ac:dyDescent="0.2">
      <c r="A530" s="4" t="s">
        <v>1532</v>
      </c>
      <c r="B530" s="15" t="s">
        <v>1563</v>
      </c>
      <c r="C530" s="15" t="s">
        <v>1564</v>
      </c>
      <c r="D530" s="15">
        <v>1</v>
      </c>
      <c r="E530" s="16" t="s">
        <v>1017</v>
      </c>
      <c r="F530" s="15">
        <v>15490400</v>
      </c>
      <c r="G530" s="15">
        <v>14560000</v>
      </c>
      <c r="H530" s="17">
        <v>250000</v>
      </c>
      <c r="I530" s="17">
        <v>680400</v>
      </c>
      <c r="J530" s="18" t="s">
        <v>8</v>
      </c>
    </row>
    <row r="531" spans="1:10" x14ac:dyDescent="0.2">
      <c r="A531" s="4" t="s">
        <v>1535</v>
      </c>
      <c r="B531" s="15" t="s">
        <v>1566</v>
      </c>
      <c r="C531" s="15" t="s">
        <v>1093</v>
      </c>
      <c r="D531" s="15">
        <v>1</v>
      </c>
      <c r="E531" s="16" t="s">
        <v>1017</v>
      </c>
      <c r="F531" s="15">
        <v>5030400</v>
      </c>
      <c r="G531" s="15">
        <v>4100000</v>
      </c>
      <c r="H531" s="17">
        <v>250000</v>
      </c>
      <c r="I531" s="17">
        <v>680400</v>
      </c>
      <c r="J531" s="18" t="s">
        <v>8</v>
      </c>
    </row>
    <row r="532" spans="1:10" x14ac:dyDescent="0.2">
      <c r="A532" s="4" t="s">
        <v>1538</v>
      </c>
      <c r="B532" s="15" t="s">
        <v>1568</v>
      </c>
      <c r="C532" s="15" t="s">
        <v>1569</v>
      </c>
      <c r="D532" s="15">
        <v>1</v>
      </c>
      <c r="E532" s="16" t="s">
        <v>1017</v>
      </c>
      <c r="F532" s="15">
        <v>3630400</v>
      </c>
      <c r="G532" s="15">
        <v>2700000</v>
      </c>
      <c r="H532" s="17">
        <v>250000</v>
      </c>
      <c r="I532" s="17">
        <v>680400</v>
      </c>
      <c r="J532" s="18" t="s">
        <v>8</v>
      </c>
    </row>
    <row r="533" spans="1:10" x14ac:dyDescent="0.2">
      <c r="A533" s="4" t="s">
        <v>1541</v>
      </c>
      <c r="B533" s="15" t="s">
        <v>133</v>
      </c>
      <c r="C533" s="15" t="s">
        <v>134</v>
      </c>
      <c r="D533" s="15">
        <v>2</v>
      </c>
      <c r="E533" s="16" t="s">
        <v>1017</v>
      </c>
      <c r="F533" s="15">
        <v>9370400</v>
      </c>
      <c r="G533" s="15">
        <v>8440000</v>
      </c>
      <c r="H533" s="17">
        <v>250000</v>
      </c>
      <c r="I533" s="17">
        <v>680400</v>
      </c>
      <c r="J533" s="18" t="s">
        <v>8</v>
      </c>
    </row>
    <row r="534" spans="1:10" x14ac:dyDescent="0.2">
      <c r="A534" s="4" t="s">
        <v>1544</v>
      </c>
      <c r="B534" s="15" t="s">
        <v>1572</v>
      </c>
      <c r="C534" s="15" t="s">
        <v>1573</v>
      </c>
      <c r="D534" s="15">
        <v>1</v>
      </c>
      <c r="E534" s="16" t="s">
        <v>1017</v>
      </c>
      <c r="F534" s="15">
        <v>13250400</v>
      </c>
      <c r="G534" s="15">
        <v>12320000</v>
      </c>
      <c r="H534" s="17">
        <v>250000</v>
      </c>
      <c r="I534" s="17">
        <v>680400</v>
      </c>
      <c r="J534" s="18" t="s">
        <v>8</v>
      </c>
    </row>
    <row r="535" spans="1:10" x14ac:dyDescent="0.2">
      <c r="A535" s="4" t="s">
        <v>1547</v>
      </c>
      <c r="B535" s="15" t="s">
        <v>1575</v>
      </c>
      <c r="C535" s="15" t="s">
        <v>1576</v>
      </c>
      <c r="D535" s="15">
        <v>1</v>
      </c>
      <c r="E535" s="16" t="s">
        <v>1017</v>
      </c>
      <c r="F535" s="15">
        <v>15490400</v>
      </c>
      <c r="G535" s="15">
        <v>14560000</v>
      </c>
      <c r="H535" s="17">
        <v>250000</v>
      </c>
      <c r="I535" s="17">
        <v>680400</v>
      </c>
      <c r="J535" s="18" t="s">
        <v>8</v>
      </c>
    </row>
    <row r="536" spans="1:10" x14ac:dyDescent="0.2">
      <c r="A536" s="4" t="s">
        <v>1550</v>
      </c>
      <c r="B536" s="15" t="s">
        <v>1578</v>
      </c>
      <c r="C536" s="15" t="s">
        <v>1579</v>
      </c>
      <c r="D536" s="15">
        <v>1</v>
      </c>
      <c r="E536" s="16" t="s">
        <v>1017</v>
      </c>
      <c r="F536" s="15">
        <v>5030400</v>
      </c>
      <c r="G536" s="15">
        <v>4100000</v>
      </c>
      <c r="H536" s="17">
        <v>250000</v>
      </c>
      <c r="I536" s="17">
        <v>680400</v>
      </c>
      <c r="J536" s="18" t="s">
        <v>8</v>
      </c>
    </row>
    <row r="537" spans="1:10" x14ac:dyDescent="0.2">
      <c r="A537" s="4" t="s">
        <v>1553</v>
      </c>
      <c r="B537" s="15" t="s">
        <v>1581</v>
      </c>
      <c r="C537" s="15" t="s">
        <v>1582</v>
      </c>
      <c r="D537" s="15">
        <v>1</v>
      </c>
      <c r="E537" s="16" t="s">
        <v>1017</v>
      </c>
      <c r="F537" s="15">
        <v>8670400</v>
      </c>
      <c r="G537" s="15">
        <v>7740000</v>
      </c>
      <c r="H537" s="17">
        <v>250000</v>
      </c>
      <c r="I537" s="17">
        <v>680400</v>
      </c>
      <c r="J537" s="18" t="s">
        <v>8</v>
      </c>
    </row>
    <row r="538" spans="1:10" x14ac:dyDescent="0.2">
      <c r="A538" s="4" t="s">
        <v>1556</v>
      </c>
      <c r="B538" s="15" t="s">
        <v>1584</v>
      </c>
      <c r="C538" s="15" t="s">
        <v>1585</v>
      </c>
      <c r="D538" s="15">
        <v>1</v>
      </c>
      <c r="E538" s="16" t="s">
        <v>1017</v>
      </c>
      <c r="F538" s="15">
        <v>17310400</v>
      </c>
      <c r="G538" s="15">
        <v>16380000</v>
      </c>
      <c r="H538" s="17">
        <v>250000</v>
      </c>
      <c r="I538" s="17">
        <v>680400</v>
      </c>
      <c r="J538" s="18" t="s">
        <v>8</v>
      </c>
    </row>
    <row r="539" spans="1:10" x14ac:dyDescent="0.2">
      <c r="A539" s="4" t="s">
        <v>1559</v>
      </c>
      <c r="B539" s="15" t="s">
        <v>1587</v>
      </c>
      <c r="C539" s="15" t="s">
        <v>1588</v>
      </c>
      <c r="D539" s="15">
        <v>1</v>
      </c>
      <c r="E539" s="16" t="s">
        <v>1017</v>
      </c>
      <c r="F539" s="15">
        <v>15490400</v>
      </c>
      <c r="G539" s="15">
        <v>14560000</v>
      </c>
      <c r="H539" s="17">
        <v>250000</v>
      </c>
      <c r="I539" s="17">
        <v>680400</v>
      </c>
      <c r="J539" s="18" t="s">
        <v>8</v>
      </c>
    </row>
    <row r="540" spans="1:10" x14ac:dyDescent="0.2">
      <c r="A540" s="4" t="s">
        <v>1562</v>
      </c>
      <c r="B540" s="15" t="s">
        <v>1590</v>
      </c>
      <c r="C540" s="15" t="s">
        <v>1591</v>
      </c>
      <c r="D540" s="15">
        <v>1</v>
      </c>
      <c r="E540" s="16" t="s">
        <v>1017</v>
      </c>
      <c r="F540" s="15">
        <v>8670400</v>
      </c>
      <c r="G540" s="15">
        <v>7740000</v>
      </c>
      <c r="H540" s="17">
        <v>250000</v>
      </c>
      <c r="I540" s="17">
        <v>680400</v>
      </c>
      <c r="J540" s="18" t="s">
        <v>8</v>
      </c>
    </row>
    <row r="541" spans="1:10" x14ac:dyDescent="0.2">
      <c r="A541" s="4" t="s">
        <v>1565</v>
      </c>
      <c r="B541" s="15" t="s">
        <v>1593</v>
      </c>
      <c r="C541" s="15" t="s">
        <v>1594</v>
      </c>
      <c r="D541" s="15">
        <v>1</v>
      </c>
      <c r="E541" s="16" t="s">
        <v>1017</v>
      </c>
      <c r="F541" s="15">
        <v>17730400</v>
      </c>
      <c r="G541" s="15">
        <v>16800000</v>
      </c>
      <c r="H541" s="17">
        <v>250000</v>
      </c>
      <c r="I541" s="17">
        <v>680400</v>
      </c>
      <c r="J541" s="18" t="s">
        <v>8</v>
      </c>
    </row>
    <row r="542" spans="1:10" x14ac:dyDescent="0.2">
      <c r="A542" s="4" t="s">
        <v>1567</v>
      </c>
      <c r="B542" s="15" t="s">
        <v>1596</v>
      </c>
      <c r="C542" s="15" t="s">
        <v>1597</v>
      </c>
      <c r="D542" s="15">
        <v>1</v>
      </c>
      <c r="E542" s="16" t="s">
        <v>1017</v>
      </c>
      <c r="F542" s="15">
        <v>5975000</v>
      </c>
      <c r="G542" s="15">
        <v>5044600</v>
      </c>
      <c r="H542" s="17">
        <v>250000</v>
      </c>
      <c r="I542" s="17">
        <v>680400</v>
      </c>
      <c r="J542" s="18" t="s">
        <v>8</v>
      </c>
    </row>
    <row r="543" spans="1:10" x14ac:dyDescent="0.2">
      <c r="A543" s="4" t="s">
        <v>1570</v>
      </c>
      <c r="B543" s="15" t="s">
        <v>1599</v>
      </c>
      <c r="C543" s="15" t="s">
        <v>1600</v>
      </c>
      <c r="D543" s="15">
        <v>1</v>
      </c>
      <c r="E543" s="16" t="s">
        <v>1017</v>
      </c>
      <c r="F543" s="15">
        <v>13250400</v>
      </c>
      <c r="G543" s="15">
        <v>12320000</v>
      </c>
      <c r="H543" s="17">
        <v>250000</v>
      </c>
      <c r="I543" s="17">
        <v>680400</v>
      </c>
      <c r="J543" s="18" t="s">
        <v>8</v>
      </c>
    </row>
    <row r="544" spans="1:10" x14ac:dyDescent="0.2">
      <c r="A544" s="4" t="s">
        <v>1571</v>
      </c>
      <c r="B544" s="15" t="s">
        <v>1602</v>
      </c>
      <c r="C544" s="15" t="s">
        <v>1603</v>
      </c>
      <c r="D544" s="15">
        <v>1</v>
      </c>
      <c r="E544" s="16" t="s">
        <v>1017</v>
      </c>
      <c r="F544" s="15">
        <v>8250400</v>
      </c>
      <c r="G544" s="15">
        <v>7320000</v>
      </c>
      <c r="H544" s="17">
        <v>250000</v>
      </c>
      <c r="I544" s="17">
        <v>680400</v>
      </c>
      <c r="J544" s="18" t="s">
        <v>8</v>
      </c>
    </row>
    <row r="545" spans="1:10" x14ac:dyDescent="0.2">
      <c r="A545" s="4" t="s">
        <v>1574</v>
      </c>
      <c r="B545" s="15" t="s">
        <v>1605</v>
      </c>
      <c r="C545" s="15" t="s">
        <v>1606</v>
      </c>
      <c r="D545" s="15">
        <v>1</v>
      </c>
      <c r="E545" s="16" t="s">
        <v>1017</v>
      </c>
      <c r="F545" s="15">
        <v>8630000</v>
      </c>
      <c r="G545" s="15">
        <v>7700000</v>
      </c>
      <c r="H545" s="17">
        <v>250000</v>
      </c>
      <c r="I545" s="17">
        <v>680000</v>
      </c>
      <c r="J545" s="18" t="s">
        <v>8</v>
      </c>
    </row>
    <row r="546" spans="1:10" x14ac:dyDescent="0.2">
      <c r="A546" s="4" t="s">
        <v>1577</v>
      </c>
      <c r="B546" s="15" t="s">
        <v>1608</v>
      </c>
      <c r="C546" s="15" t="s">
        <v>1609</v>
      </c>
      <c r="D546" s="15">
        <v>1</v>
      </c>
      <c r="E546" s="16" t="s">
        <v>1017</v>
      </c>
      <c r="F546" s="15">
        <v>4330400</v>
      </c>
      <c r="G546" s="15">
        <v>3400000</v>
      </c>
      <c r="H546" s="17">
        <v>250000</v>
      </c>
      <c r="I546" s="17">
        <v>680400</v>
      </c>
      <c r="J546" s="18" t="s">
        <v>8</v>
      </c>
    </row>
    <row r="547" spans="1:10" x14ac:dyDescent="0.2">
      <c r="A547" s="4" t="s">
        <v>1580</v>
      </c>
      <c r="B547" s="15" t="s">
        <v>1611</v>
      </c>
      <c r="C547" s="15" t="s">
        <v>1612</v>
      </c>
      <c r="D547" s="15">
        <v>1</v>
      </c>
      <c r="E547" s="16" t="s">
        <v>1017</v>
      </c>
      <c r="F547" s="15">
        <v>15490000</v>
      </c>
      <c r="G547" s="15">
        <v>14560000</v>
      </c>
      <c r="H547" s="17">
        <v>250000</v>
      </c>
      <c r="I547" s="17">
        <v>680000</v>
      </c>
      <c r="J547" s="18" t="s">
        <v>8</v>
      </c>
    </row>
    <row r="548" spans="1:10" x14ac:dyDescent="0.2">
      <c r="A548" s="4" t="s">
        <v>1583</v>
      </c>
      <c r="B548" s="15" t="s">
        <v>1614</v>
      </c>
      <c r="C548" s="15" t="s">
        <v>1615</v>
      </c>
      <c r="D548" s="15">
        <v>1</v>
      </c>
      <c r="E548" s="16" t="s">
        <v>1017</v>
      </c>
      <c r="F548" s="15">
        <v>10490400</v>
      </c>
      <c r="G548" s="15">
        <v>9560000</v>
      </c>
      <c r="H548" s="17">
        <v>250000</v>
      </c>
      <c r="I548" s="17">
        <v>680400</v>
      </c>
      <c r="J548" s="18" t="s">
        <v>8</v>
      </c>
    </row>
    <row r="549" spans="1:10" x14ac:dyDescent="0.2">
      <c r="A549" s="4" t="s">
        <v>1586</v>
      </c>
      <c r="B549" s="15" t="s">
        <v>1617</v>
      </c>
      <c r="C549" s="15" t="s">
        <v>1618</v>
      </c>
      <c r="D549" s="15">
        <v>1</v>
      </c>
      <c r="E549" s="16" t="s">
        <v>1017</v>
      </c>
      <c r="F549" s="15">
        <v>8670400</v>
      </c>
      <c r="G549" s="15">
        <v>7740000</v>
      </c>
      <c r="H549" s="17">
        <v>250000</v>
      </c>
      <c r="I549" s="17">
        <v>680400</v>
      </c>
      <c r="J549" s="18" t="s">
        <v>8</v>
      </c>
    </row>
    <row r="550" spans="1:10" x14ac:dyDescent="0.2">
      <c r="A550" s="4" t="s">
        <v>1589</v>
      </c>
      <c r="B550" s="15" t="s">
        <v>1620</v>
      </c>
      <c r="C550" s="15" t="s">
        <v>1621</v>
      </c>
      <c r="D550" s="15">
        <v>1</v>
      </c>
      <c r="E550" s="16" t="s">
        <v>1017</v>
      </c>
      <c r="F550" s="15">
        <v>4330400</v>
      </c>
      <c r="G550" s="15">
        <v>3400000</v>
      </c>
      <c r="H550" s="17">
        <v>250000</v>
      </c>
      <c r="I550" s="17">
        <v>680400</v>
      </c>
      <c r="J550" s="18" t="s">
        <v>8</v>
      </c>
    </row>
    <row r="551" spans="1:10" x14ac:dyDescent="0.2">
      <c r="A551" s="4" t="s">
        <v>1592</v>
      </c>
      <c r="B551" s="15" t="s">
        <v>1623</v>
      </c>
      <c r="C551" s="15" t="s">
        <v>1624</v>
      </c>
      <c r="D551" s="15">
        <v>1</v>
      </c>
      <c r="E551" s="16" t="s">
        <v>1017</v>
      </c>
      <c r="F551" s="15">
        <v>5030400</v>
      </c>
      <c r="G551" s="15">
        <v>4100000</v>
      </c>
      <c r="H551" s="17">
        <v>250000</v>
      </c>
      <c r="I551" s="17">
        <v>680400</v>
      </c>
      <c r="J551" s="18" t="s">
        <v>8</v>
      </c>
    </row>
    <row r="552" spans="1:10" x14ac:dyDescent="0.2">
      <c r="A552" s="4" t="s">
        <v>1595</v>
      </c>
      <c r="B552" s="15" t="s">
        <v>1626</v>
      </c>
      <c r="C552" s="15" t="s">
        <v>1627</v>
      </c>
      <c r="D552" s="15">
        <v>1</v>
      </c>
      <c r="E552" s="16" t="s">
        <v>1017</v>
      </c>
      <c r="F552" s="15">
        <v>1390400</v>
      </c>
      <c r="G552" s="15">
        <v>460000.00000000093</v>
      </c>
      <c r="H552" s="17">
        <v>250000</v>
      </c>
      <c r="I552" s="17">
        <v>680400</v>
      </c>
      <c r="J552" s="18" t="s">
        <v>8</v>
      </c>
    </row>
    <row r="553" spans="1:10" x14ac:dyDescent="0.2">
      <c r="A553" s="4" t="s">
        <v>1598</v>
      </c>
      <c r="B553" s="15" t="s">
        <v>1629</v>
      </c>
      <c r="C553" s="15" t="s">
        <v>1630</v>
      </c>
      <c r="D553" s="15">
        <v>1</v>
      </c>
      <c r="E553" s="16" t="s">
        <v>1017</v>
      </c>
      <c r="F553" s="15">
        <v>17730400</v>
      </c>
      <c r="G553" s="15">
        <v>16800000</v>
      </c>
      <c r="H553" s="17">
        <v>250000</v>
      </c>
      <c r="I553" s="17">
        <v>680400</v>
      </c>
      <c r="J553" s="18" t="s">
        <v>8</v>
      </c>
    </row>
    <row r="554" spans="1:10" x14ac:dyDescent="0.2">
      <c r="A554" s="4" t="s">
        <v>1601</v>
      </c>
      <c r="B554" s="15" t="s">
        <v>1632</v>
      </c>
      <c r="C554" s="15" t="s">
        <v>1633</v>
      </c>
      <c r="D554" s="15">
        <v>1</v>
      </c>
      <c r="E554" s="16" t="s">
        <v>1017</v>
      </c>
      <c r="F554" s="15">
        <v>6710400</v>
      </c>
      <c r="G554" s="15">
        <v>5780000</v>
      </c>
      <c r="H554" s="17">
        <v>250000</v>
      </c>
      <c r="I554" s="17">
        <v>680400</v>
      </c>
      <c r="J554" s="18" t="s">
        <v>8</v>
      </c>
    </row>
    <row r="555" spans="1:10" x14ac:dyDescent="0.2">
      <c r="A555" s="4" t="s">
        <v>1604</v>
      </c>
      <c r="B555" s="15" t="s">
        <v>1635</v>
      </c>
      <c r="C555" s="15" t="s">
        <v>1636</v>
      </c>
      <c r="D555" s="15">
        <v>1</v>
      </c>
      <c r="E555" s="16" t="s">
        <v>1017</v>
      </c>
      <c r="F555" s="15">
        <v>6710400</v>
      </c>
      <c r="G555" s="15">
        <v>5780000</v>
      </c>
      <c r="H555" s="17">
        <v>250000</v>
      </c>
      <c r="I555" s="17">
        <v>680400</v>
      </c>
      <c r="J555" s="18" t="s">
        <v>8</v>
      </c>
    </row>
    <row r="556" spans="1:10" x14ac:dyDescent="0.2">
      <c r="A556" s="4" t="s">
        <v>1607</v>
      </c>
      <c r="B556" s="15" t="s">
        <v>1638</v>
      </c>
      <c r="C556" s="15" t="s">
        <v>1639</v>
      </c>
      <c r="D556" s="15">
        <v>1</v>
      </c>
      <c r="E556" s="16" t="s">
        <v>1017</v>
      </c>
      <c r="F556" s="15">
        <v>5030400</v>
      </c>
      <c r="G556" s="15">
        <v>4100000</v>
      </c>
      <c r="H556" s="17">
        <v>250000</v>
      </c>
      <c r="I556" s="17">
        <v>680400</v>
      </c>
      <c r="J556" s="18" t="s">
        <v>8</v>
      </c>
    </row>
    <row r="557" spans="1:10" x14ac:dyDescent="0.2">
      <c r="A557" s="4" t="s">
        <v>1610</v>
      </c>
      <c r="B557" s="15" t="s">
        <v>1641</v>
      </c>
      <c r="C557" s="15" t="s">
        <v>1549</v>
      </c>
      <c r="D557" s="15">
        <v>1</v>
      </c>
      <c r="E557" s="16" t="s">
        <v>1017</v>
      </c>
      <c r="F557" s="15">
        <v>930400</v>
      </c>
      <c r="G557" s="15">
        <v>0</v>
      </c>
      <c r="H557" s="17">
        <v>250000</v>
      </c>
      <c r="I557" s="17">
        <v>680400</v>
      </c>
      <c r="J557" s="18" t="s">
        <v>8</v>
      </c>
    </row>
    <row r="558" spans="1:10" x14ac:dyDescent="0.2">
      <c r="A558" s="4" t="s">
        <v>1613</v>
      </c>
      <c r="B558" s="15" t="s">
        <v>1643</v>
      </c>
      <c r="C558" s="15" t="s">
        <v>1644</v>
      </c>
      <c r="D558" s="15">
        <v>1</v>
      </c>
      <c r="E558" s="16" t="s">
        <v>1017</v>
      </c>
      <c r="F558" s="15">
        <v>1390400</v>
      </c>
      <c r="G558" s="15">
        <v>460000.00000000093</v>
      </c>
      <c r="H558" s="17">
        <v>250000</v>
      </c>
      <c r="I558" s="17">
        <v>680400</v>
      </c>
      <c r="J558" s="18" t="s">
        <v>8</v>
      </c>
    </row>
    <row r="559" spans="1:10" x14ac:dyDescent="0.2">
      <c r="A559" s="4" t="s">
        <v>1616</v>
      </c>
      <c r="B559" s="15" t="s">
        <v>1646</v>
      </c>
      <c r="C559" s="15" t="s">
        <v>1647</v>
      </c>
      <c r="D559" s="15">
        <v>1</v>
      </c>
      <c r="E559" s="16" t="s">
        <v>1017</v>
      </c>
      <c r="F559" s="15">
        <v>930400</v>
      </c>
      <c r="G559" s="15">
        <v>0</v>
      </c>
      <c r="H559" s="17">
        <v>250000</v>
      </c>
      <c r="I559" s="17">
        <v>680400</v>
      </c>
      <c r="J559" s="18" t="s">
        <v>8</v>
      </c>
    </row>
    <row r="560" spans="1:10" x14ac:dyDescent="0.2">
      <c r="A560" s="4" t="s">
        <v>1619</v>
      </c>
      <c r="B560" s="15" t="s">
        <v>1649</v>
      </c>
      <c r="C560" s="15" t="s">
        <v>1650</v>
      </c>
      <c r="D560" s="15">
        <v>1</v>
      </c>
      <c r="E560" s="16" t="s">
        <v>1017</v>
      </c>
      <c r="F560" s="15">
        <v>17310400</v>
      </c>
      <c r="G560" s="15">
        <v>16380000</v>
      </c>
      <c r="H560" s="17">
        <v>250000</v>
      </c>
      <c r="I560" s="17">
        <v>680400</v>
      </c>
      <c r="J560" s="18" t="s">
        <v>8</v>
      </c>
    </row>
    <row r="561" spans="1:10" x14ac:dyDescent="0.2">
      <c r="A561" s="4" t="s">
        <v>1622</v>
      </c>
      <c r="B561" s="15" t="s">
        <v>1652</v>
      </c>
      <c r="C561" s="15" t="s">
        <v>1653</v>
      </c>
      <c r="D561" s="15">
        <v>1</v>
      </c>
      <c r="E561" s="16" t="s">
        <v>1017</v>
      </c>
      <c r="F561" s="15">
        <v>15490400</v>
      </c>
      <c r="G561" s="15">
        <v>14560000</v>
      </c>
      <c r="H561" s="17">
        <v>250000</v>
      </c>
      <c r="I561" s="17">
        <v>680400</v>
      </c>
      <c r="J561" s="18" t="s">
        <v>8</v>
      </c>
    </row>
    <row r="562" spans="1:10" x14ac:dyDescent="0.2">
      <c r="A562" s="4" t="s">
        <v>1625</v>
      </c>
      <c r="B562" s="15" t="s">
        <v>1655</v>
      </c>
      <c r="C562" s="15" t="s">
        <v>1444</v>
      </c>
      <c r="D562" s="15">
        <v>1</v>
      </c>
      <c r="E562" s="16" t="s">
        <v>1017</v>
      </c>
      <c r="F562" s="15">
        <v>10490400</v>
      </c>
      <c r="G562" s="15">
        <v>9560000</v>
      </c>
      <c r="H562" s="17">
        <v>250000</v>
      </c>
      <c r="I562" s="17">
        <v>680400</v>
      </c>
      <c r="J562" s="18" t="s">
        <v>8</v>
      </c>
    </row>
    <row r="563" spans="1:10" x14ac:dyDescent="0.2">
      <c r="A563" s="4" t="s">
        <v>1628</v>
      </c>
      <c r="B563" s="15" t="s">
        <v>1657</v>
      </c>
      <c r="C563" s="15" t="s">
        <v>1658</v>
      </c>
      <c r="D563" s="15">
        <v>1</v>
      </c>
      <c r="E563" s="16" t="s">
        <v>1017</v>
      </c>
      <c r="F563" s="15">
        <v>10490400</v>
      </c>
      <c r="G563" s="15">
        <v>9560000</v>
      </c>
      <c r="H563" s="17">
        <v>250000</v>
      </c>
      <c r="I563" s="17">
        <v>680400</v>
      </c>
      <c r="J563" s="18" t="s">
        <v>8</v>
      </c>
    </row>
    <row r="564" spans="1:10" x14ac:dyDescent="0.2">
      <c r="A564" s="4" t="s">
        <v>1631</v>
      </c>
      <c r="B564" s="15" t="s">
        <v>1660</v>
      </c>
      <c r="C564" s="15" t="s">
        <v>1661</v>
      </c>
      <c r="D564" s="15">
        <v>1</v>
      </c>
      <c r="E564" s="16" t="s">
        <v>1017</v>
      </c>
      <c r="F564" s="15">
        <v>14370400</v>
      </c>
      <c r="G564" s="15">
        <v>13440000</v>
      </c>
      <c r="H564" s="17">
        <v>250000</v>
      </c>
      <c r="I564" s="17">
        <v>680400</v>
      </c>
      <c r="J564" s="18" t="s">
        <v>8</v>
      </c>
    </row>
    <row r="565" spans="1:10" x14ac:dyDescent="0.2">
      <c r="A565" s="4" t="s">
        <v>1634</v>
      </c>
      <c r="B565" s="15" t="s">
        <v>1663</v>
      </c>
      <c r="C565" s="15" t="s">
        <v>1664</v>
      </c>
      <c r="D565" s="15">
        <v>1</v>
      </c>
      <c r="E565" s="16" t="s">
        <v>1017</v>
      </c>
      <c r="F565" s="15">
        <v>7690400</v>
      </c>
      <c r="G565" s="15">
        <v>6760000</v>
      </c>
      <c r="H565" s="17">
        <v>250000</v>
      </c>
      <c r="I565" s="17">
        <v>680400</v>
      </c>
      <c r="J565" s="18" t="s">
        <v>8</v>
      </c>
    </row>
    <row r="566" spans="1:10" x14ac:dyDescent="0.2">
      <c r="A566" s="4" t="s">
        <v>1637</v>
      </c>
      <c r="B566" s="15" t="s">
        <v>1666</v>
      </c>
      <c r="C566" s="15" t="s">
        <v>1667</v>
      </c>
      <c r="D566" s="15">
        <v>1</v>
      </c>
      <c r="E566" s="16" t="s">
        <v>1017</v>
      </c>
      <c r="F566" s="15">
        <v>9330400</v>
      </c>
      <c r="G566" s="15">
        <v>8400000</v>
      </c>
      <c r="H566" s="17">
        <v>250000</v>
      </c>
      <c r="I566" s="17">
        <v>680400</v>
      </c>
      <c r="J566" s="18" t="s">
        <v>8</v>
      </c>
    </row>
    <row r="567" spans="1:10" x14ac:dyDescent="0.2">
      <c r="A567" s="4" t="s">
        <v>1640</v>
      </c>
      <c r="B567" s="15" t="s">
        <v>1669</v>
      </c>
      <c r="C567" s="15" t="s">
        <v>1670</v>
      </c>
      <c r="D567" s="15">
        <v>1</v>
      </c>
      <c r="E567" s="16" t="s">
        <v>1017</v>
      </c>
      <c r="F567" s="15">
        <v>8670400</v>
      </c>
      <c r="G567" s="15">
        <v>7740000</v>
      </c>
      <c r="H567" s="17">
        <v>250000</v>
      </c>
      <c r="I567" s="17">
        <v>680400</v>
      </c>
      <c r="J567" s="18" t="s">
        <v>8</v>
      </c>
    </row>
    <row r="568" spans="1:10" x14ac:dyDescent="0.2">
      <c r="A568" s="4" t="s">
        <v>1642</v>
      </c>
      <c r="B568" s="15" t="s">
        <v>1672</v>
      </c>
      <c r="C568" s="15" t="s">
        <v>1673</v>
      </c>
      <c r="D568" s="15">
        <v>1</v>
      </c>
      <c r="E568" s="16" t="s">
        <v>1017</v>
      </c>
      <c r="F568" s="15">
        <v>10490400</v>
      </c>
      <c r="G568" s="15">
        <v>9560000</v>
      </c>
      <c r="H568" s="17">
        <v>250000</v>
      </c>
      <c r="I568" s="17">
        <v>680400</v>
      </c>
      <c r="J568" s="18" t="s">
        <v>8</v>
      </c>
    </row>
    <row r="569" spans="1:10" x14ac:dyDescent="0.2">
      <c r="A569" s="4" t="s">
        <v>1645</v>
      </c>
      <c r="B569" s="15" t="s">
        <v>1675</v>
      </c>
      <c r="C569" s="15" t="s">
        <v>1676</v>
      </c>
      <c r="D569" s="15">
        <v>1</v>
      </c>
      <c r="E569" s="16" t="s">
        <v>1017</v>
      </c>
      <c r="F569" s="15">
        <v>930400</v>
      </c>
      <c r="G569" s="15">
        <v>0</v>
      </c>
      <c r="H569" s="17">
        <v>250000</v>
      </c>
      <c r="I569" s="17">
        <v>680400</v>
      </c>
      <c r="J569" s="18" t="s">
        <v>8</v>
      </c>
    </row>
    <row r="570" spans="1:10" x14ac:dyDescent="0.2">
      <c r="A570" s="4" t="s">
        <v>1648</v>
      </c>
      <c r="B570" s="15" t="s">
        <v>1678</v>
      </c>
      <c r="C570" s="15" t="s">
        <v>1679</v>
      </c>
      <c r="D570" s="15">
        <v>1</v>
      </c>
      <c r="E570" s="16" t="s">
        <v>1017</v>
      </c>
      <c r="F570" s="15">
        <v>5030400</v>
      </c>
      <c r="G570" s="15">
        <v>4100000</v>
      </c>
      <c r="H570" s="17">
        <v>250000</v>
      </c>
      <c r="I570" s="17">
        <v>680400</v>
      </c>
      <c r="J570" s="18" t="s">
        <v>8</v>
      </c>
    </row>
    <row r="571" spans="1:10" x14ac:dyDescent="0.2">
      <c r="A571" s="4" t="s">
        <v>1651</v>
      </c>
      <c r="B571" s="15" t="s">
        <v>1681</v>
      </c>
      <c r="C571" s="15" t="s">
        <v>1682</v>
      </c>
      <c r="D571" s="15">
        <v>1</v>
      </c>
      <c r="E571" s="16" t="s">
        <v>1017</v>
      </c>
      <c r="F571" s="15">
        <v>1390400</v>
      </c>
      <c r="G571" s="15">
        <v>460000.00000000093</v>
      </c>
      <c r="H571" s="17">
        <v>250000</v>
      </c>
      <c r="I571" s="17">
        <v>680400</v>
      </c>
      <c r="J571" s="18" t="s">
        <v>8</v>
      </c>
    </row>
    <row r="572" spans="1:10" x14ac:dyDescent="0.2">
      <c r="A572" s="4" t="s">
        <v>1654</v>
      </c>
      <c r="B572" s="15" t="s">
        <v>1684</v>
      </c>
      <c r="C572" s="15" t="s">
        <v>1685</v>
      </c>
      <c r="D572" s="15">
        <v>1</v>
      </c>
      <c r="E572" s="16" t="s">
        <v>1017</v>
      </c>
      <c r="F572" s="15">
        <v>930400</v>
      </c>
      <c r="G572" s="15">
        <v>0</v>
      </c>
      <c r="H572" s="17">
        <v>250000</v>
      </c>
      <c r="I572" s="17">
        <v>680400</v>
      </c>
      <c r="J572" s="18" t="s">
        <v>8</v>
      </c>
    </row>
    <row r="573" spans="1:10" x14ac:dyDescent="0.2">
      <c r="A573" s="4" t="s">
        <v>1656</v>
      </c>
      <c r="B573" s="15" t="s">
        <v>1687</v>
      </c>
      <c r="C573" s="15" t="s">
        <v>1688</v>
      </c>
      <c r="D573" s="15">
        <v>1</v>
      </c>
      <c r="E573" s="16" t="s">
        <v>1017</v>
      </c>
      <c r="F573" s="15">
        <v>7690400</v>
      </c>
      <c r="G573" s="15">
        <v>6760000</v>
      </c>
      <c r="H573" s="17">
        <v>250000</v>
      </c>
      <c r="I573" s="17">
        <v>680400</v>
      </c>
      <c r="J573" s="18" t="s">
        <v>8</v>
      </c>
    </row>
    <row r="574" spans="1:10" x14ac:dyDescent="0.2">
      <c r="A574" s="4" t="s">
        <v>1659</v>
      </c>
      <c r="B574" s="15" t="s">
        <v>1690</v>
      </c>
      <c r="C574" s="15" t="s">
        <v>1691</v>
      </c>
      <c r="D574" s="15">
        <v>1</v>
      </c>
      <c r="E574" s="16" t="s">
        <v>1017</v>
      </c>
      <c r="F574" s="15">
        <v>550400</v>
      </c>
      <c r="G574" s="15">
        <v>0</v>
      </c>
      <c r="H574" s="17">
        <v>250000</v>
      </c>
      <c r="I574" s="17">
        <v>300400</v>
      </c>
      <c r="J574" s="18" t="s">
        <v>8</v>
      </c>
    </row>
    <row r="575" spans="1:10" x14ac:dyDescent="0.2">
      <c r="A575" s="4" t="s">
        <v>1662</v>
      </c>
      <c r="B575" s="15" t="s">
        <v>1693</v>
      </c>
      <c r="C575" s="15" t="s">
        <v>1694</v>
      </c>
      <c r="D575" s="15">
        <v>1</v>
      </c>
      <c r="E575" s="16" t="s">
        <v>1017</v>
      </c>
      <c r="F575" s="15">
        <v>1390400</v>
      </c>
      <c r="G575" s="15">
        <v>460000.00000000093</v>
      </c>
      <c r="H575" s="17">
        <v>250000</v>
      </c>
      <c r="I575" s="17">
        <v>680400</v>
      </c>
      <c r="J575" s="18" t="s">
        <v>8</v>
      </c>
    </row>
    <row r="576" spans="1:10" x14ac:dyDescent="0.2">
      <c r="A576" s="4" t="s">
        <v>1665</v>
      </c>
      <c r="B576" s="15" t="s">
        <v>1696</v>
      </c>
      <c r="C576" s="15" t="s">
        <v>1697</v>
      </c>
      <c r="D576" s="15">
        <v>1</v>
      </c>
      <c r="E576" s="16" t="s">
        <v>1017</v>
      </c>
      <c r="F576" s="15">
        <v>10490400</v>
      </c>
      <c r="G576" s="15">
        <v>9560000</v>
      </c>
      <c r="H576" s="17">
        <v>250000</v>
      </c>
      <c r="I576" s="17">
        <v>680400</v>
      </c>
      <c r="J576" s="18" t="s">
        <v>8</v>
      </c>
    </row>
    <row r="577" spans="1:10" x14ac:dyDescent="0.2">
      <c r="A577" s="4" t="s">
        <v>1668</v>
      </c>
      <c r="B577" s="15" t="s">
        <v>1699</v>
      </c>
      <c r="C577" s="15" t="s">
        <v>1700</v>
      </c>
      <c r="D577" s="15">
        <v>1</v>
      </c>
      <c r="E577" s="16" t="s">
        <v>1017</v>
      </c>
      <c r="F577" s="15">
        <v>8250400</v>
      </c>
      <c r="G577" s="15">
        <v>7320000</v>
      </c>
      <c r="H577" s="17">
        <v>250000</v>
      </c>
      <c r="I577" s="17">
        <v>680400</v>
      </c>
      <c r="J577" s="18" t="s">
        <v>8</v>
      </c>
    </row>
    <row r="578" spans="1:10" x14ac:dyDescent="0.2">
      <c r="A578" s="4" t="s">
        <v>1671</v>
      </c>
      <c r="B578" s="15" t="s">
        <v>1702</v>
      </c>
      <c r="C578" s="15" t="s">
        <v>1417</v>
      </c>
      <c r="D578" s="15">
        <v>1</v>
      </c>
      <c r="E578" s="16" t="s">
        <v>1703</v>
      </c>
      <c r="F578" s="15">
        <v>5030400</v>
      </c>
      <c r="G578" s="15">
        <v>4100000</v>
      </c>
      <c r="H578" s="17">
        <v>250000</v>
      </c>
      <c r="I578" s="17">
        <v>680400</v>
      </c>
      <c r="J578" s="18" t="s">
        <v>8</v>
      </c>
    </row>
    <row r="579" spans="1:10" x14ac:dyDescent="0.2">
      <c r="A579" s="4" t="s">
        <v>1674</v>
      </c>
      <c r="B579" s="15" t="s">
        <v>1705</v>
      </c>
      <c r="C579" s="15" t="s">
        <v>1706</v>
      </c>
      <c r="D579" s="15">
        <v>1</v>
      </c>
      <c r="E579" s="16" t="s">
        <v>1703</v>
      </c>
      <c r="F579" s="15">
        <v>930400</v>
      </c>
      <c r="G579" s="15">
        <v>0</v>
      </c>
      <c r="H579" s="17">
        <v>250000</v>
      </c>
      <c r="I579" s="17">
        <v>680400</v>
      </c>
      <c r="J579" s="18" t="s">
        <v>8</v>
      </c>
    </row>
    <row r="580" spans="1:10" x14ac:dyDescent="0.2">
      <c r="A580" s="4" t="s">
        <v>1677</v>
      </c>
      <c r="B580" s="15" t="s">
        <v>1708</v>
      </c>
      <c r="C580" s="15" t="s">
        <v>1709</v>
      </c>
      <c r="D580" s="15">
        <v>1</v>
      </c>
      <c r="E580" s="16" t="s">
        <v>1703</v>
      </c>
      <c r="F580" s="15">
        <v>930400</v>
      </c>
      <c r="G580" s="15">
        <v>0</v>
      </c>
      <c r="H580" s="17">
        <v>250000</v>
      </c>
      <c r="I580" s="17">
        <v>680400</v>
      </c>
      <c r="J580" s="18" t="s">
        <v>8</v>
      </c>
    </row>
    <row r="581" spans="1:10" x14ac:dyDescent="0.2">
      <c r="A581" s="4" t="s">
        <v>1680</v>
      </c>
      <c r="B581" s="15" t="s">
        <v>1711</v>
      </c>
      <c r="C581" s="15" t="s">
        <v>1712</v>
      </c>
      <c r="D581" s="15">
        <v>1</v>
      </c>
      <c r="E581" s="16" t="s">
        <v>1703</v>
      </c>
      <c r="F581" s="15">
        <v>8670400</v>
      </c>
      <c r="G581" s="15">
        <v>7740000</v>
      </c>
      <c r="H581" s="17">
        <v>250000</v>
      </c>
      <c r="I581" s="17">
        <v>680400</v>
      </c>
      <c r="J581" s="18" t="s">
        <v>8</v>
      </c>
    </row>
    <row r="582" spans="1:10" x14ac:dyDescent="0.2">
      <c r="A582" s="4" t="s">
        <v>1683</v>
      </c>
      <c r="B582" s="15" t="s">
        <v>1714</v>
      </c>
      <c r="C582" s="15" t="s">
        <v>1715</v>
      </c>
      <c r="D582" s="15">
        <v>1</v>
      </c>
      <c r="E582" s="16" t="s">
        <v>1703</v>
      </c>
      <c r="F582" s="15">
        <v>14370400</v>
      </c>
      <c r="G582" s="15">
        <v>13440000</v>
      </c>
      <c r="H582" s="17">
        <v>250000</v>
      </c>
      <c r="I582" s="17">
        <v>680400</v>
      </c>
      <c r="J582" s="18" t="s">
        <v>8</v>
      </c>
    </row>
    <row r="583" spans="1:10" x14ac:dyDescent="0.2">
      <c r="A583" s="4" t="s">
        <v>1686</v>
      </c>
      <c r="B583" s="15" t="s">
        <v>1717</v>
      </c>
      <c r="C583" s="15" t="s">
        <v>1718</v>
      </c>
      <c r="D583" s="15">
        <v>1</v>
      </c>
      <c r="E583" s="16" t="s">
        <v>1703</v>
      </c>
      <c r="F583" s="15">
        <v>19130400</v>
      </c>
      <c r="G583" s="15">
        <v>18200000</v>
      </c>
      <c r="H583" s="17">
        <v>250000</v>
      </c>
      <c r="I583" s="17">
        <v>680400</v>
      </c>
      <c r="J583" s="18" t="s">
        <v>8</v>
      </c>
    </row>
    <row r="584" spans="1:10" x14ac:dyDescent="0.2">
      <c r="A584" s="4" t="s">
        <v>1689</v>
      </c>
      <c r="B584" s="15" t="s">
        <v>1720</v>
      </c>
      <c r="C584" s="15" t="s">
        <v>1721</v>
      </c>
      <c r="D584" s="15">
        <v>1</v>
      </c>
      <c r="E584" s="16" t="s">
        <v>1703</v>
      </c>
      <c r="F584" s="15">
        <v>10490400</v>
      </c>
      <c r="G584" s="15">
        <v>9560000</v>
      </c>
      <c r="H584" s="17">
        <v>250000</v>
      </c>
      <c r="I584" s="17">
        <v>680400</v>
      </c>
      <c r="J584" s="18" t="s">
        <v>8</v>
      </c>
    </row>
    <row r="585" spans="1:10" x14ac:dyDescent="0.2">
      <c r="A585" s="4" t="s">
        <v>1692</v>
      </c>
      <c r="B585" s="15" t="s">
        <v>1723</v>
      </c>
      <c r="C585" s="15" t="s">
        <v>66</v>
      </c>
      <c r="D585" s="15">
        <v>1</v>
      </c>
      <c r="E585" s="16" t="s">
        <v>1703</v>
      </c>
      <c r="F585" s="15">
        <v>19130400</v>
      </c>
      <c r="G585" s="15">
        <v>18200000</v>
      </c>
      <c r="H585" s="17">
        <v>250000</v>
      </c>
      <c r="I585" s="17">
        <v>680400</v>
      </c>
      <c r="J585" s="18" t="s">
        <v>8</v>
      </c>
    </row>
    <row r="586" spans="1:10" x14ac:dyDescent="0.2">
      <c r="A586" s="4" t="s">
        <v>1695</v>
      </c>
      <c r="B586" s="15" t="s">
        <v>1725</v>
      </c>
      <c r="C586" s="15" t="s">
        <v>1726</v>
      </c>
      <c r="D586" s="15">
        <v>1</v>
      </c>
      <c r="E586" s="16" t="s">
        <v>1703</v>
      </c>
      <c r="F586" s="15">
        <v>4330400</v>
      </c>
      <c r="G586" s="15">
        <v>3400000</v>
      </c>
      <c r="H586" s="17">
        <v>250000</v>
      </c>
      <c r="I586" s="17">
        <v>680400</v>
      </c>
      <c r="J586" s="18" t="s">
        <v>8</v>
      </c>
    </row>
    <row r="587" spans="1:10" x14ac:dyDescent="0.2">
      <c r="A587" s="4" t="s">
        <v>1698</v>
      </c>
      <c r="B587" s="15" t="s">
        <v>1728</v>
      </c>
      <c r="C587" s="15" t="s">
        <v>1729</v>
      </c>
      <c r="D587" s="15">
        <v>1</v>
      </c>
      <c r="E587" s="16" t="s">
        <v>1703</v>
      </c>
      <c r="F587" s="15">
        <v>2030400</v>
      </c>
      <c r="G587" s="15">
        <v>1100000</v>
      </c>
      <c r="H587" s="17">
        <v>680400</v>
      </c>
      <c r="I587" s="17">
        <v>250000</v>
      </c>
      <c r="J587" s="18" t="s">
        <v>8</v>
      </c>
    </row>
    <row r="588" spans="1:10" x14ac:dyDescent="0.2">
      <c r="A588" s="4" t="s">
        <v>1701</v>
      </c>
      <c r="B588" s="15" t="s">
        <v>1731</v>
      </c>
      <c r="C588" s="15" t="s">
        <v>1732</v>
      </c>
      <c r="D588" s="15">
        <v>1</v>
      </c>
      <c r="E588" s="16" t="s">
        <v>1703</v>
      </c>
      <c r="F588" s="15">
        <v>10490000</v>
      </c>
      <c r="G588" s="15">
        <v>9560000</v>
      </c>
      <c r="H588" s="17">
        <v>250000</v>
      </c>
      <c r="I588" s="17">
        <v>680000</v>
      </c>
      <c r="J588" s="18" t="s">
        <v>8</v>
      </c>
    </row>
    <row r="589" spans="1:10" x14ac:dyDescent="0.2">
      <c r="A589" s="4" t="s">
        <v>1704</v>
      </c>
      <c r="B589" s="15" t="s">
        <v>1734</v>
      </c>
      <c r="C589" s="15" t="s">
        <v>1735</v>
      </c>
      <c r="D589" s="15">
        <v>1</v>
      </c>
      <c r="E589" s="16" t="s">
        <v>1703</v>
      </c>
      <c r="F589" s="15">
        <v>15490400</v>
      </c>
      <c r="G589" s="15">
        <v>14560000</v>
      </c>
      <c r="H589" s="17">
        <v>250000</v>
      </c>
      <c r="I589" s="17">
        <v>680400</v>
      </c>
      <c r="J589" s="18" t="s">
        <v>8</v>
      </c>
    </row>
    <row r="590" spans="1:10" x14ac:dyDescent="0.2">
      <c r="A590" s="4" t="s">
        <v>1707</v>
      </c>
      <c r="B590" s="15" t="s">
        <v>1737</v>
      </c>
      <c r="C590" s="15" t="s">
        <v>1738</v>
      </c>
      <c r="D590" s="15">
        <v>1</v>
      </c>
      <c r="E590" s="16" t="s">
        <v>1703</v>
      </c>
      <c r="F590" s="15">
        <v>5030400</v>
      </c>
      <c r="G590" s="15">
        <v>4100000</v>
      </c>
      <c r="H590" s="17">
        <v>250000</v>
      </c>
      <c r="I590" s="17">
        <v>680400</v>
      </c>
      <c r="J590" s="18" t="s">
        <v>8</v>
      </c>
    </row>
    <row r="591" spans="1:10" x14ac:dyDescent="0.2">
      <c r="A591" s="4" t="s">
        <v>1710</v>
      </c>
      <c r="B591" s="15" t="s">
        <v>1740</v>
      </c>
      <c r="C591" s="15" t="s">
        <v>1741</v>
      </c>
      <c r="D591" s="15">
        <v>1</v>
      </c>
      <c r="E591" s="16" t="s">
        <v>1703</v>
      </c>
      <c r="F591" s="15">
        <v>930400</v>
      </c>
      <c r="G591" s="15">
        <v>0</v>
      </c>
      <c r="H591" s="17">
        <v>250000</v>
      </c>
      <c r="I591" s="17">
        <v>680400</v>
      </c>
      <c r="J591" s="18" t="s">
        <v>8</v>
      </c>
    </row>
    <row r="592" spans="1:10" x14ac:dyDescent="0.2">
      <c r="A592" s="4" t="s">
        <v>1713</v>
      </c>
      <c r="B592" s="15" t="s">
        <v>1743</v>
      </c>
      <c r="C592" s="15" t="s">
        <v>1002</v>
      </c>
      <c r="D592" s="15">
        <v>1</v>
      </c>
      <c r="E592" s="16" t="s">
        <v>1703</v>
      </c>
      <c r="F592" s="15">
        <v>10030400</v>
      </c>
      <c r="G592" s="15">
        <v>9100000</v>
      </c>
      <c r="H592" s="17">
        <v>250000</v>
      </c>
      <c r="I592" s="17">
        <v>680400</v>
      </c>
      <c r="J592" s="18" t="s">
        <v>8</v>
      </c>
    </row>
    <row r="593" spans="1:10" x14ac:dyDescent="0.2">
      <c r="A593" s="4" t="s">
        <v>1716</v>
      </c>
      <c r="B593" s="15" t="s">
        <v>1745</v>
      </c>
      <c r="C593" s="15" t="s">
        <v>1746</v>
      </c>
      <c r="D593" s="15">
        <v>1</v>
      </c>
      <c r="E593" s="16" t="s">
        <v>1703</v>
      </c>
      <c r="F593" s="15">
        <v>15490400</v>
      </c>
      <c r="G593" s="15">
        <v>14560000</v>
      </c>
      <c r="H593" s="17">
        <v>250000</v>
      </c>
      <c r="I593" s="17">
        <v>680400</v>
      </c>
      <c r="J593" s="18" t="s">
        <v>8</v>
      </c>
    </row>
    <row r="594" spans="1:10" x14ac:dyDescent="0.2">
      <c r="A594" s="4" t="s">
        <v>1719</v>
      </c>
      <c r="B594" s="15" t="s">
        <v>1748</v>
      </c>
      <c r="C594" s="15" t="s">
        <v>1749</v>
      </c>
      <c r="D594" s="15">
        <v>1</v>
      </c>
      <c r="E594" s="16" t="s">
        <v>1703</v>
      </c>
      <c r="F594" s="15">
        <v>10490400</v>
      </c>
      <c r="G594" s="15">
        <v>9560000</v>
      </c>
      <c r="H594" s="17">
        <v>250000</v>
      </c>
      <c r="I594" s="17">
        <v>680400</v>
      </c>
      <c r="J594" s="18" t="s">
        <v>8</v>
      </c>
    </row>
    <row r="595" spans="1:10" x14ac:dyDescent="0.2">
      <c r="A595" s="4" t="s">
        <v>1722</v>
      </c>
      <c r="B595" s="15" t="s">
        <v>1751</v>
      </c>
      <c r="C595" s="15" t="s">
        <v>1752</v>
      </c>
      <c r="D595" s="15">
        <v>1</v>
      </c>
      <c r="E595" s="16" t="s">
        <v>1703</v>
      </c>
      <c r="F595" s="15">
        <v>10490000</v>
      </c>
      <c r="G595" s="15">
        <v>9560000</v>
      </c>
      <c r="H595" s="17">
        <v>250000</v>
      </c>
      <c r="I595" s="17">
        <v>680000</v>
      </c>
      <c r="J595" s="18" t="s">
        <v>8</v>
      </c>
    </row>
    <row r="596" spans="1:10" x14ac:dyDescent="0.2">
      <c r="A596" s="4" t="s">
        <v>1724</v>
      </c>
      <c r="B596" s="15" t="s">
        <v>1754</v>
      </c>
      <c r="C596" s="15" t="s">
        <v>1755</v>
      </c>
      <c r="D596" s="15">
        <v>1</v>
      </c>
      <c r="E596" s="16" t="s">
        <v>1703</v>
      </c>
      <c r="F596" s="15">
        <v>13250400</v>
      </c>
      <c r="G596" s="15">
        <v>12320000</v>
      </c>
      <c r="H596" s="17">
        <v>250000</v>
      </c>
      <c r="I596" s="17">
        <v>680400</v>
      </c>
      <c r="J596" s="18" t="s">
        <v>8</v>
      </c>
    </row>
    <row r="597" spans="1:10" x14ac:dyDescent="0.2">
      <c r="A597" s="4" t="s">
        <v>1727</v>
      </c>
      <c r="B597" s="15" t="s">
        <v>1757</v>
      </c>
      <c r="C597" s="15" t="s">
        <v>1758</v>
      </c>
      <c r="D597" s="15">
        <v>1</v>
      </c>
      <c r="E597" s="16" t="s">
        <v>1703</v>
      </c>
      <c r="F597" s="15">
        <v>6390400</v>
      </c>
      <c r="G597" s="15">
        <v>5460000.0000000009</v>
      </c>
      <c r="H597" s="17">
        <v>250000</v>
      </c>
      <c r="I597" s="17">
        <v>680400</v>
      </c>
      <c r="J597" s="18" t="s">
        <v>8</v>
      </c>
    </row>
    <row r="598" spans="1:10" x14ac:dyDescent="0.2">
      <c r="A598" s="4" t="s">
        <v>1730</v>
      </c>
      <c r="B598" s="15" t="s">
        <v>1760</v>
      </c>
      <c r="C598" s="15" t="s">
        <v>1761</v>
      </c>
      <c r="D598" s="15">
        <v>1</v>
      </c>
      <c r="E598" s="16" t="s">
        <v>1703</v>
      </c>
      <c r="F598" s="15">
        <v>5030400</v>
      </c>
      <c r="G598" s="15">
        <v>4100000</v>
      </c>
      <c r="H598" s="17">
        <v>250000</v>
      </c>
      <c r="I598" s="17">
        <v>680400</v>
      </c>
      <c r="J598" s="18" t="s">
        <v>8</v>
      </c>
    </row>
    <row r="599" spans="1:10" x14ac:dyDescent="0.2">
      <c r="A599" s="4" t="s">
        <v>1733</v>
      </c>
      <c r="B599" s="15" t="s">
        <v>1763</v>
      </c>
      <c r="C599" s="15" t="s">
        <v>1764</v>
      </c>
      <c r="D599" s="15">
        <v>1</v>
      </c>
      <c r="E599" s="16" t="s">
        <v>1703</v>
      </c>
      <c r="F599" s="15">
        <v>930400</v>
      </c>
      <c r="G599" s="15">
        <v>0</v>
      </c>
      <c r="H599" s="17">
        <v>250000</v>
      </c>
      <c r="I599" s="17">
        <v>680400</v>
      </c>
      <c r="J599" s="18" t="s">
        <v>8</v>
      </c>
    </row>
    <row r="600" spans="1:10" x14ac:dyDescent="0.2">
      <c r="A600" s="4" t="s">
        <v>1736</v>
      </c>
      <c r="B600" s="15" t="s">
        <v>1766</v>
      </c>
      <c r="C600" s="15" t="s">
        <v>1767</v>
      </c>
      <c r="D600" s="15">
        <v>1</v>
      </c>
      <c r="E600" s="16" t="s">
        <v>1703</v>
      </c>
      <c r="F600" s="15">
        <v>13250400</v>
      </c>
      <c r="G600" s="15">
        <v>12320000</v>
      </c>
      <c r="H600" s="17">
        <v>250000</v>
      </c>
      <c r="I600" s="17">
        <v>680400</v>
      </c>
      <c r="J600" s="18" t="s">
        <v>8</v>
      </c>
    </row>
    <row r="601" spans="1:10" x14ac:dyDescent="0.2">
      <c r="A601" s="4" t="s">
        <v>1739</v>
      </c>
      <c r="B601" s="15" t="s">
        <v>1769</v>
      </c>
      <c r="C601" s="15" t="s">
        <v>1770</v>
      </c>
      <c r="D601" s="15">
        <v>1</v>
      </c>
      <c r="E601" s="16" t="s">
        <v>1703</v>
      </c>
      <c r="F601" s="15">
        <v>5030400</v>
      </c>
      <c r="G601" s="15">
        <v>4100000</v>
      </c>
      <c r="H601" s="17">
        <v>250000</v>
      </c>
      <c r="I601" s="17">
        <v>680400</v>
      </c>
      <c r="J601" s="18" t="s">
        <v>8</v>
      </c>
    </row>
    <row r="602" spans="1:10" x14ac:dyDescent="0.2">
      <c r="A602" s="4" t="s">
        <v>1742</v>
      </c>
      <c r="B602" s="15" t="s">
        <v>1772</v>
      </c>
      <c r="C602" s="15" t="s">
        <v>1773</v>
      </c>
      <c r="D602" s="15">
        <v>1</v>
      </c>
      <c r="E602" s="16" t="s">
        <v>1703</v>
      </c>
      <c r="F602" s="15">
        <v>9370000</v>
      </c>
      <c r="G602" s="15">
        <v>8440000</v>
      </c>
      <c r="H602" s="17">
        <v>250000</v>
      </c>
      <c r="I602" s="17">
        <v>680000</v>
      </c>
      <c r="J602" s="18" t="s">
        <v>8</v>
      </c>
    </row>
    <row r="603" spans="1:10" x14ac:dyDescent="0.2">
      <c r="A603" s="4" t="s">
        <v>1744</v>
      </c>
      <c r="B603" s="15" t="s">
        <v>1775</v>
      </c>
      <c r="C603" s="15" t="s">
        <v>1776</v>
      </c>
      <c r="D603" s="15">
        <v>1</v>
      </c>
      <c r="E603" s="16" t="s">
        <v>1703</v>
      </c>
      <c r="F603" s="15">
        <v>6390400</v>
      </c>
      <c r="G603" s="15">
        <v>5460000.0000000009</v>
      </c>
      <c r="H603" s="17">
        <v>250000</v>
      </c>
      <c r="I603" s="17">
        <v>680400</v>
      </c>
      <c r="J603" s="18" t="s">
        <v>8</v>
      </c>
    </row>
    <row r="604" spans="1:10" x14ac:dyDescent="0.2">
      <c r="A604" s="4" t="s">
        <v>1747</v>
      </c>
      <c r="B604" s="15" t="s">
        <v>1778</v>
      </c>
      <c r="C604" s="15" t="s">
        <v>1779</v>
      </c>
      <c r="D604" s="15">
        <v>1</v>
      </c>
      <c r="E604" s="16" t="s">
        <v>1703</v>
      </c>
      <c r="F604" s="15">
        <v>8670400</v>
      </c>
      <c r="G604" s="15">
        <v>7740000</v>
      </c>
      <c r="H604" s="17">
        <v>250000</v>
      </c>
      <c r="I604" s="17">
        <v>680400</v>
      </c>
      <c r="J604" s="18" t="s">
        <v>8</v>
      </c>
    </row>
    <row r="605" spans="1:10" x14ac:dyDescent="0.2">
      <c r="A605" s="4" t="s">
        <v>1750</v>
      </c>
      <c r="B605" s="15" t="s">
        <v>1781</v>
      </c>
      <c r="C605" s="15" t="s">
        <v>1782</v>
      </c>
      <c r="D605" s="15">
        <v>1</v>
      </c>
      <c r="E605" s="16" t="s">
        <v>1703</v>
      </c>
      <c r="F605" s="15">
        <v>8674000</v>
      </c>
      <c r="G605" s="15">
        <v>7743600</v>
      </c>
      <c r="H605" s="17">
        <v>250000</v>
      </c>
      <c r="I605" s="17">
        <v>680400</v>
      </c>
      <c r="J605" s="18" t="s">
        <v>8</v>
      </c>
    </row>
    <row r="606" spans="1:10" x14ac:dyDescent="0.2">
      <c r="A606" s="4" t="s">
        <v>1753</v>
      </c>
      <c r="B606" s="15" t="s">
        <v>1784</v>
      </c>
      <c r="C606" s="15" t="s">
        <v>1785</v>
      </c>
      <c r="D606" s="15">
        <v>1</v>
      </c>
      <c r="E606" s="16" t="s">
        <v>1703</v>
      </c>
      <c r="F606" s="15">
        <v>10490400</v>
      </c>
      <c r="G606" s="15">
        <v>9560000</v>
      </c>
      <c r="H606" s="17">
        <v>250000</v>
      </c>
      <c r="I606" s="17">
        <v>680400</v>
      </c>
      <c r="J606" s="18" t="s">
        <v>8</v>
      </c>
    </row>
    <row r="607" spans="1:10" x14ac:dyDescent="0.2">
      <c r="A607" s="4" t="s">
        <v>1756</v>
      </c>
      <c r="B607" s="15" t="s">
        <v>1787</v>
      </c>
      <c r="C607" s="15" t="s">
        <v>1788</v>
      </c>
      <c r="D607" s="15">
        <v>1</v>
      </c>
      <c r="E607" s="16" t="s">
        <v>1703</v>
      </c>
      <c r="F607" s="15">
        <v>15490400</v>
      </c>
      <c r="G607" s="15">
        <v>14560000</v>
      </c>
      <c r="H607" s="17">
        <v>250000</v>
      </c>
      <c r="I607" s="17">
        <v>680400</v>
      </c>
      <c r="J607" s="18" t="s">
        <v>8</v>
      </c>
    </row>
    <row r="608" spans="1:10" x14ac:dyDescent="0.2">
      <c r="A608" s="4" t="s">
        <v>1759</v>
      </c>
      <c r="B608" s="15" t="s">
        <v>1790</v>
      </c>
      <c r="C608" s="15" t="s">
        <v>1791</v>
      </c>
      <c r="D608" s="15">
        <v>1</v>
      </c>
      <c r="E608" s="16" t="s">
        <v>1703</v>
      </c>
      <c r="F608" s="15">
        <v>930000</v>
      </c>
      <c r="G608" s="15">
        <v>0</v>
      </c>
      <c r="H608" s="17">
        <v>250000</v>
      </c>
      <c r="I608" s="17">
        <v>680000</v>
      </c>
      <c r="J608" s="18" t="s">
        <v>8</v>
      </c>
    </row>
    <row r="609" spans="1:10" x14ac:dyDescent="0.2">
      <c r="A609" s="4" t="s">
        <v>1762</v>
      </c>
      <c r="B609" s="15" t="s">
        <v>1793</v>
      </c>
      <c r="C609" s="15" t="s">
        <v>1794</v>
      </c>
      <c r="D609" s="15">
        <v>1</v>
      </c>
      <c r="E609" s="16" t="s">
        <v>1703</v>
      </c>
      <c r="F609" s="15">
        <v>9370400</v>
      </c>
      <c r="G609" s="15">
        <v>8440000</v>
      </c>
      <c r="H609" s="17">
        <v>250000</v>
      </c>
      <c r="I609" s="17">
        <v>680400</v>
      </c>
      <c r="J609" s="18" t="s">
        <v>8</v>
      </c>
    </row>
    <row r="610" spans="1:10" x14ac:dyDescent="0.2">
      <c r="A610" s="4" t="s">
        <v>1765</v>
      </c>
      <c r="B610" s="15" t="s">
        <v>1796</v>
      </c>
      <c r="C610" s="15" t="s">
        <v>719</v>
      </c>
      <c r="D610" s="15">
        <v>1</v>
      </c>
      <c r="E610" s="16" t="s">
        <v>1703</v>
      </c>
      <c r="F610" s="15">
        <v>14490000</v>
      </c>
      <c r="G610" s="15">
        <v>13559600</v>
      </c>
      <c r="H610" s="17">
        <v>250000</v>
      </c>
      <c r="I610" s="17">
        <v>680400</v>
      </c>
      <c r="J610" s="18" t="s">
        <v>8</v>
      </c>
    </row>
    <row r="611" spans="1:10" x14ac:dyDescent="0.2">
      <c r="A611" s="4" t="s">
        <v>1768</v>
      </c>
      <c r="B611" s="15" t="s">
        <v>1798</v>
      </c>
      <c r="C611" s="15" t="s">
        <v>1799</v>
      </c>
      <c r="D611" s="15">
        <v>1</v>
      </c>
      <c r="E611" s="16" t="s">
        <v>1703</v>
      </c>
      <c r="F611" s="15">
        <v>1390400</v>
      </c>
      <c r="G611" s="15">
        <v>460000.00000000093</v>
      </c>
      <c r="H611" s="17">
        <v>250000</v>
      </c>
      <c r="I611" s="17">
        <v>680400</v>
      </c>
      <c r="J611" s="18" t="s">
        <v>8</v>
      </c>
    </row>
    <row r="612" spans="1:10" x14ac:dyDescent="0.2">
      <c r="A612" s="4" t="s">
        <v>1771</v>
      </c>
      <c r="B612" s="15" t="s">
        <v>1801</v>
      </c>
      <c r="C612" s="15" t="s">
        <v>1802</v>
      </c>
      <c r="D612" s="15">
        <v>1</v>
      </c>
      <c r="E612" s="16" t="s">
        <v>1703</v>
      </c>
      <c r="F612" s="15">
        <v>8670400</v>
      </c>
      <c r="G612" s="15">
        <v>7740000</v>
      </c>
      <c r="H612" s="17">
        <v>250000</v>
      </c>
      <c r="I612" s="17">
        <v>680400</v>
      </c>
      <c r="J612" s="18" t="s">
        <v>8</v>
      </c>
    </row>
    <row r="613" spans="1:10" x14ac:dyDescent="0.2">
      <c r="A613" s="4" t="s">
        <v>1774</v>
      </c>
      <c r="B613" s="15" t="s">
        <v>1804</v>
      </c>
      <c r="C613" s="15" t="s">
        <v>1805</v>
      </c>
      <c r="D613" s="15">
        <v>1</v>
      </c>
      <c r="E613" s="16" t="s">
        <v>1703</v>
      </c>
      <c r="F613" s="15">
        <v>15490400</v>
      </c>
      <c r="G613" s="15">
        <v>14560000</v>
      </c>
      <c r="H613" s="17">
        <v>250000</v>
      </c>
      <c r="I613" s="17">
        <v>680400</v>
      </c>
      <c r="J613" s="18" t="s">
        <v>8</v>
      </c>
    </row>
    <row r="614" spans="1:10" x14ac:dyDescent="0.2">
      <c r="A614" s="4" t="s">
        <v>1777</v>
      </c>
      <c r="B614" s="15" t="s">
        <v>1807</v>
      </c>
      <c r="C614" s="15" t="s">
        <v>1808</v>
      </c>
      <c r="D614" s="15">
        <v>1</v>
      </c>
      <c r="E614" s="16" t="s">
        <v>1703</v>
      </c>
      <c r="F614" s="15">
        <v>19130400</v>
      </c>
      <c r="G614" s="15">
        <v>18200000</v>
      </c>
      <c r="H614" s="17">
        <v>250000</v>
      </c>
      <c r="I614" s="17">
        <v>680400</v>
      </c>
      <c r="J614" s="18" t="s">
        <v>8</v>
      </c>
    </row>
    <row r="615" spans="1:10" x14ac:dyDescent="0.2">
      <c r="A615" s="4" t="s">
        <v>1780</v>
      </c>
      <c r="B615" s="15" t="s">
        <v>1810</v>
      </c>
      <c r="C615" s="15" t="s">
        <v>1811</v>
      </c>
      <c r="D615" s="15">
        <v>1</v>
      </c>
      <c r="E615" s="16" t="s">
        <v>1703</v>
      </c>
      <c r="F615" s="15">
        <v>7690400</v>
      </c>
      <c r="G615" s="15">
        <v>6760000</v>
      </c>
      <c r="H615" s="17">
        <v>250000</v>
      </c>
      <c r="I615" s="17">
        <v>680400</v>
      </c>
      <c r="J615" s="18" t="s">
        <v>8</v>
      </c>
    </row>
    <row r="616" spans="1:10" x14ac:dyDescent="0.2">
      <c r="A616" s="4" t="s">
        <v>1783</v>
      </c>
      <c r="B616" s="15" t="s">
        <v>1813</v>
      </c>
      <c r="C616" s="15" t="s">
        <v>1814</v>
      </c>
      <c r="D616" s="15">
        <v>1</v>
      </c>
      <c r="E616" s="16" t="s">
        <v>1703</v>
      </c>
      <c r="F616" s="15">
        <v>8670400</v>
      </c>
      <c r="G616" s="15">
        <v>7740000</v>
      </c>
      <c r="H616" s="17">
        <v>250000</v>
      </c>
      <c r="I616" s="17">
        <v>680400</v>
      </c>
      <c r="J616" s="18" t="s">
        <v>8</v>
      </c>
    </row>
    <row r="617" spans="1:10" x14ac:dyDescent="0.2">
      <c r="A617" s="4" t="s">
        <v>1786</v>
      </c>
      <c r="B617" s="15" t="s">
        <v>1816</v>
      </c>
      <c r="C617" s="15" t="s">
        <v>895</v>
      </c>
      <c r="D617" s="15">
        <v>1</v>
      </c>
      <c r="E617" s="16" t="s">
        <v>1703</v>
      </c>
      <c r="F617" s="15">
        <v>17310400</v>
      </c>
      <c r="G617" s="15">
        <v>16380000</v>
      </c>
      <c r="H617" s="17">
        <v>250000</v>
      </c>
      <c r="I617" s="17">
        <v>680400</v>
      </c>
      <c r="J617" s="18" t="s">
        <v>8</v>
      </c>
    </row>
    <row r="618" spans="1:10" x14ac:dyDescent="0.2">
      <c r="A618" s="4" t="s">
        <v>1789</v>
      </c>
      <c r="B618" s="15" t="s">
        <v>1818</v>
      </c>
      <c r="C618" s="15" t="s">
        <v>1819</v>
      </c>
      <c r="D618" s="15">
        <v>1</v>
      </c>
      <c r="E618" s="16" t="s">
        <v>1703</v>
      </c>
      <c r="F618" s="15">
        <v>8670400</v>
      </c>
      <c r="G618" s="15">
        <v>7740000</v>
      </c>
      <c r="H618" s="17">
        <v>250000</v>
      </c>
      <c r="I618" s="17">
        <v>680400</v>
      </c>
      <c r="J618" s="18" t="s">
        <v>8</v>
      </c>
    </row>
    <row r="619" spans="1:10" x14ac:dyDescent="0.2">
      <c r="A619" s="4" t="s">
        <v>1792</v>
      </c>
      <c r="B619" s="15" t="s">
        <v>1821</v>
      </c>
      <c r="C619" s="15" t="s">
        <v>1822</v>
      </c>
      <c r="D619" s="15">
        <v>1</v>
      </c>
      <c r="E619" s="16" t="s">
        <v>1703</v>
      </c>
      <c r="F619" s="15">
        <v>8670400</v>
      </c>
      <c r="G619" s="15">
        <v>7740000</v>
      </c>
      <c r="H619" s="17">
        <v>250000</v>
      </c>
      <c r="I619" s="17">
        <v>680400</v>
      </c>
      <c r="J619" s="18" t="s">
        <v>8</v>
      </c>
    </row>
    <row r="620" spans="1:10" x14ac:dyDescent="0.2">
      <c r="A620" s="4" t="s">
        <v>1795</v>
      </c>
      <c r="B620" s="15" t="s">
        <v>1824</v>
      </c>
      <c r="C620" s="15" t="s">
        <v>1825</v>
      </c>
      <c r="D620" s="15">
        <v>1</v>
      </c>
      <c r="E620" s="16" t="s">
        <v>1703</v>
      </c>
      <c r="F620" s="15">
        <v>10030400</v>
      </c>
      <c r="G620" s="15">
        <v>9100000</v>
      </c>
      <c r="H620" s="17">
        <v>250000</v>
      </c>
      <c r="I620" s="17">
        <v>680400</v>
      </c>
      <c r="J620" s="18" t="s">
        <v>8</v>
      </c>
    </row>
    <row r="621" spans="1:10" x14ac:dyDescent="0.2">
      <c r="A621" s="4" t="s">
        <v>1797</v>
      </c>
      <c r="B621" s="15" t="s">
        <v>1827</v>
      </c>
      <c r="C621" s="15" t="s">
        <v>1828</v>
      </c>
      <c r="D621" s="15">
        <v>1</v>
      </c>
      <c r="E621" s="16" t="s">
        <v>1703</v>
      </c>
      <c r="F621" s="15">
        <v>15490400</v>
      </c>
      <c r="G621" s="15">
        <v>14560000</v>
      </c>
      <c r="H621" s="17">
        <v>250000</v>
      </c>
      <c r="I621" s="17">
        <v>680400</v>
      </c>
      <c r="J621" s="18" t="s">
        <v>8</v>
      </c>
    </row>
    <row r="622" spans="1:10" x14ac:dyDescent="0.2">
      <c r="A622" s="4" t="s">
        <v>1800</v>
      </c>
      <c r="B622" s="15" t="s">
        <v>1830</v>
      </c>
      <c r="C622" s="15" t="s">
        <v>1831</v>
      </c>
      <c r="D622" s="15">
        <v>1</v>
      </c>
      <c r="E622" s="16" t="s">
        <v>1703</v>
      </c>
      <c r="F622" s="15">
        <v>8670400</v>
      </c>
      <c r="G622" s="15">
        <v>7740000</v>
      </c>
      <c r="H622" s="17">
        <v>250000</v>
      </c>
      <c r="I622" s="17">
        <v>680400</v>
      </c>
      <c r="J622" s="18" t="s">
        <v>8</v>
      </c>
    </row>
    <row r="623" spans="1:10" x14ac:dyDescent="0.2">
      <c r="A623" s="4" t="s">
        <v>1803</v>
      </c>
      <c r="B623" s="15" t="s">
        <v>1833</v>
      </c>
      <c r="C623" s="15" t="s">
        <v>1834</v>
      </c>
      <c r="D623" s="15">
        <v>1</v>
      </c>
      <c r="E623" s="16" t="s">
        <v>1703</v>
      </c>
      <c r="F623" s="15">
        <v>10490400</v>
      </c>
      <c r="G623" s="15">
        <v>9560000</v>
      </c>
      <c r="H623" s="17">
        <v>250000</v>
      </c>
      <c r="I623" s="17">
        <v>680400</v>
      </c>
      <c r="J623" s="18" t="s">
        <v>8</v>
      </c>
    </row>
    <row r="624" spans="1:10" x14ac:dyDescent="0.2">
      <c r="A624" s="4" t="s">
        <v>1806</v>
      </c>
      <c r="B624" s="15" t="s">
        <v>1836</v>
      </c>
      <c r="C624" s="15" t="s">
        <v>1837</v>
      </c>
      <c r="D624" s="15">
        <v>1</v>
      </c>
      <c r="E624" s="16" t="s">
        <v>1703</v>
      </c>
      <c r="F624" s="15">
        <v>14790500</v>
      </c>
      <c r="G624" s="15">
        <v>13860100</v>
      </c>
      <c r="H624" s="17">
        <v>250000</v>
      </c>
      <c r="I624" s="17">
        <v>680400</v>
      </c>
      <c r="J624" s="18" t="s">
        <v>8</v>
      </c>
    </row>
    <row r="625" spans="1:10" x14ac:dyDescent="0.2">
      <c r="A625" s="4" t="s">
        <v>1809</v>
      </c>
      <c r="B625" s="15" t="s">
        <v>1839</v>
      </c>
      <c r="C625" s="15" t="s">
        <v>1840</v>
      </c>
      <c r="D625" s="15">
        <v>1</v>
      </c>
      <c r="E625" s="16" t="s">
        <v>1703</v>
      </c>
      <c r="F625" s="15">
        <v>5030400</v>
      </c>
      <c r="G625" s="15">
        <v>4100000</v>
      </c>
      <c r="H625" s="17">
        <v>250000</v>
      </c>
      <c r="I625" s="17">
        <v>680400</v>
      </c>
      <c r="J625" s="18" t="s">
        <v>8</v>
      </c>
    </row>
    <row r="626" spans="1:10" x14ac:dyDescent="0.2">
      <c r="A626" s="4" t="s">
        <v>1812</v>
      </c>
      <c r="B626" s="15" t="s">
        <v>1842</v>
      </c>
      <c r="C626" s="15" t="s">
        <v>1843</v>
      </c>
      <c r="D626" s="15">
        <v>1</v>
      </c>
      <c r="E626" s="16" t="s">
        <v>1703</v>
      </c>
      <c r="F626" s="15">
        <v>15490400</v>
      </c>
      <c r="G626" s="15">
        <v>14560000</v>
      </c>
      <c r="H626" s="17">
        <v>250000</v>
      </c>
      <c r="I626" s="17">
        <v>680400</v>
      </c>
      <c r="J626" s="18" t="s">
        <v>8</v>
      </c>
    </row>
    <row r="627" spans="1:10" x14ac:dyDescent="0.2">
      <c r="A627" s="4" t="s">
        <v>1815</v>
      </c>
      <c r="B627" s="15" t="s">
        <v>1845</v>
      </c>
      <c r="C627" s="15" t="s">
        <v>1846</v>
      </c>
      <c r="D627" s="15">
        <v>1</v>
      </c>
      <c r="E627" s="16" t="s">
        <v>1703</v>
      </c>
      <c r="F627" s="15">
        <v>10490400</v>
      </c>
      <c r="G627" s="15">
        <v>9560000</v>
      </c>
      <c r="H627" s="17">
        <v>250000</v>
      </c>
      <c r="I627" s="17">
        <v>680400</v>
      </c>
      <c r="J627" s="18" t="s">
        <v>8</v>
      </c>
    </row>
    <row r="628" spans="1:10" x14ac:dyDescent="0.2">
      <c r="A628" s="4" t="s">
        <v>1817</v>
      </c>
      <c r="B628" s="15" t="s">
        <v>1848</v>
      </c>
      <c r="C628" s="15" t="s">
        <v>1849</v>
      </c>
      <c r="D628" s="15">
        <v>1</v>
      </c>
      <c r="E628" s="16" t="s">
        <v>1703</v>
      </c>
      <c r="F628" s="15">
        <v>10490400</v>
      </c>
      <c r="G628" s="15">
        <v>9560000</v>
      </c>
      <c r="H628" s="17">
        <v>250000</v>
      </c>
      <c r="I628" s="17">
        <v>680400</v>
      </c>
      <c r="J628" s="18" t="s">
        <v>8</v>
      </c>
    </row>
    <row r="629" spans="1:10" x14ac:dyDescent="0.2">
      <c r="A629" s="4" t="s">
        <v>1820</v>
      </c>
      <c r="B629" s="15" t="s">
        <v>409</v>
      </c>
      <c r="C629" s="15" t="s">
        <v>410</v>
      </c>
      <c r="D629" s="15">
        <v>2</v>
      </c>
      <c r="E629" s="16" t="s">
        <v>1703</v>
      </c>
      <c r="F629" s="15">
        <v>10490400</v>
      </c>
      <c r="G629" s="15">
        <v>9560000</v>
      </c>
      <c r="H629" s="17">
        <v>250000</v>
      </c>
      <c r="I629" s="17">
        <v>680400</v>
      </c>
      <c r="J629" s="18" t="s">
        <v>8</v>
      </c>
    </row>
    <row r="630" spans="1:10" x14ac:dyDescent="0.2">
      <c r="A630" s="4" t="s">
        <v>1823</v>
      </c>
      <c r="B630" s="15" t="s">
        <v>1395</v>
      </c>
      <c r="C630" s="15" t="s">
        <v>1396</v>
      </c>
      <c r="D630" s="15">
        <v>3</v>
      </c>
      <c r="E630" s="16" t="s">
        <v>1703</v>
      </c>
      <c r="F630" s="15">
        <v>400</v>
      </c>
      <c r="G630" s="15">
        <v>0</v>
      </c>
      <c r="H630" s="17">
        <v>0</v>
      </c>
      <c r="I630" s="17">
        <v>400</v>
      </c>
      <c r="J630" s="18" t="s">
        <v>8</v>
      </c>
    </row>
    <row r="631" spans="1:10" x14ac:dyDescent="0.2">
      <c r="A631" s="4" t="s">
        <v>1826</v>
      </c>
      <c r="B631" s="15" t="s">
        <v>1853</v>
      </c>
      <c r="C631" s="15" t="s">
        <v>1854</v>
      </c>
      <c r="D631" s="15">
        <v>1</v>
      </c>
      <c r="E631" s="16" t="s">
        <v>1703</v>
      </c>
      <c r="F631" s="15">
        <v>15490400</v>
      </c>
      <c r="G631" s="15">
        <v>14560000</v>
      </c>
      <c r="H631" s="17">
        <v>250000</v>
      </c>
      <c r="I631" s="17">
        <v>680400</v>
      </c>
      <c r="J631" s="18" t="s">
        <v>8</v>
      </c>
    </row>
    <row r="632" spans="1:10" x14ac:dyDescent="0.2">
      <c r="A632" s="4" t="s">
        <v>1829</v>
      </c>
      <c r="B632" s="15" t="s">
        <v>1856</v>
      </c>
      <c r="C632" s="15" t="s">
        <v>78</v>
      </c>
      <c r="D632" s="15">
        <v>1</v>
      </c>
      <c r="E632" s="16" t="s">
        <v>1703</v>
      </c>
      <c r="F632" s="15">
        <v>10490400</v>
      </c>
      <c r="G632" s="15">
        <v>9560000</v>
      </c>
      <c r="H632" s="17">
        <v>250000</v>
      </c>
      <c r="I632" s="17">
        <v>680400</v>
      </c>
      <c r="J632" s="18" t="s">
        <v>8</v>
      </c>
    </row>
    <row r="633" spans="1:10" x14ac:dyDescent="0.2">
      <c r="A633" s="4" t="s">
        <v>1832</v>
      </c>
      <c r="B633" s="15" t="s">
        <v>1858</v>
      </c>
      <c r="C633" s="15" t="s">
        <v>1859</v>
      </c>
      <c r="D633" s="15">
        <v>1</v>
      </c>
      <c r="E633" s="16" t="s">
        <v>1703</v>
      </c>
      <c r="F633" s="15">
        <v>10490400</v>
      </c>
      <c r="G633" s="15">
        <v>9560000</v>
      </c>
      <c r="H633" s="17">
        <v>250000</v>
      </c>
      <c r="I633" s="17">
        <v>680400</v>
      </c>
      <c r="J633" s="18" t="s">
        <v>8</v>
      </c>
    </row>
    <row r="634" spans="1:10" x14ac:dyDescent="0.2">
      <c r="A634" s="4" t="s">
        <v>1835</v>
      </c>
      <c r="B634" s="15" t="s">
        <v>1861</v>
      </c>
      <c r="C634" s="15" t="s">
        <v>1862</v>
      </c>
      <c r="D634" s="15">
        <v>1</v>
      </c>
      <c r="E634" s="16" t="s">
        <v>1703</v>
      </c>
      <c r="F634" s="15">
        <v>10490400</v>
      </c>
      <c r="G634" s="15">
        <v>9560000</v>
      </c>
      <c r="H634" s="17">
        <v>250000</v>
      </c>
      <c r="I634" s="17">
        <v>680400</v>
      </c>
      <c r="J634" s="18" t="s">
        <v>8</v>
      </c>
    </row>
    <row r="635" spans="1:10" x14ac:dyDescent="0.2">
      <c r="A635" s="4" t="s">
        <v>1838</v>
      </c>
      <c r="B635" s="15" t="s">
        <v>1864</v>
      </c>
      <c r="C635" s="15" t="s">
        <v>1865</v>
      </c>
      <c r="D635" s="15">
        <v>1</v>
      </c>
      <c r="E635" s="16" t="s">
        <v>1703</v>
      </c>
      <c r="F635" s="15">
        <v>19130400</v>
      </c>
      <c r="G635" s="15">
        <v>18200000</v>
      </c>
      <c r="H635" s="17">
        <v>250000</v>
      </c>
      <c r="I635" s="17">
        <v>680400</v>
      </c>
      <c r="J635" s="18" t="s">
        <v>8</v>
      </c>
    </row>
    <row r="636" spans="1:10" x14ac:dyDescent="0.2">
      <c r="A636" s="4" t="s">
        <v>1841</v>
      </c>
      <c r="B636" s="15" t="s">
        <v>1867</v>
      </c>
      <c r="C636" s="15" t="s">
        <v>1868</v>
      </c>
      <c r="D636" s="15">
        <v>1</v>
      </c>
      <c r="E636" s="16" t="s">
        <v>1703</v>
      </c>
      <c r="F636" s="15">
        <v>17310400</v>
      </c>
      <c r="G636" s="15">
        <v>16380000</v>
      </c>
      <c r="H636" s="17">
        <v>250000</v>
      </c>
      <c r="I636" s="17">
        <v>680400</v>
      </c>
      <c r="J636" s="18" t="s">
        <v>8</v>
      </c>
    </row>
    <row r="637" spans="1:10" x14ac:dyDescent="0.2">
      <c r="A637" s="4" t="s">
        <v>1844</v>
      </c>
      <c r="B637" s="15" t="s">
        <v>1870</v>
      </c>
      <c r="C637" s="15" t="s">
        <v>1871</v>
      </c>
      <c r="D637" s="15">
        <v>1</v>
      </c>
      <c r="E637" s="16" t="s">
        <v>1703</v>
      </c>
      <c r="F637" s="15">
        <v>10030400</v>
      </c>
      <c r="G637" s="15">
        <v>9100000</v>
      </c>
      <c r="H637" s="17">
        <v>250000</v>
      </c>
      <c r="I637" s="17">
        <v>680400</v>
      </c>
      <c r="J637" s="18" t="s">
        <v>8</v>
      </c>
    </row>
    <row r="638" spans="1:10" x14ac:dyDescent="0.2">
      <c r="A638" s="4" t="s">
        <v>1847</v>
      </c>
      <c r="B638" s="15" t="s">
        <v>1873</v>
      </c>
      <c r="C638" s="15" t="s">
        <v>1874</v>
      </c>
      <c r="D638" s="15">
        <v>1</v>
      </c>
      <c r="E638" s="16" t="s">
        <v>1703</v>
      </c>
      <c r="F638" s="15">
        <v>10490400</v>
      </c>
      <c r="G638" s="15">
        <v>9560000</v>
      </c>
      <c r="H638" s="17">
        <v>250000</v>
      </c>
      <c r="I638" s="17">
        <v>680400</v>
      </c>
      <c r="J638" s="18" t="s">
        <v>8</v>
      </c>
    </row>
    <row r="639" spans="1:10" x14ac:dyDescent="0.2">
      <c r="A639" s="4" t="s">
        <v>1850</v>
      </c>
      <c r="B639" s="15" t="s">
        <v>1876</v>
      </c>
      <c r="C639" s="15" t="s">
        <v>1877</v>
      </c>
      <c r="D639" s="15">
        <v>1</v>
      </c>
      <c r="E639" s="16" t="s">
        <v>1703</v>
      </c>
      <c r="F639" s="15">
        <v>14370400</v>
      </c>
      <c r="G639" s="15">
        <v>13440000</v>
      </c>
      <c r="H639" s="17">
        <v>250000</v>
      </c>
      <c r="I639" s="17">
        <v>680400</v>
      </c>
      <c r="J639" s="18" t="s">
        <v>8</v>
      </c>
    </row>
    <row r="640" spans="1:10" x14ac:dyDescent="0.2">
      <c r="A640" s="4" t="s">
        <v>1851</v>
      </c>
      <c r="B640" s="15" t="s">
        <v>1879</v>
      </c>
      <c r="C640" s="15" t="s">
        <v>1880</v>
      </c>
      <c r="D640" s="15">
        <v>1</v>
      </c>
      <c r="E640" s="16" t="s">
        <v>1703</v>
      </c>
      <c r="F640" s="15">
        <v>5030400</v>
      </c>
      <c r="G640" s="15">
        <v>4100000</v>
      </c>
      <c r="H640" s="17">
        <v>250000</v>
      </c>
      <c r="I640" s="17">
        <v>680400</v>
      </c>
      <c r="J640" s="18" t="s">
        <v>8</v>
      </c>
    </row>
    <row r="641" spans="1:10" x14ac:dyDescent="0.2">
      <c r="A641" s="4" t="s">
        <v>1852</v>
      </c>
      <c r="B641" s="15" t="s">
        <v>1882</v>
      </c>
      <c r="C641" s="15" t="s">
        <v>1883</v>
      </c>
      <c r="D641" s="15">
        <v>1</v>
      </c>
      <c r="E641" s="16" t="s">
        <v>1703</v>
      </c>
      <c r="F641" s="15">
        <v>16050400</v>
      </c>
      <c r="G641" s="15">
        <v>15120000</v>
      </c>
      <c r="H641" s="17">
        <v>250000</v>
      </c>
      <c r="I641" s="17">
        <v>680400</v>
      </c>
      <c r="J641" s="18" t="s">
        <v>8</v>
      </c>
    </row>
    <row r="642" spans="1:10" x14ac:dyDescent="0.2">
      <c r="A642" s="4" t="s">
        <v>1855</v>
      </c>
      <c r="B642" s="15" t="s">
        <v>1885</v>
      </c>
      <c r="C642" s="15" t="s">
        <v>1886</v>
      </c>
      <c r="D642" s="15">
        <v>1</v>
      </c>
      <c r="E642" s="16" t="s">
        <v>1703</v>
      </c>
      <c r="F642" s="15">
        <v>15490400</v>
      </c>
      <c r="G642" s="15">
        <v>14560000</v>
      </c>
      <c r="H642" s="17">
        <v>250000</v>
      </c>
      <c r="I642" s="17">
        <v>680400</v>
      </c>
      <c r="J642" s="18" t="s">
        <v>8</v>
      </c>
    </row>
    <row r="643" spans="1:10" x14ac:dyDescent="0.2">
      <c r="A643" s="4" t="s">
        <v>1857</v>
      </c>
      <c r="B643" s="15" t="s">
        <v>1888</v>
      </c>
      <c r="C643" s="15" t="s">
        <v>1889</v>
      </c>
      <c r="D643" s="15">
        <v>1</v>
      </c>
      <c r="E643" s="16" t="s">
        <v>1703</v>
      </c>
      <c r="F643" s="15">
        <v>15490400</v>
      </c>
      <c r="G643" s="15">
        <v>14560000</v>
      </c>
      <c r="H643" s="17">
        <v>250000</v>
      </c>
      <c r="I643" s="17">
        <v>680400</v>
      </c>
      <c r="J643" s="18" t="s">
        <v>8</v>
      </c>
    </row>
    <row r="644" spans="1:10" x14ac:dyDescent="0.2">
      <c r="A644" s="4" t="s">
        <v>1860</v>
      </c>
      <c r="B644" s="15" t="s">
        <v>1891</v>
      </c>
      <c r="C644" s="15" t="s">
        <v>1892</v>
      </c>
      <c r="D644" s="15">
        <v>1</v>
      </c>
      <c r="E644" s="16" t="s">
        <v>1703</v>
      </c>
      <c r="F644" s="15">
        <v>5030400</v>
      </c>
      <c r="G644" s="15">
        <v>4100000</v>
      </c>
      <c r="H644" s="17">
        <v>250000</v>
      </c>
      <c r="I644" s="17">
        <v>680400</v>
      </c>
      <c r="J644" s="18" t="s">
        <v>8</v>
      </c>
    </row>
    <row r="645" spans="1:10" x14ac:dyDescent="0.2">
      <c r="A645" s="4" t="s">
        <v>1863</v>
      </c>
      <c r="B645" s="15" t="s">
        <v>1894</v>
      </c>
      <c r="C645" s="15" t="s">
        <v>1895</v>
      </c>
      <c r="D645" s="15">
        <v>1</v>
      </c>
      <c r="E645" s="16" t="s">
        <v>1703</v>
      </c>
      <c r="F645" s="15">
        <v>3630400</v>
      </c>
      <c r="G645" s="15">
        <v>2700000</v>
      </c>
      <c r="H645" s="17">
        <v>250000</v>
      </c>
      <c r="I645" s="17">
        <v>680400</v>
      </c>
      <c r="J645" s="18" t="s">
        <v>8</v>
      </c>
    </row>
    <row r="646" spans="1:10" x14ac:dyDescent="0.2">
      <c r="A646" s="4" t="s">
        <v>1866</v>
      </c>
      <c r="B646" s="15" t="s">
        <v>1897</v>
      </c>
      <c r="C646" s="15" t="s">
        <v>1898</v>
      </c>
      <c r="D646" s="15">
        <v>1</v>
      </c>
      <c r="E646" s="16" t="s">
        <v>1703</v>
      </c>
      <c r="F646" s="15">
        <v>8670400</v>
      </c>
      <c r="G646" s="15">
        <v>7740000</v>
      </c>
      <c r="H646" s="17">
        <v>250000</v>
      </c>
      <c r="I646" s="17">
        <v>680400</v>
      </c>
      <c r="J646" s="18" t="s">
        <v>8</v>
      </c>
    </row>
    <row r="647" spans="1:10" x14ac:dyDescent="0.2">
      <c r="A647" s="4" t="s">
        <v>1869</v>
      </c>
      <c r="B647" s="15" t="s">
        <v>1900</v>
      </c>
      <c r="C647" s="15" t="s">
        <v>1901</v>
      </c>
      <c r="D647" s="15">
        <v>1</v>
      </c>
      <c r="E647" s="16" t="s">
        <v>1703</v>
      </c>
      <c r="F647" s="15">
        <v>15490400</v>
      </c>
      <c r="G647" s="15">
        <v>14560000</v>
      </c>
      <c r="H647" s="17">
        <v>250000</v>
      </c>
      <c r="I647" s="17">
        <v>680400</v>
      </c>
      <c r="J647" s="18" t="s">
        <v>8</v>
      </c>
    </row>
    <row r="648" spans="1:10" x14ac:dyDescent="0.2">
      <c r="A648" s="4" t="s">
        <v>1872</v>
      </c>
      <c r="B648" s="15" t="str">
        <f>[1]CK!B674</f>
        <v>BIT230070</v>
      </c>
      <c r="C648" s="15" t="str">
        <f>[1]CK!C674</f>
        <v>NGUYỄN HỮU CƯỜNG</v>
      </c>
      <c r="D648" s="15">
        <f t="shared" ref="D648:D679" si="6">COUNTIF($B$2:$B$845,B648)</f>
        <v>1</v>
      </c>
      <c r="E648" s="16" t="str">
        <f>[1]CK!I674</f>
        <v>29/08/2023</v>
      </c>
      <c r="F648" s="15">
        <f>[1]CK!F674</f>
        <v>15490400</v>
      </c>
      <c r="G648" s="15">
        <f>[1]CK!N674</f>
        <v>14560000</v>
      </c>
      <c r="H648" s="17">
        <f>[1]CK!O674</f>
        <v>250000</v>
      </c>
      <c r="I648" s="17">
        <f>[1]CK!P674</f>
        <v>680400</v>
      </c>
      <c r="J648" s="18" t="s">
        <v>8</v>
      </c>
    </row>
    <row r="649" spans="1:10" x14ac:dyDescent="0.2">
      <c r="A649" s="4" t="s">
        <v>1875</v>
      </c>
      <c r="B649" s="15" t="str">
        <f>[1]CK!B675</f>
        <v>BBA230012</v>
      </c>
      <c r="C649" s="15" t="str">
        <f>[1]CK!C675</f>
        <v>PHAN MAI ANH</v>
      </c>
      <c r="D649" s="15">
        <f t="shared" si="6"/>
        <v>1</v>
      </c>
      <c r="E649" s="16" t="str">
        <f>[1]CK!I675</f>
        <v>29/08/2023</v>
      </c>
      <c r="F649" s="15">
        <f>[1]CK!F675</f>
        <v>4330400</v>
      </c>
      <c r="G649" s="15">
        <f>[1]CK!N675</f>
        <v>3400000</v>
      </c>
      <c r="H649" s="17">
        <f>[1]CK!O675</f>
        <v>250000</v>
      </c>
      <c r="I649" s="17">
        <f>[1]CK!P675</f>
        <v>680400</v>
      </c>
      <c r="J649" s="18" t="s">
        <v>8</v>
      </c>
    </row>
    <row r="650" spans="1:10" x14ac:dyDescent="0.2">
      <c r="A650" s="4" t="s">
        <v>2009</v>
      </c>
      <c r="B650" s="15" t="str">
        <f>[1]CK!B676</f>
        <v>BIT230212</v>
      </c>
      <c r="C650" s="15" t="str">
        <f>[1]CK!C676</f>
        <v>NGUYỄN NGỌC KHÁNH</v>
      </c>
      <c r="D650" s="15">
        <f t="shared" si="6"/>
        <v>1</v>
      </c>
      <c r="E650" s="16" t="str">
        <f>[1]CK!I676</f>
        <v>29/08/2023</v>
      </c>
      <c r="F650" s="15">
        <f>[1]CK!F676</f>
        <v>10490400</v>
      </c>
      <c r="G650" s="15">
        <f>[1]CK!N676</f>
        <v>9560000</v>
      </c>
      <c r="H650" s="17">
        <f>[1]CK!O676</f>
        <v>250000</v>
      </c>
      <c r="I650" s="17">
        <f>[1]CK!P676</f>
        <v>680400</v>
      </c>
      <c r="J650" s="18" t="s">
        <v>8</v>
      </c>
    </row>
    <row r="651" spans="1:10" x14ac:dyDescent="0.2">
      <c r="A651" s="4" t="s">
        <v>2010</v>
      </c>
      <c r="B651" s="15" t="str">
        <f>[1]CK!B677</f>
        <v>BGD230033</v>
      </c>
      <c r="C651" s="15" t="str">
        <f>[1]CK!C677</f>
        <v>DƯƠNG THU CÚC</v>
      </c>
      <c r="D651" s="15">
        <f t="shared" si="6"/>
        <v>1</v>
      </c>
      <c r="E651" s="16" t="str">
        <f>[1]CK!I677</f>
        <v>29/08/2023</v>
      </c>
      <c r="F651" s="15">
        <f>[1]CK!F677</f>
        <v>8250400</v>
      </c>
      <c r="G651" s="15">
        <f>[1]CK!N677</f>
        <v>7320000</v>
      </c>
      <c r="H651" s="17">
        <f>[1]CK!O677</f>
        <v>250000</v>
      </c>
      <c r="I651" s="17">
        <f>[1]CK!P677</f>
        <v>680400</v>
      </c>
      <c r="J651" s="18" t="s">
        <v>8</v>
      </c>
    </row>
    <row r="652" spans="1:10" x14ac:dyDescent="0.2">
      <c r="A652" s="4" t="s">
        <v>1878</v>
      </c>
      <c r="B652" s="15" t="str">
        <f>[1]CK!B678</f>
        <v>BIT230014</v>
      </c>
      <c r="C652" s="15" t="str">
        <f>[1]CK!C678</f>
        <v>PHÙNG ĐỨC ANH</v>
      </c>
      <c r="D652" s="15">
        <f t="shared" si="6"/>
        <v>1</v>
      </c>
      <c r="E652" s="16" t="str">
        <f>[1]CK!I678</f>
        <v>29/08/2023</v>
      </c>
      <c r="F652" s="15">
        <f>[1]CK!F678</f>
        <v>17310400</v>
      </c>
      <c r="G652" s="15">
        <f>[1]CK!N678</f>
        <v>16380000</v>
      </c>
      <c r="H652" s="17">
        <f>[1]CK!O678</f>
        <v>250000</v>
      </c>
      <c r="I652" s="17">
        <f>[1]CK!P678</f>
        <v>680400</v>
      </c>
      <c r="J652" s="18" t="s">
        <v>8</v>
      </c>
    </row>
    <row r="653" spans="1:10" x14ac:dyDescent="0.2">
      <c r="A653" s="4" t="s">
        <v>1881</v>
      </c>
      <c r="B653" s="15" t="str">
        <f>[1]CK!B679</f>
        <v>BCS230089</v>
      </c>
      <c r="C653" s="15" t="str">
        <f>[1]CK!C679</f>
        <v>VŨ ĐỨC TUẤN</v>
      </c>
      <c r="D653" s="15">
        <f t="shared" si="6"/>
        <v>1</v>
      </c>
      <c r="E653" s="16" t="str">
        <f>[1]CK!I679</f>
        <v>29/08/2023</v>
      </c>
      <c r="F653" s="15">
        <f>[1]CK!F679</f>
        <v>5030400</v>
      </c>
      <c r="G653" s="15">
        <f>[1]CK!N679</f>
        <v>4100000</v>
      </c>
      <c r="H653" s="17">
        <f>[1]CK!O679</f>
        <v>250000</v>
      </c>
      <c r="I653" s="17">
        <f>[1]CK!P679</f>
        <v>680400</v>
      </c>
      <c r="J653" s="18" t="s">
        <v>8</v>
      </c>
    </row>
    <row r="654" spans="1:10" x14ac:dyDescent="0.2">
      <c r="A654" s="4" t="s">
        <v>1884</v>
      </c>
      <c r="B654" s="15" t="str">
        <f>[1]CK!B680</f>
        <v>BIT230201</v>
      </c>
      <c r="C654" s="15" t="str">
        <f>[1]CK!C680</f>
        <v>VŨ LONG HUY</v>
      </c>
      <c r="D654" s="15">
        <f t="shared" si="6"/>
        <v>1</v>
      </c>
      <c r="E654" s="16" t="str">
        <f>[1]CK!I680</f>
        <v>29/08/2023</v>
      </c>
      <c r="F654" s="15">
        <f>[1]CK!F680</f>
        <v>10490400</v>
      </c>
      <c r="G654" s="15">
        <f>[1]CK!N680</f>
        <v>9560000</v>
      </c>
      <c r="H654" s="17">
        <f>[1]CK!O680</f>
        <v>250000</v>
      </c>
      <c r="I654" s="17">
        <f>[1]CK!P680</f>
        <v>680400</v>
      </c>
      <c r="J654" s="18" t="s">
        <v>8</v>
      </c>
    </row>
    <row r="655" spans="1:10" x14ac:dyDescent="0.2">
      <c r="A655" s="4" t="s">
        <v>2011</v>
      </c>
      <c r="B655" s="15" t="str">
        <f>[1]CK!B681</f>
        <v>BIT230216</v>
      </c>
      <c r="C655" s="15" t="str">
        <f>[1]CK!C681</f>
        <v>TRẦN ĐĂNG KHÔI</v>
      </c>
      <c r="D655" s="15">
        <f t="shared" si="6"/>
        <v>1</v>
      </c>
      <c r="E655" s="16" t="str">
        <f>[1]CK!I681</f>
        <v>29/08/2023</v>
      </c>
      <c r="F655" s="15">
        <f>[1]CK!F681</f>
        <v>17310400</v>
      </c>
      <c r="G655" s="15">
        <f>[1]CK!N681</f>
        <v>16380000</v>
      </c>
      <c r="H655" s="17">
        <f>[1]CK!O681</f>
        <v>250000</v>
      </c>
      <c r="I655" s="17">
        <f>[1]CK!P681</f>
        <v>680400</v>
      </c>
      <c r="J655" s="18" t="s">
        <v>8</v>
      </c>
    </row>
    <row r="656" spans="1:10" x14ac:dyDescent="0.2">
      <c r="A656" s="4" t="s">
        <v>2012</v>
      </c>
      <c r="B656" s="15" t="str">
        <f>[1]CK!B682</f>
        <v>BIT230476</v>
      </c>
      <c r="C656" s="15" t="str">
        <f>[1]CK!C682</f>
        <v>QUÁCH TRƯỜNG AN</v>
      </c>
      <c r="D656" s="15">
        <f t="shared" si="6"/>
        <v>1</v>
      </c>
      <c r="E656" s="16" t="str">
        <f>[1]CK!I682</f>
        <v>29/08/2023</v>
      </c>
      <c r="F656" s="15">
        <f>[1]CK!F682</f>
        <v>2310400</v>
      </c>
      <c r="G656" s="15">
        <f>[1]CK!N682</f>
        <v>1380000</v>
      </c>
      <c r="H656" s="17">
        <f>[1]CK!O682</f>
        <v>680400</v>
      </c>
      <c r="I656" s="17">
        <f>[1]CK!P682</f>
        <v>250000</v>
      </c>
      <c r="J656" s="18" t="s">
        <v>8</v>
      </c>
    </row>
    <row r="657" spans="1:10" x14ac:dyDescent="0.2">
      <c r="A657" s="4" t="s">
        <v>2013</v>
      </c>
      <c r="B657" s="15" t="str">
        <f>[1]CK!B683</f>
        <v>BIT230287</v>
      </c>
      <c r="C657" s="15" t="str">
        <f>[1]CK!C683</f>
        <v>NGUYỄN THỊ THANH NGÂN</v>
      </c>
      <c r="D657" s="15">
        <f t="shared" si="6"/>
        <v>1</v>
      </c>
      <c r="E657" s="16" t="str">
        <f>[1]CK!I683</f>
        <v>29/08/2023</v>
      </c>
      <c r="F657" s="15">
        <f>[1]CK!F683</f>
        <v>930400</v>
      </c>
      <c r="G657" s="15">
        <f>[1]CK!N683</f>
        <v>0</v>
      </c>
      <c r="H657" s="17">
        <f>[1]CK!O683</f>
        <v>250000</v>
      </c>
      <c r="I657" s="17">
        <f>[1]CK!P683</f>
        <v>680400</v>
      </c>
      <c r="J657" s="18" t="s">
        <v>8</v>
      </c>
    </row>
    <row r="658" spans="1:10" x14ac:dyDescent="0.2">
      <c r="A658" s="4" t="s">
        <v>2014</v>
      </c>
      <c r="B658" s="15" t="str">
        <f>[1]CK!B684</f>
        <v>BIT230457</v>
      </c>
      <c r="C658" s="15" t="str">
        <f>[1]CK!C684</f>
        <v>NGUYỄN TIẾN VINH</v>
      </c>
      <c r="D658" s="15">
        <f t="shared" si="6"/>
        <v>1</v>
      </c>
      <c r="E658" s="16" t="str">
        <f>[1]CK!I684</f>
        <v>29/08/2023</v>
      </c>
      <c r="F658" s="15">
        <f>[1]CK!F684</f>
        <v>19130400</v>
      </c>
      <c r="G658" s="15">
        <f>[1]CK!N684</f>
        <v>18200000</v>
      </c>
      <c r="H658" s="17">
        <f>[1]CK!O684</f>
        <v>250000</v>
      </c>
      <c r="I658" s="17">
        <f>[1]CK!P684</f>
        <v>680400</v>
      </c>
      <c r="J658" s="18" t="s">
        <v>8</v>
      </c>
    </row>
    <row r="659" spans="1:10" x14ac:dyDescent="0.2">
      <c r="A659" s="4" t="s">
        <v>2015</v>
      </c>
      <c r="B659" s="15" t="str">
        <f>[1]CK!B685</f>
        <v>BBA230269</v>
      </c>
      <c r="C659" s="15" t="str">
        <f>[1]CK!C685</f>
        <v>TRỊNH HUYỀN MAI</v>
      </c>
      <c r="D659" s="15">
        <f t="shared" si="6"/>
        <v>1</v>
      </c>
      <c r="E659" s="16" t="str">
        <f>[1]CK!I685</f>
        <v>29/08/2023</v>
      </c>
      <c r="F659" s="15">
        <f>[1]CK!F685</f>
        <v>7690400</v>
      </c>
      <c r="G659" s="15">
        <f>[1]CK!N685</f>
        <v>6760000</v>
      </c>
      <c r="H659" s="17">
        <f>[1]CK!O685</f>
        <v>250000</v>
      </c>
      <c r="I659" s="17">
        <f>[1]CK!P685</f>
        <v>680400</v>
      </c>
      <c r="J659" s="18" t="s">
        <v>8</v>
      </c>
    </row>
    <row r="660" spans="1:10" x14ac:dyDescent="0.2">
      <c r="A660" s="4" t="s">
        <v>2016</v>
      </c>
      <c r="B660" s="15" t="str">
        <f>[1]CK!B686</f>
        <v>BGD230168</v>
      </c>
      <c r="C660" s="15" t="str">
        <f>[1]CK!C686</f>
        <v>ĐÀO DUY PHONG</v>
      </c>
      <c r="D660" s="15">
        <f t="shared" si="6"/>
        <v>1</v>
      </c>
      <c r="E660" s="16" t="str">
        <f>[1]CK!I686</f>
        <v>29/08/2023</v>
      </c>
      <c r="F660" s="15">
        <f>[1]CK!F686</f>
        <v>14790400</v>
      </c>
      <c r="G660" s="15">
        <f>[1]CK!N686</f>
        <v>13860000</v>
      </c>
      <c r="H660" s="17">
        <f>[1]CK!O686</f>
        <v>250000</v>
      </c>
      <c r="I660" s="17">
        <f>[1]CK!P686</f>
        <v>680400</v>
      </c>
      <c r="J660" s="18" t="s">
        <v>8</v>
      </c>
    </row>
    <row r="661" spans="1:10" x14ac:dyDescent="0.2">
      <c r="A661" s="4" t="s">
        <v>2017</v>
      </c>
      <c r="B661" s="15" t="str">
        <f>[1]CK!B687</f>
        <v>BIT230260</v>
      </c>
      <c r="C661" s="15" t="str">
        <f>[1]CK!C687</f>
        <v>NGUYỄN CHÍ QUANG MINH</v>
      </c>
      <c r="D661" s="15">
        <f t="shared" si="6"/>
        <v>1</v>
      </c>
      <c r="E661" s="16" t="str">
        <f>[1]CK!I687</f>
        <v>29/08/2023</v>
      </c>
      <c r="F661" s="15">
        <f>[1]CK!F687</f>
        <v>5030400</v>
      </c>
      <c r="G661" s="15">
        <f>[1]CK!N687</f>
        <v>4100000</v>
      </c>
      <c r="H661" s="17">
        <f>[1]CK!O687</f>
        <v>250000</v>
      </c>
      <c r="I661" s="17">
        <f>[1]CK!P687</f>
        <v>680400</v>
      </c>
      <c r="J661" s="18" t="s">
        <v>8</v>
      </c>
    </row>
    <row r="662" spans="1:10" x14ac:dyDescent="0.2">
      <c r="A662" s="4" t="s">
        <v>2018</v>
      </c>
      <c r="B662" s="15" t="str">
        <f>[1]CK!B688</f>
        <v>BIT230255</v>
      </c>
      <c r="C662" s="15" t="str">
        <f>[1]CK!C688</f>
        <v>NGUYỄN ĐỨC MẠNH</v>
      </c>
      <c r="D662" s="15">
        <f t="shared" si="6"/>
        <v>1</v>
      </c>
      <c r="E662" s="16" t="str">
        <f>[1]CK!I688</f>
        <v>29/08/2023</v>
      </c>
      <c r="F662" s="15">
        <f>[1]CK!F688</f>
        <v>10490400</v>
      </c>
      <c r="G662" s="15">
        <f>[1]CK!N688</f>
        <v>9560000</v>
      </c>
      <c r="H662" s="17">
        <f>[1]CK!O688</f>
        <v>250000</v>
      </c>
      <c r="I662" s="17">
        <f>[1]CK!P688</f>
        <v>680400</v>
      </c>
      <c r="J662" s="18" t="s">
        <v>8</v>
      </c>
    </row>
    <row r="663" spans="1:10" x14ac:dyDescent="0.2">
      <c r="A663" s="4" t="s">
        <v>2019</v>
      </c>
      <c r="B663" s="15" t="str">
        <f>[1]CK!B689</f>
        <v>BIT230213</v>
      </c>
      <c r="C663" s="15" t="str">
        <f>[1]CK!C689</f>
        <v>TRẦN BẢO KHIÊM</v>
      </c>
      <c r="D663" s="15">
        <f t="shared" si="6"/>
        <v>1</v>
      </c>
      <c r="E663" s="16" t="str">
        <f>[1]CK!I689</f>
        <v>29/08/2023</v>
      </c>
      <c r="F663" s="15">
        <f>[1]CK!F689</f>
        <v>17310400</v>
      </c>
      <c r="G663" s="15">
        <f>[1]CK!N689</f>
        <v>16380000</v>
      </c>
      <c r="H663" s="17">
        <f>[1]CK!O689</f>
        <v>250000</v>
      </c>
      <c r="I663" s="17">
        <f>[1]CK!P689</f>
        <v>680400</v>
      </c>
      <c r="J663" s="18" t="s">
        <v>8</v>
      </c>
    </row>
    <row r="664" spans="1:10" x14ac:dyDescent="0.2">
      <c r="A664" s="4" t="s">
        <v>2020</v>
      </c>
      <c r="B664" s="15" t="str">
        <f>[1]CK!B690</f>
        <v>BIT230036</v>
      </c>
      <c r="C664" s="15" t="str">
        <f>[1]CK!C690</f>
        <v>PHẠM TRẦN DUY ANH</v>
      </c>
      <c r="D664" s="15">
        <f t="shared" si="6"/>
        <v>1</v>
      </c>
      <c r="E664" s="16" t="str">
        <f>[1]CK!I690</f>
        <v>29/08/2023</v>
      </c>
      <c r="F664" s="15">
        <f>[1]CK!F690</f>
        <v>15490400</v>
      </c>
      <c r="G664" s="15">
        <f>[1]CK!N690</f>
        <v>14560000</v>
      </c>
      <c r="H664" s="17">
        <f>[1]CK!O690</f>
        <v>250000</v>
      </c>
      <c r="I664" s="17">
        <f>[1]CK!P690</f>
        <v>680400</v>
      </c>
      <c r="J664" s="18" t="s">
        <v>8</v>
      </c>
    </row>
    <row r="665" spans="1:10" x14ac:dyDescent="0.2">
      <c r="A665" s="4" t="s">
        <v>2021</v>
      </c>
      <c r="B665" s="15" t="str">
        <f>[1]CK!B692</f>
        <v>BIT230377</v>
      </c>
      <c r="C665" s="15" t="str">
        <f>[1]CK!C692</f>
        <v>VŨ MINH THẮNG</v>
      </c>
      <c r="D665" s="15">
        <f t="shared" si="6"/>
        <v>1</v>
      </c>
      <c r="E665" s="16" t="str">
        <f>[1]CK!I692</f>
        <v>29/08/2023</v>
      </c>
      <c r="F665" s="15">
        <f>[1]CK!F692</f>
        <v>5030400</v>
      </c>
      <c r="G665" s="15">
        <f>[1]CK!N692</f>
        <v>4100000</v>
      </c>
      <c r="H665" s="17">
        <f>[1]CK!O692</f>
        <v>250000</v>
      </c>
      <c r="I665" s="17">
        <f>[1]CK!P692</f>
        <v>680400</v>
      </c>
      <c r="J665" s="18" t="s">
        <v>8</v>
      </c>
    </row>
    <row r="666" spans="1:10" x14ac:dyDescent="0.2">
      <c r="A666" s="4" t="s">
        <v>2022</v>
      </c>
      <c r="B666" s="15" t="str">
        <f>[1]CK!B693</f>
        <v>BCS230004</v>
      </c>
      <c r="C666" s="15" t="str">
        <f>[1]CK!C693</f>
        <v>NGUYỄN HẢI ANH</v>
      </c>
      <c r="D666" s="15">
        <f t="shared" si="6"/>
        <v>1</v>
      </c>
      <c r="E666" s="16" t="str">
        <f>[1]CK!I693</f>
        <v>29/08/2023</v>
      </c>
      <c r="F666" s="15">
        <f>[1]CK!F693</f>
        <v>930400</v>
      </c>
      <c r="G666" s="15">
        <f>[1]CK!N693</f>
        <v>0</v>
      </c>
      <c r="H666" s="17">
        <f>[1]CK!O693</f>
        <v>250000</v>
      </c>
      <c r="I666" s="17">
        <f>[1]CK!P693</f>
        <v>680400</v>
      </c>
      <c r="J666" s="18" t="s">
        <v>8</v>
      </c>
    </row>
    <row r="667" spans="1:10" x14ac:dyDescent="0.2">
      <c r="A667" s="4" t="s">
        <v>2023</v>
      </c>
      <c r="B667" s="15" t="str">
        <f>[1]CK!B694</f>
        <v>BIT230372</v>
      </c>
      <c r="C667" s="15" t="str">
        <f>[1]CK!C694</f>
        <v>NGUYỄN THỊ TÂM</v>
      </c>
      <c r="D667" s="15">
        <f t="shared" si="6"/>
        <v>1</v>
      </c>
      <c r="E667" s="16" t="str">
        <f>[1]CK!I694</f>
        <v>29/08/2023</v>
      </c>
      <c r="F667" s="15">
        <f>[1]CK!F694</f>
        <v>5000000</v>
      </c>
      <c r="G667" s="15">
        <f>[1]CK!N694</f>
        <v>5000000</v>
      </c>
      <c r="H667" s="17">
        <f>[1]CK!O694</f>
        <v>0</v>
      </c>
      <c r="I667" s="17">
        <f>[1]CK!P694</f>
        <v>0</v>
      </c>
      <c r="J667" s="18" t="s">
        <v>8</v>
      </c>
    </row>
    <row r="668" spans="1:10" x14ac:dyDescent="0.2">
      <c r="A668" s="4" t="s">
        <v>2024</v>
      </c>
      <c r="B668" s="15" t="str">
        <f>[1]CK!B695</f>
        <v>BCS230009</v>
      </c>
      <c r="C668" s="15" t="str">
        <f>[1]CK!C695</f>
        <v>BÙI VIỆT ANH</v>
      </c>
      <c r="D668" s="15">
        <f t="shared" si="6"/>
        <v>1</v>
      </c>
      <c r="E668" s="16" t="str">
        <f>[1]CK!I695</f>
        <v>29/08/2023</v>
      </c>
      <c r="F668" s="15">
        <f>[1]CK!F695</f>
        <v>17310400</v>
      </c>
      <c r="G668" s="15">
        <f>[1]CK!N695</f>
        <v>16380000</v>
      </c>
      <c r="H668" s="17">
        <f>[1]CK!O695</f>
        <v>250000</v>
      </c>
      <c r="I668" s="17">
        <f>[1]CK!P695</f>
        <v>680400</v>
      </c>
      <c r="J668" s="18" t="s">
        <v>8</v>
      </c>
    </row>
    <row r="669" spans="1:10" x14ac:dyDescent="0.2">
      <c r="A669" s="4" t="s">
        <v>2025</v>
      </c>
      <c r="B669" s="15" t="str">
        <f>[1]CK!B696</f>
        <v>BBA230115</v>
      </c>
      <c r="C669" s="15" t="str">
        <f>[1]CK!C696</f>
        <v>TRẦN TÙNG DƯƠNG</v>
      </c>
      <c r="D669" s="15">
        <f t="shared" si="6"/>
        <v>1</v>
      </c>
      <c r="E669" s="16" t="str">
        <f>[1]CK!I696</f>
        <v>29/08/2023</v>
      </c>
      <c r="F669" s="15">
        <f>[1]CK!F696</f>
        <v>7690400</v>
      </c>
      <c r="G669" s="15">
        <f>[1]CK!N696</f>
        <v>6760000</v>
      </c>
      <c r="H669" s="17">
        <f>[1]CK!O696</f>
        <v>250000</v>
      </c>
      <c r="I669" s="17">
        <f>[1]CK!P696</f>
        <v>680400</v>
      </c>
      <c r="J669" s="18" t="s">
        <v>8</v>
      </c>
    </row>
    <row r="670" spans="1:10" x14ac:dyDescent="0.2">
      <c r="A670" s="4" t="s">
        <v>2026</v>
      </c>
      <c r="B670" s="15" t="str">
        <f>[1]CK!B697</f>
        <v>BBA230484</v>
      </c>
      <c r="C670" s="15" t="str">
        <f>[1]CK!C697</f>
        <v>PHAN THỊ PHƯƠNG UYÊN</v>
      </c>
      <c r="D670" s="15">
        <f t="shared" si="6"/>
        <v>1</v>
      </c>
      <c r="E670" s="16" t="str">
        <f>[1]CK!I697</f>
        <v>29/08/2023</v>
      </c>
      <c r="F670" s="15">
        <f>[1]CK!F697</f>
        <v>9370400</v>
      </c>
      <c r="G670" s="15">
        <f>[1]CK!N697</f>
        <v>8440000</v>
      </c>
      <c r="H670" s="17">
        <f>[1]CK!O697</f>
        <v>250000</v>
      </c>
      <c r="I670" s="17">
        <f>[1]CK!P697</f>
        <v>680400</v>
      </c>
      <c r="J670" s="18" t="s">
        <v>8</v>
      </c>
    </row>
    <row r="671" spans="1:10" x14ac:dyDescent="0.2">
      <c r="A671" s="4" t="s">
        <v>2027</v>
      </c>
      <c r="B671" s="15" t="str">
        <f>[1]CK!B698</f>
        <v>BCS230059</v>
      </c>
      <c r="C671" s="15" t="str">
        <f>[1]CK!C698</f>
        <v>LÊ HOÀI NAM</v>
      </c>
      <c r="D671" s="15">
        <f t="shared" si="6"/>
        <v>1</v>
      </c>
      <c r="E671" s="16" t="str">
        <f>[1]CK!I698</f>
        <v>29/08/2023</v>
      </c>
      <c r="F671" s="15">
        <f>[1]CK!F698</f>
        <v>8670400</v>
      </c>
      <c r="G671" s="15">
        <f>[1]CK!N698</f>
        <v>7740000</v>
      </c>
      <c r="H671" s="17">
        <f>[1]CK!O698</f>
        <v>250000</v>
      </c>
      <c r="I671" s="17">
        <f>[1]CK!P698</f>
        <v>680400</v>
      </c>
      <c r="J671" s="18" t="s">
        <v>8</v>
      </c>
    </row>
    <row r="672" spans="1:10" x14ac:dyDescent="0.2">
      <c r="A672" s="4" t="s">
        <v>2028</v>
      </c>
      <c r="B672" s="15" t="str">
        <f>[1]CK!B699</f>
        <v>BIT230103</v>
      </c>
      <c r="C672" s="15" t="str">
        <f>[1]CK!C699</f>
        <v>NGUYỄN QUANG ĐỨC</v>
      </c>
      <c r="D672" s="15">
        <f t="shared" si="6"/>
        <v>1</v>
      </c>
      <c r="E672" s="16" t="str">
        <f>[1]CK!I699</f>
        <v>29/08/2023</v>
      </c>
      <c r="F672" s="15">
        <f>[1]CK!F699</f>
        <v>8670400</v>
      </c>
      <c r="G672" s="15">
        <f>[1]CK!N699</f>
        <v>7740000</v>
      </c>
      <c r="H672" s="17">
        <f>[1]CK!O699</f>
        <v>250000</v>
      </c>
      <c r="I672" s="17">
        <f>[1]CK!P699</f>
        <v>680400</v>
      </c>
      <c r="J672" s="18" t="s">
        <v>8</v>
      </c>
    </row>
    <row r="673" spans="1:10" x14ac:dyDescent="0.2">
      <c r="A673" s="4" t="s">
        <v>1887</v>
      </c>
      <c r="B673" s="15" t="str">
        <f>[1]CK!B700</f>
        <v>BGD230089</v>
      </c>
      <c r="C673" s="15" t="str">
        <f>[1]CK!C700</f>
        <v>LÊ BÙI NGUYÊN HƯNG</v>
      </c>
      <c r="D673" s="15">
        <f t="shared" si="6"/>
        <v>1</v>
      </c>
      <c r="E673" s="16" t="str">
        <f>[1]CK!I700</f>
        <v>29/08/2023</v>
      </c>
      <c r="F673" s="15">
        <f>[1]CK!F700</f>
        <v>14800000</v>
      </c>
      <c r="G673" s="15">
        <f>[1]CK!N700</f>
        <v>13869600</v>
      </c>
      <c r="H673" s="17">
        <f>[1]CK!O700</f>
        <v>250000</v>
      </c>
      <c r="I673" s="17">
        <f>[1]CK!P700</f>
        <v>680400</v>
      </c>
      <c r="J673" s="18" t="s">
        <v>8</v>
      </c>
    </row>
    <row r="674" spans="1:10" x14ac:dyDescent="0.2">
      <c r="A674" s="4" t="s">
        <v>1890</v>
      </c>
      <c r="B674" s="15" t="str">
        <f>[1]CK!B701</f>
        <v>BBA230078</v>
      </c>
      <c r="C674" s="15" t="str">
        <f>[1]CK!C701</f>
        <v>TRẦN THỊ KIỀU CHINH</v>
      </c>
      <c r="D674" s="15">
        <f t="shared" si="6"/>
        <v>2</v>
      </c>
      <c r="E674" s="16" t="str">
        <f>[1]CK!I701</f>
        <v>29/08/2023</v>
      </c>
      <c r="F674" s="15">
        <f>[1]CK!F701</f>
        <v>1000</v>
      </c>
      <c r="G674" s="15">
        <f>[1]CK!N701</f>
        <v>600</v>
      </c>
      <c r="H674" s="17">
        <f>[1]CK!O701</f>
        <v>0</v>
      </c>
      <c r="I674" s="17">
        <f>[1]CK!P701</f>
        <v>400</v>
      </c>
      <c r="J674" s="18" t="s">
        <v>8</v>
      </c>
    </row>
    <row r="675" spans="1:10" x14ac:dyDescent="0.2">
      <c r="A675" s="4" t="s">
        <v>2029</v>
      </c>
      <c r="B675" s="15" t="str">
        <f>[1]CK!B702</f>
        <v>BBA230181</v>
      </c>
      <c r="C675" s="15" t="str">
        <f>[1]CK!C702</f>
        <v>NGUYỄN THỊ HUYÊN</v>
      </c>
      <c r="D675" s="15">
        <f t="shared" si="6"/>
        <v>1</v>
      </c>
      <c r="E675" s="16" t="str">
        <f>[1]CK!I702</f>
        <v>29/08/2023</v>
      </c>
      <c r="F675" s="15">
        <f>[1]CK!F702</f>
        <v>9370400</v>
      </c>
      <c r="G675" s="15">
        <f>[1]CK!N702</f>
        <v>8440000</v>
      </c>
      <c r="H675" s="17">
        <f>[1]CK!O702</f>
        <v>250000</v>
      </c>
      <c r="I675" s="17">
        <f>[1]CK!P702</f>
        <v>680400</v>
      </c>
      <c r="J675" s="18" t="s">
        <v>8</v>
      </c>
    </row>
    <row r="676" spans="1:10" x14ac:dyDescent="0.2">
      <c r="A676" s="4" t="s">
        <v>2030</v>
      </c>
      <c r="B676" s="15" t="str">
        <f>[1]CK!B703</f>
        <v>BGD230098</v>
      </c>
      <c r="C676" s="15" t="str">
        <f>[1]CK!C703</f>
        <v>TRẦN THỊ THU HƯƠNG</v>
      </c>
      <c r="D676" s="15">
        <f t="shared" si="6"/>
        <v>1</v>
      </c>
      <c r="E676" s="16" t="str">
        <f>[1]CK!I703</f>
        <v>29/08/2023</v>
      </c>
      <c r="F676" s="15">
        <f>[1]CK!F703</f>
        <v>13250400</v>
      </c>
      <c r="G676" s="15">
        <f>[1]CK!N703</f>
        <v>12320000</v>
      </c>
      <c r="H676" s="17">
        <f>[1]CK!O703</f>
        <v>250000</v>
      </c>
      <c r="I676" s="17">
        <f>[1]CK!P703</f>
        <v>680400</v>
      </c>
      <c r="J676" s="18" t="s">
        <v>8</v>
      </c>
    </row>
    <row r="677" spans="1:10" x14ac:dyDescent="0.2">
      <c r="A677" s="4" t="s">
        <v>1893</v>
      </c>
      <c r="B677" s="15" t="str">
        <f>[1]CK!B704</f>
        <v>BBA230233</v>
      </c>
      <c r="C677" s="15" t="str">
        <f>[1]CK!C704</f>
        <v>NGUYỄN THUỲ LINH</v>
      </c>
      <c r="D677" s="15">
        <f t="shared" si="6"/>
        <v>1</v>
      </c>
      <c r="E677" s="16" t="str">
        <f>[1]CK!I704</f>
        <v>29/08/2023</v>
      </c>
      <c r="F677" s="15">
        <f>[1]CK!F704</f>
        <v>16050400</v>
      </c>
      <c r="G677" s="15">
        <f>[1]CK!N704</f>
        <v>15120000</v>
      </c>
      <c r="H677" s="17">
        <f>[1]CK!O704</f>
        <v>250000</v>
      </c>
      <c r="I677" s="17">
        <f>[1]CK!P704</f>
        <v>680400</v>
      </c>
      <c r="J677" s="18" t="s">
        <v>8</v>
      </c>
    </row>
    <row r="678" spans="1:10" x14ac:dyDescent="0.2">
      <c r="A678" s="4" t="s">
        <v>1896</v>
      </c>
      <c r="B678" s="15" t="str">
        <f>[1]CK!B705</f>
        <v>BBA230306</v>
      </c>
      <c r="C678" s="15" t="str">
        <f>[1]CK!C705</f>
        <v>TRỊNH THỊ NGÂN</v>
      </c>
      <c r="D678" s="15">
        <f t="shared" si="6"/>
        <v>1</v>
      </c>
      <c r="E678" s="16" t="str">
        <f>[1]CK!I705</f>
        <v>29/08/2023</v>
      </c>
      <c r="F678" s="15">
        <f>[1]CK!F705</f>
        <v>14370400</v>
      </c>
      <c r="G678" s="15">
        <f>[1]CK!N705</f>
        <v>13440000</v>
      </c>
      <c r="H678" s="17">
        <f>[1]CK!O705</f>
        <v>250000</v>
      </c>
      <c r="I678" s="17">
        <f>[1]CK!P705</f>
        <v>680400</v>
      </c>
      <c r="J678" s="18" t="s">
        <v>8</v>
      </c>
    </row>
    <row r="679" spans="1:10" x14ac:dyDescent="0.2">
      <c r="A679" s="4" t="s">
        <v>1899</v>
      </c>
      <c r="B679" s="15" t="str">
        <f>[1]CK!B706</f>
        <v>BBA230392</v>
      </c>
      <c r="C679" s="15" t="str">
        <f>[1]CK!C706</f>
        <v>NGUYỄN ĐỨC TÀI</v>
      </c>
      <c r="D679" s="15">
        <f t="shared" si="6"/>
        <v>1</v>
      </c>
      <c r="E679" s="16" t="str">
        <f>[1]CK!I706</f>
        <v>29/08/2023</v>
      </c>
      <c r="F679" s="15">
        <f>[1]CK!F706</f>
        <v>930400</v>
      </c>
      <c r="G679" s="15">
        <f>[1]CK!N706</f>
        <v>0</v>
      </c>
      <c r="H679" s="17">
        <f>[1]CK!O706</f>
        <v>250000</v>
      </c>
      <c r="I679" s="17">
        <f>[1]CK!P706</f>
        <v>680400</v>
      </c>
      <c r="J679" s="18" t="s">
        <v>8</v>
      </c>
    </row>
    <row r="680" spans="1:10" x14ac:dyDescent="0.2">
      <c r="A680" s="4" t="s">
        <v>2031</v>
      </c>
      <c r="B680" s="15" t="str">
        <f>[1]CK!B707</f>
        <v>BBA230490</v>
      </c>
      <c r="C680" s="15" t="str">
        <f>[1]CK!C707</f>
        <v>PHẠM QUANG VINH</v>
      </c>
      <c r="D680" s="15">
        <f t="shared" ref="D680:D711" si="7">COUNTIF($B$2:$B$845,B680)</f>
        <v>1</v>
      </c>
      <c r="E680" s="16" t="str">
        <f>[1]CK!I707</f>
        <v>29/08/2023</v>
      </c>
      <c r="F680" s="15">
        <f>[1]CK!F707</f>
        <v>16050400</v>
      </c>
      <c r="G680" s="15">
        <f>[1]CK!N707</f>
        <v>15120000</v>
      </c>
      <c r="H680" s="17">
        <f>[1]CK!O707</f>
        <v>250000</v>
      </c>
      <c r="I680" s="17">
        <f>[1]CK!P707</f>
        <v>680400</v>
      </c>
      <c r="J680" s="18" t="s">
        <v>8</v>
      </c>
    </row>
    <row r="681" spans="1:10" x14ac:dyDescent="0.2">
      <c r="A681" s="4" t="s">
        <v>2032</v>
      </c>
      <c r="B681" s="15" t="str">
        <f>[1]CK!B708</f>
        <v>BBA230139</v>
      </c>
      <c r="C681" s="15" t="str">
        <f>[1]CK!C708</f>
        <v>ĐÀO NGỌC HIỀN</v>
      </c>
      <c r="D681" s="15">
        <f t="shared" si="7"/>
        <v>1</v>
      </c>
      <c r="E681" s="16" t="str">
        <f>[1]CK!I708</f>
        <v>29/08/2023</v>
      </c>
      <c r="F681" s="15">
        <f>[1]CK!F708</f>
        <v>4330400</v>
      </c>
      <c r="G681" s="15">
        <f>[1]CK!N708</f>
        <v>3400000</v>
      </c>
      <c r="H681" s="17">
        <f>[1]CK!O708</f>
        <v>250000</v>
      </c>
      <c r="I681" s="17">
        <f>[1]CK!P708</f>
        <v>680400</v>
      </c>
      <c r="J681" s="18" t="s">
        <v>8</v>
      </c>
    </row>
    <row r="682" spans="1:10" x14ac:dyDescent="0.2">
      <c r="A682" s="4" t="s">
        <v>2033</v>
      </c>
      <c r="B682" s="15" t="str">
        <f>[1]CK!B709</f>
        <v>BIT230329</v>
      </c>
      <c r="C682" s="15" t="str">
        <f>[1]CK!C709</f>
        <v>NGUYỄN HOÀNG PHƯƠNG</v>
      </c>
      <c r="D682" s="15">
        <f t="shared" si="7"/>
        <v>1</v>
      </c>
      <c r="E682" s="16" t="str">
        <f>[1]CK!I709</f>
        <v>29/08/2023</v>
      </c>
      <c r="F682" s="15">
        <f>[1]CK!F709</f>
        <v>8670400</v>
      </c>
      <c r="G682" s="15">
        <f>[1]CK!N709</f>
        <v>7740000</v>
      </c>
      <c r="H682" s="17">
        <f>[1]CK!O709</f>
        <v>250000</v>
      </c>
      <c r="I682" s="17">
        <f>[1]CK!P709</f>
        <v>680400</v>
      </c>
      <c r="J682" s="18" t="s">
        <v>8</v>
      </c>
    </row>
    <row r="683" spans="1:10" x14ac:dyDescent="0.2">
      <c r="A683" s="4" t="s">
        <v>2034</v>
      </c>
      <c r="B683" s="15" t="str">
        <f>[1]CK!B710</f>
        <v>BBA230352</v>
      </c>
      <c r="C683" s="15" t="str">
        <f>[1]CK!C710</f>
        <v>NGHIÊM XUÂN PHƯƠNG</v>
      </c>
      <c r="D683" s="15">
        <f t="shared" si="7"/>
        <v>1</v>
      </c>
      <c r="E683" s="16" t="str">
        <f>[1]CK!I710</f>
        <v>29/08/2023</v>
      </c>
      <c r="F683" s="15">
        <f>[1]CK!F710</f>
        <v>9370400</v>
      </c>
      <c r="G683" s="15">
        <f>[1]CK!N710</f>
        <v>8440000</v>
      </c>
      <c r="H683" s="17">
        <f>[1]CK!O710</f>
        <v>250000</v>
      </c>
      <c r="I683" s="17">
        <f>[1]CK!P710</f>
        <v>680400</v>
      </c>
      <c r="J683" s="18" t="s">
        <v>8</v>
      </c>
    </row>
    <row r="684" spans="1:10" x14ac:dyDescent="0.2">
      <c r="A684" s="4" t="s">
        <v>2035</v>
      </c>
      <c r="B684" s="15" t="str">
        <f>[1]CK!B711</f>
        <v>BBA230126</v>
      </c>
      <c r="C684" s="15" t="str">
        <f>[1]CK!C711</f>
        <v>NGUYỄN HƯƠNG GIANG</v>
      </c>
      <c r="D684" s="15">
        <f t="shared" si="7"/>
        <v>1</v>
      </c>
      <c r="E684" s="16" t="str">
        <f>[1]CK!I711</f>
        <v>29/08/2023</v>
      </c>
      <c r="F684" s="15">
        <f>[1]CK!F711</f>
        <v>7690400</v>
      </c>
      <c r="G684" s="15">
        <f>[1]CK!N711</f>
        <v>6760000</v>
      </c>
      <c r="H684" s="17">
        <f>[1]CK!O711</f>
        <v>250000</v>
      </c>
      <c r="I684" s="17">
        <f>[1]CK!P711</f>
        <v>680400</v>
      </c>
      <c r="J684" s="18" t="s">
        <v>8</v>
      </c>
    </row>
    <row r="685" spans="1:10" x14ac:dyDescent="0.2">
      <c r="A685" s="4" t="s">
        <v>2036</v>
      </c>
      <c r="B685" s="15" t="str">
        <f>[1]CK!B713</f>
        <v>BGD230133</v>
      </c>
      <c r="C685" s="15" t="str">
        <f>[1]CK!C713</f>
        <v>HOÀNG TRẦN KHÁNH LY</v>
      </c>
      <c r="D685" s="15">
        <f t="shared" si="7"/>
        <v>1</v>
      </c>
      <c r="E685" s="16" t="str">
        <f>[1]CK!I713</f>
        <v>29/08/2023</v>
      </c>
      <c r="F685" s="15">
        <f>[1]CK!F713</f>
        <v>550400</v>
      </c>
      <c r="G685" s="15">
        <f>[1]CK!N713</f>
        <v>0</v>
      </c>
      <c r="H685" s="17">
        <f>[1]CK!O713</f>
        <v>250000</v>
      </c>
      <c r="I685" s="17">
        <f>[1]CK!P713</f>
        <v>300400</v>
      </c>
      <c r="J685" s="18" t="s">
        <v>8</v>
      </c>
    </row>
    <row r="686" spans="1:10" x14ac:dyDescent="0.2">
      <c r="A686" s="4" t="s">
        <v>2037</v>
      </c>
      <c r="B686" s="15" t="str">
        <f>[1]CK!B714</f>
        <v>BBA230399</v>
      </c>
      <c r="C686" s="15" t="str">
        <f>[1]CK!C714</f>
        <v>BÙI CAO THÀNH</v>
      </c>
      <c r="D686" s="15">
        <f t="shared" si="7"/>
        <v>1</v>
      </c>
      <c r="E686" s="16" t="str">
        <f>[1]CK!I714</f>
        <v>29/08/2023</v>
      </c>
      <c r="F686" s="15">
        <f>[1]CK!F714</f>
        <v>9370400</v>
      </c>
      <c r="G686" s="15">
        <f>[1]CK!N714</f>
        <v>8440000</v>
      </c>
      <c r="H686" s="17">
        <f>[1]CK!O714</f>
        <v>250000</v>
      </c>
      <c r="I686" s="17">
        <f>[1]CK!P714</f>
        <v>680400</v>
      </c>
      <c r="J686" s="18" t="s">
        <v>8</v>
      </c>
    </row>
    <row r="687" spans="1:10" x14ac:dyDescent="0.2">
      <c r="A687" s="4" t="s">
        <v>2038</v>
      </c>
      <c r="B687" s="15" t="str">
        <f>[1]CK!B715</f>
        <v>BGD230028</v>
      </c>
      <c r="C687" s="15" t="str">
        <f>[1]CK!C715</f>
        <v>ĐỒNG THỊ HẢI BÌNH</v>
      </c>
      <c r="D687" s="15">
        <f t="shared" si="7"/>
        <v>2</v>
      </c>
      <c r="E687" s="16" t="str">
        <f>[1]CK!I715</f>
        <v>29/08/2023</v>
      </c>
      <c r="F687" s="15">
        <f>[1]CK!F715</f>
        <v>550400</v>
      </c>
      <c r="G687" s="15">
        <f>[1]CK!N715</f>
        <v>0</v>
      </c>
      <c r="H687" s="17">
        <f>[1]CK!O715</f>
        <v>250000</v>
      </c>
      <c r="I687" s="17">
        <f>[1]CK!P715</f>
        <v>300400</v>
      </c>
      <c r="J687" s="18" t="s">
        <v>8</v>
      </c>
    </row>
    <row r="688" spans="1:10" x14ac:dyDescent="0.2">
      <c r="A688" s="4" t="s">
        <v>2039</v>
      </c>
      <c r="B688" s="15" t="str">
        <f>[1]CK!B716</f>
        <v>BBA230358</v>
      </c>
      <c r="C688" s="15" t="str">
        <f>[1]CK!C716</f>
        <v>TRẦN THỊ PHƯƠNG</v>
      </c>
      <c r="D688" s="15">
        <f t="shared" si="7"/>
        <v>1</v>
      </c>
      <c r="E688" s="16" t="str">
        <f>[1]CK!I716</f>
        <v>30/08/2023</v>
      </c>
      <c r="F688" s="15">
        <f>[1]CK!F716</f>
        <v>7690400</v>
      </c>
      <c r="G688" s="15">
        <f>[1]CK!N716</f>
        <v>6760000</v>
      </c>
      <c r="H688" s="17">
        <f>[1]CK!O716</f>
        <v>250000</v>
      </c>
      <c r="I688" s="17">
        <f>[1]CK!P716</f>
        <v>680400</v>
      </c>
      <c r="J688" s="18" t="s">
        <v>8</v>
      </c>
    </row>
    <row r="689" spans="1:10" x14ac:dyDescent="0.2">
      <c r="A689" s="4" t="s">
        <v>2040</v>
      </c>
      <c r="B689" s="15" t="str">
        <f>[1]CK!B717</f>
        <v>BBA230053</v>
      </c>
      <c r="C689" s="15" t="str">
        <f>[1]CK!C717</f>
        <v>TRẦN THỊ MINH ÁNH</v>
      </c>
      <c r="D689" s="15">
        <f t="shared" si="7"/>
        <v>1</v>
      </c>
      <c r="E689" s="16" t="str">
        <f>[1]CK!I717</f>
        <v>30/08/2023</v>
      </c>
      <c r="F689" s="15">
        <f>[1]CK!F717</f>
        <v>7690400</v>
      </c>
      <c r="G689" s="15">
        <f>[1]CK!N717</f>
        <v>6760000</v>
      </c>
      <c r="H689" s="17">
        <f>[1]CK!O717</f>
        <v>250000</v>
      </c>
      <c r="I689" s="17">
        <f>[1]CK!P717</f>
        <v>680400</v>
      </c>
      <c r="J689" s="18" t="s">
        <v>8</v>
      </c>
    </row>
    <row r="690" spans="1:10" x14ac:dyDescent="0.2">
      <c r="A690" s="4" t="s">
        <v>2041</v>
      </c>
      <c r="B690" s="15" t="str">
        <f>[1]CK!B718</f>
        <v>BBA230261</v>
      </c>
      <c r="C690" s="15" t="str">
        <f>[1]CK!C718</f>
        <v>PHẠM HÀ LY</v>
      </c>
      <c r="D690" s="15">
        <f t="shared" si="7"/>
        <v>1</v>
      </c>
      <c r="E690" s="16" t="str">
        <f>[1]CK!I718</f>
        <v>30/08/2023</v>
      </c>
      <c r="F690" s="15">
        <f>[1]CK!F718</f>
        <v>4330400</v>
      </c>
      <c r="G690" s="15">
        <f>[1]CK!N718</f>
        <v>3400000</v>
      </c>
      <c r="H690" s="17">
        <f>[1]CK!O718</f>
        <v>250000</v>
      </c>
      <c r="I690" s="17">
        <f>[1]CK!P718</f>
        <v>680400</v>
      </c>
      <c r="J690" s="18" t="s">
        <v>8</v>
      </c>
    </row>
    <row r="691" spans="1:10" x14ac:dyDescent="0.2">
      <c r="A691" s="4" t="s">
        <v>2042</v>
      </c>
      <c r="B691" s="15" t="str">
        <f>[1]CK!B719</f>
        <v>BBA230423</v>
      </c>
      <c r="C691" s="15" t="str">
        <f>[1]CK!C719</f>
        <v>BÙI THỊ ANH THƯ</v>
      </c>
      <c r="D691" s="15">
        <f t="shared" si="7"/>
        <v>3</v>
      </c>
      <c r="E691" s="16" t="str">
        <f>[1]CK!I719</f>
        <v>30/08/2023</v>
      </c>
      <c r="F691" s="15">
        <f>[1]CK!F719</f>
        <v>1000</v>
      </c>
      <c r="G691" s="15">
        <f>[1]CK!N719</f>
        <v>1000</v>
      </c>
      <c r="H691" s="17">
        <f>[1]CK!O719</f>
        <v>0</v>
      </c>
      <c r="I691" s="17">
        <f>[1]CK!P719</f>
        <v>0</v>
      </c>
      <c r="J691" s="18" t="s">
        <v>8</v>
      </c>
    </row>
    <row r="692" spans="1:10" x14ac:dyDescent="0.2">
      <c r="A692" s="4" t="s">
        <v>2043</v>
      </c>
      <c r="B692" s="15" t="str">
        <f>[1]CK!B720</f>
        <v>Bba230448</v>
      </c>
      <c r="C692" s="15" t="str">
        <f>[1]CK!C720</f>
        <v>TRẦN HUYỀN TRANG</v>
      </c>
      <c r="D692" s="15">
        <f t="shared" si="7"/>
        <v>1</v>
      </c>
      <c r="E692" s="16" t="str">
        <f>[1]CK!I720</f>
        <v>30/08/2023</v>
      </c>
      <c r="F692" s="15">
        <f>[1]CK!F720</f>
        <v>16050400</v>
      </c>
      <c r="G692" s="15">
        <f>[1]CK!N720</f>
        <v>15120000</v>
      </c>
      <c r="H692" s="17">
        <f>[1]CK!O720</f>
        <v>250000</v>
      </c>
      <c r="I692" s="17">
        <f>[1]CK!P720</f>
        <v>680400</v>
      </c>
      <c r="J692" s="18" t="s">
        <v>8</v>
      </c>
    </row>
    <row r="693" spans="1:10" x14ac:dyDescent="0.2">
      <c r="A693" s="4" t="s">
        <v>2044</v>
      </c>
      <c r="B693" s="15" t="str">
        <f>[1]CK!B721</f>
        <v>BBA230460</v>
      </c>
      <c r="C693" s="15" t="str">
        <f>[1]CK!C721</f>
        <v>NGUYỄN QUANG TRƯỜNG</v>
      </c>
      <c r="D693" s="15">
        <f t="shared" si="7"/>
        <v>1</v>
      </c>
      <c r="E693" s="16" t="str">
        <f>[1]CK!I721</f>
        <v>30/08/2023</v>
      </c>
      <c r="F693" s="15">
        <f>[1]CK!F721</f>
        <v>16050400</v>
      </c>
      <c r="G693" s="15">
        <f>[1]CK!N721</f>
        <v>15120000</v>
      </c>
      <c r="H693" s="17">
        <f>[1]CK!O721</f>
        <v>250000</v>
      </c>
      <c r="I693" s="17">
        <f>[1]CK!P721</f>
        <v>680400</v>
      </c>
      <c r="J693" s="18" t="s">
        <v>8</v>
      </c>
    </row>
    <row r="694" spans="1:10" x14ac:dyDescent="0.2">
      <c r="A694" s="4" t="s">
        <v>2045</v>
      </c>
      <c r="B694" s="15" t="str">
        <f>[1]CK!B722</f>
        <v>BIT230472</v>
      </c>
      <c r="C694" s="15" t="str">
        <f>[1]CK!C722</f>
        <v>TRẦN VIỆT ANH</v>
      </c>
      <c r="D694" s="15">
        <f t="shared" si="7"/>
        <v>1</v>
      </c>
      <c r="E694" s="16" t="str">
        <f>[1]CK!I722</f>
        <v>30/08/2023</v>
      </c>
      <c r="F694" s="15">
        <f>[1]CK!F722</f>
        <v>19130400</v>
      </c>
      <c r="G694" s="15">
        <f>[1]CK!N722</f>
        <v>18200000</v>
      </c>
      <c r="H694" s="17">
        <f>[1]CK!O722</f>
        <v>250000</v>
      </c>
      <c r="I694" s="17">
        <f>[1]CK!P722</f>
        <v>680400</v>
      </c>
      <c r="J694" s="18" t="s">
        <v>8</v>
      </c>
    </row>
    <row r="695" spans="1:10" x14ac:dyDescent="0.2">
      <c r="A695" s="4" t="s">
        <v>2046</v>
      </c>
      <c r="B695" s="15" t="str">
        <f>[1]CK!B723</f>
        <v>bba230155</v>
      </c>
      <c r="C695" s="15" t="str">
        <f>[1]CK!C723</f>
        <v>LƯU MINH HOÀNG</v>
      </c>
      <c r="D695" s="15">
        <f t="shared" si="7"/>
        <v>1</v>
      </c>
      <c r="E695" s="16" t="str">
        <f>[1]CK!I723</f>
        <v>30/08/2023</v>
      </c>
      <c r="F695" s="15">
        <f>[1]CK!F723</f>
        <v>14370400</v>
      </c>
      <c r="G695" s="15">
        <f>[1]CK!N723</f>
        <v>13440000</v>
      </c>
      <c r="H695" s="17">
        <f>[1]CK!O723</f>
        <v>250000</v>
      </c>
      <c r="I695" s="17">
        <f>[1]CK!P723</f>
        <v>680400</v>
      </c>
      <c r="J695" s="18" t="s">
        <v>8</v>
      </c>
    </row>
    <row r="696" spans="1:10" x14ac:dyDescent="0.2">
      <c r="A696" s="4" t="s">
        <v>2047</v>
      </c>
      <c r="B696" s="15" t="str">
        <f>[1]CK!B724</f>
        <v>BBA230197</v>
      </c>
      <c r="C696" s="15" t="str">
        <f>[1]CK!C724</f>
        <v>ĐÀO THỊ NGỌC KHÁNH</v>
      </c>
      <c r="D696" s="15">
        <f t="shared" si="7"/>
        <v>2</v>
      </c>
      <c r="E696" s="16" t="str">
        <f>[1]CK!I724</f>
        <v>30/08/2023</v>
      </c>
      <c r="F696" s="15">
        <f>[1]CK!F724</f>
        <v>9370400</v>
      </c>
      <c r="G696" s="15">
        <f>[1]CK!N724</f>
        <v>8440000</v>
      </c>
      <c r="H696" s="17">
        <f>[1]CK!O724</f>
        <v>250000</v>
      </c>
      <c r="I696" s="17">
        <f>[1]CK!P724</f>
        <v>680400</v>
      </c>
      <c r="J696" s="18" t="s">
        <v>8</v>
      </c>
    </row>
    <row r="697" spans="1:10" x14ac:dyDescent="0.2">
      <c r="A697" s="4" t="s">
        <v>2048</v>
      </c>
      <c r="B697" s="15" t="str">
        <f>[1]CK!B725</f>
        <v>BBA230476</v>
      </c>
      <c r="C697" s="15" t="str">
        <f>[1]CK!C725</f>
        <v>ĐỖ PHẠM THANH TÙNG</v>
      </c>
      <c r="D697" s="15">
        <f t="shared" si="7"/>
        <v>1</v>
      </c>
      <c r="E697" s="16" t="str">
        <f>[1]CK!I725</f>
        <v>30/08/2023</v>
      </c>
      <c r="F697" s="15">
        <f>[1]CK!F725</f>
        <v>14370400</v>
      </c>
      <c r="G697" s="15">
        <f>[1]CK!N725</f>
        <v>13440000</v>
      </c>
      <c r="H697" s="17">
        <f>[1]CK!O725</f>
        <v>250000</v>
      </c>
      <c r="I697" s="17">
        <f>[1]CK!P725</f>
        <v>680400</v>
      </c>
      <c r="J697" s="18" t="s">
        <v>8</v>
      </c>
    </row>
    <row r="698" spans="1:10" x14ac:dyDescent="0.2">
      <c r="A698" s="4" t="s">
        <v>2049</v>
      </c>
      <c r="B698" s="15" t="str">
        <f>[1]CK!B726</f>
        <v>BBA230009</v>
      </c>
      <c r="C698" s="15" t="str">
        <f>[1]CK!C726</f>
        <v>ĐỖ QUANG TRƯỜNG ANH</v>
      </c>
      <c r="D698" s="15">
        <f t="shared" si="7"/>
        <v>1</v>
      </c>
      <c r="E698" s="16" t="str">
        <f>[1]CK!I726</f>
        <v>30/08/2023</v>
      </c>
      <c r="F698" s="15">
        <f>[1]CK!F726</f>
        <v>9330400</v>
      </c>
      <c r="G698" s="15">
        <f>[1]CK!N726</f>
        <v>8400000</v>
      </c>
      <c r="H698" s="17">
        <f>[1]CK!O726</f>
        <v>250000</v>
      </c>
      <c r="I698" s="17">
        <f>[1]CK!P726</f>
        <v>680400</v>
      </c>
      <c r="J698" s="18" t="s">
        <v>8</v>
      </c>
    </row>
    <row r="699" spans="1:10" x14ac:dyDescent="0.2">
      <c r="A699" s="4" t="s">
        <v>1902</v>
      </c>
      <c r="B699" s="15" t="str">
        <f>[1]CK!B727</f>
        <v>BBA230520</v>
      </c>
      <c r="C699" s="15" t="str">
        <f>[1]CK!C727</f>
        <v>NGUYỄN THÙY TRANG</v>
      </c>
      <c r="D699" s="15">
        <f t="shared" si="7"/>
        <v>1</v>
      </c>
      <c r="E699" s="16" t="str">
        <f>[1]CK!I727</f>
        <v>30/08/2023</v>
      </c>
      <c r="F699" s="15">
        <f>[1]CK!F727</f>
        <v>17730400</v>
      </c>
      <c r="G699" s="15">
        <f>[1]CK!N727</f>
        <v>16800000</v>
      </c>
      <c r="H699" s="17">
        <f>[1]CK!O727</f>
        <v>250000</v>
      </c>
      <c r="I699" s="17">
        <f>[1]CK!P727</f>
        <v>680400</v>
      </c>
      <c r="J699" s="18" t="s">
        <v>8</v>
      </c>
    </row>
    <row r="700" spans="1:10" x14ac:dyDescent="0.2">
      <c r="A700" s="4" t="s">
        <v>1903</v>
      </c>
      <c r="B700" s="15" t="str">
        <f>[1]CK!B728</f>
        <v>Bit230374</v>
      </c>
      <c r="C700" s="15" t="str">
        <f>[1]CK!C728</f>
        <v>TỪ VIỆT THÁI</v>
      </c>
      <c r="D700" s="15">
        <f t="shared" si="7"/>
        <v>1</v>
      </c>
      <c r="E700" s="16" t="str">
        <f>[1]CK!I728</f>
        <v>30/08/2023</v>
      </c>
      <c r="F700" s="15">
        <f>[1]CK!F728</f>
        <v>10490400</v>
      </c>
      <c r="G700" s="15">
        <f>[1]CK!N728</f>
        <v>9560000</v>
      </c>
      <c r="H700" s="17">
        <f>[1]CK!O728</f>
        <v>250000</v>
      </c>
      <c r="I700" s="17">
        <f>[1]CK!P728</f>
        <v>680400</v>
      </c>
      <c r="J700" s="18" t="s">
        <v>8</v>
      </c>
    </row>
    <row r="701" spans="1:10" x14ac:dyDescent="0.2">
      <c r="A701" s="4" t="s">
        <v>1904</v>
      </c>
      <c r="B701" s="15" t="str">
        <f>[1]CK!B729</f>
        <v>BBA230437</v>
      </c>
      <c r="C701" s="15" t="str">
        <f>[1]CK!C729</f>
        <v>DƯƠNG KHÁNH TOÀN</v>
      </c>
      <c r="D701" s="15">
        <f t="shared" si="7"/>
        <v>1</v>
      </c>
      <c r="E701" s="16" t="str">
        <f>[1]CK!I729</f>
        <v>30/08/2023</v>
      </c>
      <c r="F701" s="15">
        <f>[1]CK!F729</f>
        <v>930000</v>
      </c>
      <c r="G701" s="15">
        <f>[1]CK!N729</f>
        <v>0</v>
      </c>
      <c r="H701" s="17">
        <f>[1]CK!O729</f>
        <v>250000</v>
      </c>
      <c r="I701" s="17">
        <f>[1]CK!P729</f>
        <v>680000</v>
      </c>
      <c r="J701" s="18" t="s">
        <v>8</v>
      </c>
    </row>
    <row r="702" spans="1:10" x14ac:dyDescent="0.2">
      <c r="A702" s="4" t="s">
        <v>1905</v>
      </c>
      <c r="B702" s="15" t="str">
        <f>[1]CK!B730</f>
        <v>BBA230505</v>
      </c>
      <c r="C702" s="15" t="str">
        <f>[1]CK!C730</f>
        <v>NGUYỄN BÁ XUÂN</v>
      </c>
      <c r="D702" s="15">
        <f t="shared" si="7"/>
        <v>1</v>
      </c>
      <c r="E702" s="16" t="str">
        <f>[1]CK!I730</f>
        <v>30/08/2023</v>
      </c>
      <c r="F702" s="15">
        <f>[1]CK!F730</f>
        <v>7690400</v>
      </c>
      <c r="G702" s="15">
        <f>[1]CK!N730</f>
        <v>6760000</v>
      </c>
      <c r="H702" s="17">
        <f>[1]CK!O730</f>
        <v>250000</v>
      </c>
      <c r="I702" s="17">
        <f>[1]CK!P730</f>
        <v>680400</v>
      </c>
      <c r="J702" s="18" t="s">
        <v>8</v>
      </c>
    </row>
    <row r="703" spans="1:10" x14ac:dyDescent="0.2">
      <c r="A703" s="4" t="s">
        <v>1906</v>
      </c>
      <c r="B703" s="15" t="str">
        <f>[1]CK!B731</f>
        <v>BBA230195</v>
      </c>
      <c r="C703" s="15" t="str">
        <f>[1]CK!C731</f>
        <v>NGUYỄN DUY KHÁNH</v>
      </c>
      <c r="D703" s="15">
        <f t="shared" si="7"/>
        <v>1</v>
      </c>
      <c r="E703" s="16" t="str">
        <f>[1]CK!I731</f>
        <v>30/08/2023</v>
      </c>
      <c r="F703" s="15">
        <f>[1]CK!F731</f>
        <v>12000000</v>
      </c>
      <c r="G703" s="15">
        <f>[1]CK!N731</f>
        <v>12000000</v>
      </c>
      <c r="H703" s="17">
        <f>[1]CK!O731</f>
        <v>0</v>
      </c>
      <c r="I703" s="17">
        <f>[1]CK!P731</f>
        <v>0</v>
      </c>
      <c r="J703" s="18" t="s">
        <v>8</v>
      </c>
    </row>
    <row r="704" spans="1:10" x14ac:dyDescent="0.2">
      <c r="A704" s="4" t="s">
        <v>1907</v>
      </c>
      <c r="B704" s="15" t="str">
        <f>[1]CK!B732</f>
        <v>BBA230300</v>
      </c>
      <c r="C704" s="15" t="str">
        <f>[1]CK!C732</f>
        <v>TRẦN ĐỨC NAM</v>
      </c>
      <c r="D704" s="15">
        <f t="shared" si="7"/>
        <v>1</v>
      </c>
      <c r="E704" s="16" t="str">
        <f>[1]CK!I732</f>
        <v>30/08/2023</v>
      </c>
      <c r="F704" s="15">
        <f>[1]CK!F732</f>
        <v>17730400</v>
      </c>
      <c r="G704" s="15">
        <f>[1]CK!N732</f>
        <v>16800000</v>
      </c>
      <c r="H704" s="17">
        <f>[1]CK!O732</f>
        <v>250000</v>
      </c>
      <c r="I704" s="17">
        <f>[1]CK!P732</f>
        <v>680400</v>
      </c>
      <c r="J704" s="18" t="s">
        <v>8</v>
      </c>
    </row>
    <row r="705" spans="1:10" x14ac:dyDescent="0.2">
      <c r="A705" s="4" t="s">
        <v>1908</v>
      </c>
      <c r="B705" s="15" t="str">
        <f>[1]CK!B733</f>
        <v>BBA230308</v>
      </c>
      <c r="C705" s="15" t="str">
        <f>[1]CK!C733</f>
        <v>NGUYỄN KIM NGÂN</v>
      </c>
      <c r="D705" s="15">
        <f t="shared" si="7"/>
        <v>1</v>
      </c>
      <c r="E705" s="16" t="str">
        <f>[1]CK!I733</f>
        <v>30/08/2023</v>
      </c>
      <c r="F705" s="15">
        <f>[1]CK!F733</f>
        <v>9370400</v>
      </c>
      <c r="G705" s="15">
        <f>[1]CK!N733</f>
        <v>8440000</v>
      </c>
      <c r="H705" s="17">
        <f>[1]CK!O733</f>
        <v>250000</v>
      </c>
      <c r="I705" s="17">
        <f>[1]CK!P733</f>
        <v>680400</v>
      </c>
      <c r="J705" s="18" t="s">
        <v>8</v>
      </c>
    </row>
    <row r="706" spans="1:10" x14ac:dyDescent="0.2">
      <c r="A706" s="4" t="s">
        <v>1909</v>
      </c>
      <c r="B706" s="15" t="str">
        <f>[1]CK!B734</f>
        <v>bba230353</v>
      </c>
      <c r="C706" s="15" t="str">
        <f>[1]CK!C734</f>
        <v>NGUYỄN MAI PHƯƠNG</v>
      </c>
      <c r="D706" s="15">
        <f t="shared" si="7"/>
        <v>1</v>
      </c>
      <c r="E706" s="16" t="str">
        <f>[1]CK!I734</f>
        <v>30/08/2023</v>
      </c>
      <c r="F706" s="15">
        <f>[1]CK!F734</f>
        <v>16050400</v>
      </c>
      <c r="G706" s="15">
        <f>[1]CK!N734</f>
        <v>15120000</v>
      </c>
      <c r="H706" s="17">
        <f>[1]CK!O734</f>
        <v>250000</v>
      </c>
      <c r="I706" s="17">
        <f>[1]CK!P734</f>
        <v>680400</v>
      </c>
      <c r="J706" s="18" t="s">
        <v>8</v>
      </c>
    </row>
    <row r="707" spans="1:10" x14ac:dyDescent="0.2">
      <c r="A707" s="4" t="s">
        <v>1910</v>
      </c>
      <c r="B707" s="15" t="str">
        <f>[1]CK!B735</f>
        <v>bba230421</v>
      </c>
      <c r="C707" s="15" t="str">
        <f>[1]CK!C735</f>
        <v>MẠC THỊ ANH THƯ</v>
      </c>
      <c r="D707" s="15">
        <f t="shared" si="7"/>
        <v>1</v>
      </c>
      <c r="E707" s="16" t="str">
        <f>[1]CK!I735</f>
        <v>30/08/2023</v>
      </c>
      <c r="F707" s="15">
        <f>[1]CK!F735</f>
        <v>14370400</v>
      </c>
      <c r="G707" s="15">
        <f>[1]CK!N735</f>
        <v>13440000</v>
      </c>
      <c r="H707" s="17">
        <f>[1]CK!O735</f>
        <v>250000</v>
      </c>
      <c r="I707" s="17">
        <f>[1]CK!P735</f>
        <v>680400</v>
      </c>
      <c r="J707" s="18" t="s">
        <v>8</v>
      </c>
    </row>
    <row r="708" spans="1:10" x14ac:dyDescent="0.2">
      <c r="A708" s="4" t="s">
        <v>1911</v>
      </c>
      <c r="B708" s="15" t="str">
        <f>[1]CK!B736</f>
        <v>bba230022</v>
      </c>
      <c r="C708" s="15" t="str">
        <f>[1]CK!C736</f>
        <v>NINH THỊ PHƯƠNG ANH</v>
      </c>
      <c r="D708" s="15">
        <f t="shared" si="7"/>
        <v>1</v>
      </c>
      <c r="E708" s="16" t="str">
        <f>[1]CK!I736</f>
        <v>30/08/2023</v>
      </c>
      <c r="F708" s="15">
        <f>[1]CK!F736</f>
        <v>4330400</v>
      </c>
      <c r="G708" s="15">
        <f>[1]CK!N736</f>
        <v>3400000</v>
      </c>
      <c r="H708" s="17">
        <f>[1]CK!O736</f>
        <v>250000</v>
      </c>
      <c r="I708" s="17">
        <f>[1]CK!P736</f>
        <v>680400</v>
      </c>
      <c r="J708" s="18" t="s">
        <v>8</v>
      </c>
    </row>
    <row r="709" spans="1:10" x14ac:dyDescent="0.2">
      <c r="A709" s="4" t="s">
        <v>1912</v>
      </c>
      <c r="B709" s="15" t="str">
        <f>[1]CK!B737</f>
        <v>bit230473</v>
      </c>
      <c r="C709" s="15" t="str">
        <f>[1]CK!C737</f>
        <v>CAO NGUYỄN MINH QUÂN</v>
      </c>
      <c r="D709" s="15">
        <f t="shared" si="7"/>
        <v>1</v>
      </c>
      <c r="E709" s="16" t="str">
        <f>[1]CK!I737</f>
        <v>30/08/2023</v>
      </c>
      <c r="F709" s="15">
        <f>[1]CK!F737</f>
        <v>12310400</v>
      </c>
      <c r="G709" s="15">
        <f>[1]CK!N737</f>
        <v>11380000</v>
      </c>
      <c r="H709" s="17">
        <f>[1]CK!O737</f>
        <v>250000</v>
      </c>
      <c r="I709" s="17">
        <f>[1]CK!P737</f>
        <v>680400</v>
      </c>
      <c r="J709" s="18" t="s">
        <v>8</v>
      </c>
    </row>
    <row r="710" spans="1:10" x14ac:dyDescent="0.2">
      <c r="A710" s="4" t="s">
        <v>1913</v>
      </c>
      <c r="B710" s="15" t="str">
        <f>[1]CK!B738</f>
        <v>BIT230089</v>
      </c>
      <c r="C710" s="15" t="str">
        <f>[1]CK!C738</f>
        <v>NGUYỄN KHẢ DIỆP</v>
      </c>
      <c r="D710" s="15">
        <f t="shared" si="7"/>
        <v>1</v>
      </c>
      <c r="E710" s="16" t="str">
        <f>[1]CK!I738</f>
        <v>30/08/2023</v>
      </c>
      <c r="F710" s="15">
        <f>[1]CK!F738</f>
        <v>17310400</v>
      </c>
      <c r="G710" s="15">
        <f>[1]CK!N738</f>
        <v>16380000</v>
      </c>
      <c r="H710" s="17">
        <f>[1]CK!O738</f>
        <v>250000</v>
      </c>
      <c r="I710" s="17">
        <f>[1]CK!P738</f>
        <v>680400</v>
      </c>
      <c r="J710" s="18" t="s">
        <v>8</v>
      </c>
    </row>
    <row r="711" spans="1:10" x14ac:dyDescent="0.2">
      <c r="A711" s="4" t="s">
        <v>2050</v>
      </c>
      <c r="B711" s="15" t="str">
        <f>[1]CK!B739</f>
        <v>BBA230519</v>
      </c>
      <c r="C711" s="15" t="str">
        <f>[1]CK!C739</f>
        <v>TRẦN THỊ THÙY LINH</v>
      </c>
      <c r="D711" s="15">
        <f t="shared" si="7"/>
        <v>1</v>
      </c>
      <c r="E711" s="16" t="str">
        <f>[1]CK!I739</f>
        <v>30/08/2023</v>
      </c>
      <c r="F711" s="15">
        <f>[1]CK!F739</f>
        <v>17730400</v>
      </c>
      <c r="G711" s="15">
        <f>[1]CK!N739</f>
        <v>16800000</v>
      </c>
      <c r="H711" s="17">
        <f>[1]CK!O739</f>
        <v>250000</v>
      </c>
      <c r="I711" s="17">
        <f>[1]CK!P739</f>
        <v>680400</v>
      </c>
      <c r="J711" s="18" t="s">
        <v>8</v>
      </c>
    </row>
    <row r="712" spans="1:10" x14ac:dyDescent="0.2">
      <c r="A712" s="4" t="s">
        <v>1914</v>
      </c>
      <c r="B712" s="15" t="str">
        <f>[1]CK!B740</f>
        <v>BBA230130</v>
      </c>
      <c r="C712" s="15" t="str">
        <f>[1]CK!C740</f>
        <v>NGUYỄN NGỌC HÀ</v>
      </c>
      <c r="D712" s="15">
        <f t="shared" ref="D712:D743" si="8">COUNTIF($B$2:$B$845,B712)</f>
        <v>1</v>
      </c>
      <c r="E712" s="16" t="str">
        <f>[1]CK!I740</f>
        <v>30/08/2023</v>
      </c>
      <c r="F712" s="15">
        <f>[1]CK!F740</f>
        <v>16050400</v>
      </c>
      <c r="G712" s="15">
        <f>[1]CK!N740</f>
        <v>15120000</v>
      </c>
      <c r="H712" s="17">
        <f>[1]CK!O740</f>
        <v>250000</v>
      </c>
      <c r="I712" s="17">
        <f>[1]CK!P740</f>
        <v>680400</v>
      </c>
      <c r="J712" s="18" t="s">
        <v>8</v>
      </c>
    </row>
    <row r="713" spans="1:10" x14ac:dyDescent="0.2">
      <c r="A713" s="4" t="s">
        <v>1915</v>
      </c>
      <c r="B713" s="15" t="str">
        <f>[1]CK!B741</f>
        <v>BGD230124</v>
      </c>
      <c r="C713" s="15" t="str">
        <f>[1]CK!C741</f>
        <v>ĐỖ HÀ LINH</v>
      </c>
      <c r="D713" s="15">
        <f t="shared" si="8"/>
        <v>1</v>
      </c>
      <c r="E713" s="16" t="str">
        <f>[1]CK!I741</f>
        <v>30/08/2023</v>
      </c>
      <c r="F713" s="15">
        <f>[1]CK!F741</f>
        <v>3630400</v>
      </c>
      <c r="G713" s="15">
        <f>[1]CK!N741</f>
        <v>2700000</v>
      </c>
      <c r="H713" s="17">
        <f>[1]CK!O741</f>
        <v>250000</v>
      </c>
      <c r="I713" s="17">
        <f>[1]CK!P741</f>
        <v>680400</v>
      </c>
      <c r="J713" s="18" t="s">
        <v>8</v>
      </c>
    </row>
    <row r="714" spans="1:10" x14ac:dyDescent="0.2">
      <c r="A714" s="4" t="s">
        <v>1916</v>
      </c>
      <c r="B714" s="15" t="str">
        <f>[1]CK!B742</f>
        <v>bba230344</v>
      </c>
      <c r="C714" s="15" t="str">
        <f>[1]CK!C742</f>
        <v>BÙI HUY PHÚC</v>
      </c>
      <c r="D714" s="15">
        <f t="shared" si="8"/>
        <v>1</v>
      </c>
      <c r="E714" s="16" t="str">
        <f>[1]CK!I742</f>
        <v>30/08/2023</v>
      </c>
      <c r="F714" s="15">
        <f>[1]CK!F742</f>
        <v>17730400</v>
      </c>
      <c r="G714" s="15">
        <f>[1]CK!N742</f>
        <v>16800000</v>
      </c>
      <c r="H714" s="17">
        <f>[1]CK!O742</f>
        <v>250000</v>
      </c>
      <c r="I714" s="17">
        <f>[1]CK!P742</f>
        <v>680400</v>
      </c>
      <c r="J714" s="18" t="s">
        <v>8</v>
      </c>
    </row>
    <row r="715" spans="1:10" x14ac:dyDescent="0.2">
      <c r="A715" s="4" t="s">
        <v>1917</v>
      </c>
      <c r="B715" s="15" t="str">
        <f>[1]CK!B743</f>
        <v>bba230272</v>
      </c>
      <c r="C715" s="15" t="str">
        <f>[1]CK!C743</f>
        <v>NGUYỄN THỊ NGỌC MAI</v>
      </c>
      <c r="D715" s="15">
        <f t="shared" si="8"/>
        <v>1</v>
      </c>
      <c r="E715" s="16" t="str">
        <f>[1]CK!I743</f>
        <v>30/08/2023</v>
      </c>
      <c r="F715" s="15">
        <f>[1]CK!F743</f>
        <v>14370400</v>
      </c>
      <c r="G715" s="15">
        <f>[1]CK!N743</f>
        <v>13440000</v>
      </c>
      <c r="H715" s="17">
        <f>[1]CK!O743</f>
        <v>250000</v>
      </c>
      <c r="I715" s="17">
        <f>[1]CK!P743</f>
        <v>680400</v>
      </c>
      <c r="J715" s="18" t="s">
        <v>8</v>
      </c>
    </row>
    <row r="716" spans="1:10" x14ac:dyDescent="0.2">
      <c r="A716" s="4" t="s">
        <v>1918</v>
      </c>
      <c r="B716" s="15" t="str">
        <f>[1]CK!B744</f>
        <v>BGD230228</v>
      </c>
      <c r="C716" s="15" t="str">
        <f>[1]CK!C744</f>
        <v>ĐINH THÚY VÂN</v>
      </c>
      <c r="D716" s="15">
        <f t="shared" si="8"/>
        <v>1</v>
      </c>
      <c r="E716" s="16" t="str">
        <f>[1]CK!I744</f>
        <v>30/08/2023</v>
      </c>
      <c r="F716" s="15">
        <f>[1]CK!F744</f>
        <v>8250400</v>
      </c>
      <c r="G716" s="15">
        <f>[1]CK!N744</f>
        <v>7320000</v>
      </c>
      <c r="H716" s="17">
        <f>[1]CK!O744</f>
        <v>250000</v>
      </c>
      <c r="I716" s="17">
        <f>[1]CK!P744</f>
        <v>680400</v>
      </c>
      <c r="J716" s="18" t="s">
        <v>8</v>
      </c>
    </row>
    <row r="717" spans="1:10" x14ac:dyDescent="0.2">
      <c r="A717" s="4" t="s">
        <v>2051</v>
      </c>
      <c r="B717" s="15" t="str">
        <f>[1]CK!B745</f>
        <v>BGD230122</v>
      </c>
      <c r="C717" s="15" t="str">
        <f>[1]CK!C745</f>
        <v>NGUYỄN THỊ QUỲNH LINH</v>
      </c>
      <c r="D717" s="15">
        <f t="shared" si="8"/>
        <v>1</v>
      </c>
      <c r="E717" s="16" t="str">
        <f>[1]CK!I745</f>
        <v>30/08/2023</v>
      </c>
      <c r="F717" s="15">
        <f>[1]CK!F745</f>
        <v>930400</v>
      </c>
      <c r="G717" s="15">
        <f>[1]CK!N745</f>
        <v>0</v>
      </c>
      <c r="H717" s="17">
        <f>[1]CK!O745</f>
        <v>250000</v>
      </c>
      <c r="I717" s="17">
        <f>[1]CK!P745</f>
        <v>680400</v>
      </c>
      <c r="J717" s="18" t="s">
        <v>8</v>
      </c>
    </row>
    <row r="718" spans="1:10" x14ac:dyDescent="0.2">
      <c r="A718" s="4" t="s">
        <v>1919</v>
      </c>
      <c r="B718" s="15" t="str">
        <f>[1]CK!B746</f>
        <v>BBA230206</v>
      </c>
      <c r="C718" s="15" t="str">
        <f>[1]CK!C746</f>
        <v>BÙI VÂN LAM</v>
      </c>
      <c r="D718" s="15">
        <f t="shared" si="8"/>
        <v>1</v>
      </c>
      <c r="E718" s="16" t="str">
        <f>[1]CK!I746</f>
        <v>30/08/2023</v>
      </c>
      <c r="F718" s="15">
        <f>[1]CK!F746</f>
        <v>2730400</v>
      </c>
      <c r="G718" s="15">
        <f>[1]CK!N746</f>
        <v>1800000</v>
      </c>
      <c r="H718" s="17">
        <f>[1]CK!O746</f>
        <v>250000</v>
      </c>
      <c r="I718" s="17">
        <f>[1]CK!P746</f>
        <v>680400</v>
      </c>
      <c r="J718" s="18" t="s">
        <v>8</v>
      </c>
    </row>
    <row r="719" spans="1:10" x14ac:dyDescent="0.2">
      <c r="A719" s="4" t="s">
        <v>1920</v>
      </c>
      <c r="B719" s="15" t="str">
        <f>[1]CK!B747</f>
        <v>BBA230217</v>
      </c>
      <c r="C719" s="15" t="str">
        <f>[1]CK!C747</f>
        <v>HOÀNG BÍCH LIÊN</v>
      </c>
      <c r="D719" s="15">
        <f t="shared" si="8"/>
        <v>1</v>
      </c>
      <c r="E719" s="16" t="str">
        <f>[1]CK!I747</f>
        <v>30/08/2023</v>
      </c>
      <c r="F719" s="15">
        <f>[1]CK!F747</f>
        <v>7690400</v>
      </c>
      <c r="G719" s="15">
        <f>[1]CK!N747</f>
        <v>6760000</v>
      </c>
      <c r="H719" s="17">
        <f>[1]CK!O747</f>
        <v>250000</v>
      </c>
      <c r="I719" s="17">
        <f>[1]CK!P747</f>
        <v>680400</v>
      </c>
      <c r="J719" s="18" t="s">
        <v>8</v>
      </c>
    </row>
    <row r="720" spans="1:10" x14ac:dyDescent="0.2">
      <c r="A720" s="4" t="s">
        <v>1921</v>
      </c>
      <c r="B720" s="15" t="str">
        <f>[1]CK!B748</f>
        <v>BBA230366</v>
      </c>
      <c r="C720" s="15" t="str">
        <f>[1]CK!C748</f>
        <v>NGUYỄN MINH QUÂN</v>
      </c>
      <c r="D720" s="15">
        <f t="shared" si="8"/>
        <v>1</v>
      </c>
      <c r="E720" s="16" t="str">
        <f>[1]CK!I748</f>
        <v>30/08/2023</v>
      </c>
      <c r="F720" s="15">
        <f>[1]CK!F748</f>
        <v>7690400</v>
      </c>
      <c r="G720" s="15">
        <f>[1]CK!N748</f>
        <v>6760000</v>
      </c>
      <c r="H720" s="17">
        <f>[1]CK!O748</f>
        <v>250000</v>
      </c>
      <c r="I720" s="17">
        <f>[1]CK!P748</f>
        <v>680400</v>
      </c>
      <c r="J720" s="18" t="s">
        <v>8</v>
      </c>
    </row>
    <row r="721" spans="1:10" x14ac:dyDescent="0.2">
      <c r="A721" s="4" t="s">
        <v>1922</v>
      </c>
      <c r="B721" s="15" t="str">
        <f>[1]CK!B749</f>
        <v>BBA230495</v>
      </c>
      <c r="C721" s="15" t="str">
        <f>[1]CK!C749</f>
        <v>TRẦN VĂN VŨ</v>
      </c>
      <c r="D721" s="15">
        <f t="shared" si="8"/>
        <v>1</v>
      </c>
      <c r="E721" s="16" t="str">
        <f>[1]CK!I749</f>
        <v>30/08/2023</v>
      </c>
      <c r="F721" s="15">
        <f>[1]CK!F749</f>
        <v>17730400</v>
      </c>
      <c r="G721" s="15">
        <f>[1]CK!N749</f>
        <v>16800000</v>
      </c>
      <c r="H721" s="17">
        <f>[1]CK!O749</f>
        <v>250000</v>
      </c>
      <c r="I721" s="17">
        <f>[1]CK!P749</f>
        <v>680400</v>
      </c>
      <c r="J721" s="18" t="s">
        <v>8</v>
      </c>
    </row>
    <row r="722" spans="1:10" x14ac:dyDescent="0.2">
      <c r="A722" s="4" t="s">
        <v>1923</v>
      </c>
      <c r="B722" s="15" t="str">
        <f>[1]CK!B750</f>
        <v>bba230121</v>
      </c>
      <c r="C722" s="15" t="str">
        <f>[1]CK!C750</f>
        <v>LÝ TRIỆU MỸ DUYÊN</v>
      </c>
      <c r="D722" s="15">
        <f t="shared" si="8"/>
        <v>1</v>
      </c>
      <c r="E722" s="16" t="str">
        <f>[1]CK!I750</f>
        <v>30/08/2023</v>
      </c>
      <c r="F722" s="15">
        <f>[1]CK!F750</f>
        <v>4330400</v>
      </c>
      <c r="G722" s="15">
        <f>[1]CK!N750</f>
        <v>3400000</v>
      </c>
      <c r="H722" s="17">
        <f>[1]CK!O750</f>
        <v>250000</v>
      </c>
      <c r="I722" s="17">
        <f>[1]CK!P750</f>
        <v>680400</v>
      </c>
      <c r="J722" s="18" t="s">
        <v>8</v>
      </c>
    </row>
    <row r="723" spans="1:10" x14ac:dyDescent="0.2">
      <c r="A723" s="4" t="s">
        <v>1924</v>
      </c>
      <c r="B723" s="15" t="str">
        <f>[1]CK!B751</f>
        <v>bba230038</v>
      </c>
      <c r="C723" s="15" t="str">
        <f>[1]CK!C751</f>
        <v>NGUYỄN HUYỀN ANH</v>
      </c>
      <c r="D723" s="15">
        <f t="shared" si="8"/>
        <v>1</v>
      </c>
      <c r="E723" s="16" t="str">
        <f>[1]CK!I751</f>
        <v>30/08/2023</v>
      </c>
      <c r="F723" s="15">
        <f>[1]CK!F751</f>
        <v>14370400</v>
      </c>
      <c r="G723" s="15">
        <f>[1]CK!N751</f>
        <v>13440000</v>
      </c>
      <c r="H723" s="17">
        <f>[1]CK!O751</f>
        <v>250000</v>
      </c>
      <c r="I723" s="17">
        <f>[1]CK!P751</f>
        <v>680400</v>
      </c>
      <c r="J723" s="18" t="s">
        <v>8</v>
      </c>
    </row>
    <row r="724" spans="1:10" x14ac:dyDescent="0.2">
      <c r="A724" s="4" t="s">
        <v>1925</v>
      </c>
      <c r="B724" s="15" t="str">
        <f>[1]CK!B752</f>
        <v>BBA230193</v>
      </c>
      <c r="C724" s="15" t="str">
        <f>[1]CK!C752</f>
        <v>NGUYỄN XUÂN TIẾN KHANG</v>
      </c>
      <c r="D724" s="15">
        <f t="shared" si="8"/>
        <v>1</v>
      </c>
      <c r="E724" s="16" t="str">
        <f>[1]CK!I752</f>
        <v>30/08/2023</v>
      </c>
      <c r="F724" s="15">
        <f>[1]CK!F752</f>
        <v>7690400</v>
      </c>
      <c r="G724" s="15">
        <f>[1]CK!N752</f>
        <v>6760000</v>
      </c>
      <c r="H724" s="17">
        <f>[1]CK!O752</f>
        <v>250000</v>
      </c>
      <c r="I724" s="17">
        <f>[1]CK!P752</f>
        <v>680400</v>
      </c>
      <c r="J724" s="18" t="s">
        <v>8</v>
      </c>
    </row>
    <row r="725" spans="1:10" x14ac:dyDescent="0.2">
      <c r="A725" s="4" t="s">
        <v>1926</v>
      </c>
      <c r="B725" s="15" t="str">
        <f>[1]CK!B753</f>
        <v>BBA230210</v>
      </c>
      <c r="C725" s="15" t="str">
        <f>[1]CK!C753</f>
        <v>NGUYỄN THỊ LAN</v>
      </c>
      <c r="D725" s="15">
        <f t="shared" si="8"/>
        <v>1</v>
      </c>
      <c r="E725" s="16" t="str">
        <f>[1]CK!I753</f>
        <v>30/08/2023</v>
      </c>
      <c r="F725" s="15">
        <f>[1]CK!F753</f>
        <v>16050400</v>
      </c>
      <c r="G725" s="15">
        <f>[1]CK!N753</f>
        <v>15120000</v>
      </c>
      <c r="H725" s="17">
        <f>[1]CK!O753</f>
        <v>250000</v>
      </c>
      <c r="I725" s="17">
        <f>[1]CK!P753</f>
        <v>680400</v>
      </c>
      <c r="J725" s="18" t="s">
        <v>8</v>
      </c>
    </row>
    <row r="726" spans="1:10" x14ac:dyDescent="0.2">
      <c r="A726" s="4" t="s">
        <v>1927</v>
      </c>
      <c r="B726" s="15" t="str">
        <f>[1]CK!B754</f>
        <v>bba230298</v>
      </c>
      <c r="C726" s="15" t="str">
        <f>[1]CK!C754</f>
        <v>NGÔ HẢI NAM</v>
      </c>
      <c r="D726" s="15">
        <f t="shared" si="8"/>
        <v>1</v>
      </c>
      <c r="E726" s="16" t="str">
        <f>[1]CK!I754</f>
        <v>30/08/2023</v>
      </c>
      <c r="F726" s="15">
        <f>[1]CK!F754</f>
        <v>14370400</v>
      </c>
      <c r="G726" s="15">
        <f>[1]CK!N754</f>
        <v>13440000</v>
      </c>
      <c r="H726" s="17">
        <f>[1]CK!O754</f>
        <v>250000</v>
      </c>
      <c r="I726" s="17">
        <f>[1]CK!P754</f>
        <v>680400</v>
      </c>
      <c r="J726" s="18" t="s">
        <v>8</v>
      </c>
    </row>
    <row r="727" spans="1:10" x14ac:dyDescent="0.2">
      <c r="A727" s="4" t="s">
        <v>1928</v>
      </c>
      <c r="B727" s="15" t="str">
        <f>[1]CK!B755</f>
        <v>bba230174</v>
      </c>
      <c r="C727" s="15" t="str">
        <f>[1]CK!C755</f>
        <v>DƯƠNG THỊ MINH HƯỜNG</v>
      </c>
      <c r="D727" s="15">
        <f t="shared" si="8"/>
        <v>1</v>
      </c>
      <c r="E727" s="16" t="str">
        <f>[1]CK!I755</f>
        <v>30/08/2023</v>
      </c>
      <c r="F727" s="15">
        <f>[1]CK!F755</f>
        <v>7690400</v>
      </c>
      <c r="G727" s="15">
        <f>[1]CK!N755</f>
        <v>6760000</v>
      </c>
      <c r="H727" s="17">
        <f>[1]CK!O755</f>
        <v>250000</v>
      </c>
      <c r="I727" s="17">
        <f>[1]CK!P755</f>
        <v>680400</v>
      </c>
      <c r="J727" s="18" t="s">
        <v>8</v>
      </c>
    </row>
    <row r="728" spans="1:10" x14ac:dyDescent="0.2">
      <c r="A728" s="4" t="s">
        <v>1929</v>
      </c>
      <c r="B728" s="15" t="str">
        <f>[1]CK!B756</f>
        <v>BGD230210</v>
      </c>
      <c r="C728" s="15" t="str">
        <f>[1]CK!C756</f>
        <v>TRẦN THỊ HUYỀN TRANG</v>
      </c>
      <c r="D728" s="15">
        <f t="shared" si="8"/>
        <v>1</v>
      </c>
      <c r="E728" s="16" t="str">
        <f>[1]CK!I756</f>
        <v>30/08/2023</v>
      </c>
      <c r="F728" s="15">
        <f>[1]CK!F756</f>
        <v>3630400</v>
      </c>
      <c r="G728" s="15">
        <f>[1]CK!N756</f>
        <v>2700000</v>
      </c>
      <c r="H728" s="17">
        <f>[1]CK!O756</f>
        <v>250000</v>
      </c>
      <c r="I728" s="17">
        <f>[1]CK!P756</f>
        <v>680400</v>
      </c>
      <c r="J728" s="18" t="s">
        <v>8</v>
      </c>
    </row>
    <row r="729" spans="1:10" x14ac:dyDescent="0.2">
      <c r="A729" s="4" t="s">
        <v>1930</v>
      </c>
      <c r="B729" s="15" t="str">
        <f>[1]CK!B757</f>
        <v>BBA230320</v>
      </c>
      <c r="C729" s="15" t="str">
        <f>[1]CK!C757</f>
        <v>ĐÀO THỊ HỒNG NGỌC</v>
      </c>
      <c r="D729" s="15">
        <f t="shared" si="8"/>
        <v>1</v>
      </c>
      <c r="E729" s="16" t="str">
        <f>[1]CK!I757</f>
        <v>30/08/2023</v>
      </c>
      <c r="F729" s="15">
        <f>[1]CK!F757</f>
        <v>9370400</v>
      </c>
      <c r="G729" s="15">
        <f>[1]CK!N757</f>
        <v>8440000</v>
      </c>
      <c r="H729" s="17">
        <f>[1]CK!O757</f>
        <v>250000</v>
      </c>
      <c r="I729" s="17">
        <f>[1]CK!P757</f>
        <v>680400</v>
      </c>
      <c r="J729" s="18" t="s">
        <v>8</v>
      </c>
    </row>
    <row r="730" spans="1:10" x14ac:dyDescent="0.2">
      <c r="A730" s="4" t="s">
        <v>1931</v>
      </c>
      <c r="B730" s="15" t="str">
        <f>[1]CK!B758</f>
        <v>bba230507</v>
      </c>
      <c r="C730" s="15" t="str">
        <f>[1]CK!C758</f>
        <v>ĐÀO THỊ NHƯ Ý</v>
      </c>
      <c r="D730" s="15">
        <f t="shared" si="8"/>
        <v>1</v>
      </c>
      <c r="E730" s="16" t="str">
        <f>[1]CK!I758</f>
        <v>30/08/2023</v>
      </c>
      <c r="F730" s="15">
        <f>[1]CK!F758</f>
        <v>17730400</v>
      </c>
      <c r="G730" s="15">
        <f>[1]CK!N758</f>
        <v>16800000</v>
      </c>
      <c r="H730" s="17">
        <f>[1]CK!O758</f>
        <v>250000</v>
      </c>
      <c r="I730" s="17">
        <f>[1]CK!P758</f>
        <v>680400</v>
      </c>
      <c r="J730" s="18" t="s">
        <v>8</v>
      </c>
    </row>
    <row r="731" spans="1:10" x14ac:dyDescent="0.2">
      <c r="A731" s="4" t="s">
        <v>1932</v>
      </c>
      <c r="B731" s="15" t="str">
        <f>[1]CK!B759</f>
        <v>BBA230086</v>
      </c>
      <c r="C731" s="15" t="str">
        <f>[1]CK!C759</f>
        <v>LÊ DOÃN ĐẠT</v>
      </c>
      <c r="D731" s="15">
        <f t="shared" si="8"/>
        <v>1</v>
      </c>
      <c r="E731" s="16" t="str">
        <f>[1]CK!I759</f>
        <v>30/08/2023</v>
      </c>
      <c r="F731" s="15">
        <f>[1]CK!F759</f>
        <v>16050400</v>
      </c>
      <c r="G731" s="15">
        <f>[1]CK!N759</f>
        <v>15120000</v>
      </c>
      <c r="H731" s="17">
        <f>[1]CK!O759</f>
        <v>250000</v>
      </c>
      <c r="I731" s="17">
        <f>[1]CK!P759</f>
        <v>680400</v>
      </c>
      <c r="J731" s="18" t="s">
        <v>8</v>
      </c>
    </row>
    <row r="732" spans="1:10" x14ac:dyDescent="0.2">
      <c r="A732" s="4" t="s">
        <v>1933</v>
      </c>
      <c r="B732" s="15" t="str">
        <f>[1]CK!B760</f>
        <v>bba230253</v>
      </c>
      <c r="C732" s="15" t="str">
        <f>[1]CK!C760</f>
        <v>NGUYỄN THÀNH LONG</v>
      </c>
      <c r="D732" s="15">
        <f t="shared" si="8"/>
        <v>1</v>
      </c>
      <c r="E732" s="16" t="str">
        <f>[1]CK!I760</f>
        <v>30/08/2023</v>
      </c>
      <c r="F732" s="15">
        <f>[1]CK!F760</f>
        <v>17730400</v>
      </c>
      <c r="G732" s="15">
        <f>[1]CK!N760</f>
        <v>16800000</v>
      </c>
      <c r="H732" s="17">
        <f>[1]CK!O760</f>
        <v>250000</v>
      </c>
      <c r="I732" s="17">
        <f>[1]CK!P760</f>
        <v>680400</v>
      </c>
      <c r="J732" s="18" t="s">
        <v>8</v>
      </c>
    </row>
    <row r="733" spans="1:10" x14ac:dyDescent="0.2">
      <c r="A733" s="4" t="s">
        <v>1934</v>
      </c>
      <c r="B733" s="15" t="str">
        <f>[1]CK!B761</f>
        <v>BBA230216</v>
      </c>
      <c r="C733" s="15" t="str">
        <f>[1]CK!C761</f>
        <v>NGUYỄN THỊ THÙY LIÊN</v>
      </c>
      <c r="D733" s="15">
        <f t="shared" si="8"/>
        <v>1</v>
      </c>
      <c r="E733" s="16" t="str">
        <f>[1]CK!I761</f>
        <v>30/08/2023</v>
      </c>
      <c r="F733" s="15">
        <f>[1]CK!F761</f>
        <v>2000000</v>
      </c>
      <c r="G733" s="15">
        <f>[1]CK!N761</f>
        <v>2000000</v>
      </c>
      <c r="H733" s="17">
        <f>[1]CK!O761</f>
        <v>0</v>
      </c>
      <c r="I733" s="17">
        <f>[1]CK!P761</f>
        <v>0</v>
      </c>
      <c r="J733" s="18" t="s">
        <v>8</v>
      </c>
    </row>
    <row r="734" spans="1:10" x14ac:dyDescent="0.2">
      <c r="A734" s="4" t="s">
        <v>1935</v>
      </c>
      <c r="B734" s="15" t="str">
        <f>[1]CK!B762</f>
        <v>bba230170</v>
      </c>
      <c r="C734" s="15" t="str">
        <f>[1]CK!C762</f>
        <v>NGUYỄN QUANG HƯNG</v>
      </c>
      <c r="D734" s="15">
        <f t="shared" si="8"/>
        <v>1</v>
      </c>
      <c r="E734" s="16" t="str">
        <f>[1]CK!I762</f>
        <v>30/08/2023</v>
      </c>
      <c r="F734" s="15">
        <f>[1]CK!F762</f>
        <v>14370400</v>
      </c>
      <c r="G734" s="15">
        <f>[1]CK!N762</f>
        <v>13440000</v>
      </c>
      <c r="H734" s="17">
        <f>[1]CK!O762</f>
        <v>250000</v>
      </c>
      <c r="I734" s="17">
        <f>[1]CK!P762</f>
        <v>680400</v>
      </c>
      <c r="J734" s="18" t="s">
        <v>8</v>
      </c>
    </row>
    <row r="735" spans="1:10" x14ac:dyDescent="0.2">
      <c r="A735" s="4" t="s">
        <v>1936</v>
      </c>
      <c r="B735" s="15" t="str">
        <f>[1]CK!B763</f>
        <v>BIT230054</v>
      </c>
      <c r="C735" s="15" t="str">
        <f>[1]CK!C763</f>
        <v>TRỊNH GIA BẢO</v>
      </c>
      <c r="D735" s="15">
        <f t="shared" si="8"/>
        <v>1</v>
      </c>
      <c r="E735" s="16" t="str">
        <f>[1]CK!I763</f>
        <v>30/08/2023</v>
      </c>
      <c r="F735" s="15">
        <f>[1]CK!F763</f>
        <v>15490400</v>
      </c>
      <c r="G735" s="15">
        <f>[1]CK!N763</f>
        <v>14560000</v>
      </c>
      <c r="H735" s="17">
        <f>[1]CK!O763</f>
        <v>250000</v>
      </c>
      <c r="I735" s="17">
        <f>[1]CK!P763</f>
        <v>680400</v>
      </c>
      <c r="J735" s="18" t="s">
        <v>8</v>
      </c>
    </row>
    <row r="736" spans="1:10" x14ac:dyDescent="0.2">
      <c r="A736" s="4" t="s">
        <v>1937</v>
      </c>
      <c r="B736" s="15" t="str">
        <f>[1]CK!B764</f>
        <v>bba230432</v>
      </c>
      <c r="C736" s="15" t="str">
        <f>[1]CK!C764</f>
        <v>VŨ MINH TIẾN</v>
      </c>
      <c r="D736" s="15">
        <f t="shared" si="8"/>
        <v>1</v>
      </c>
      <c r="E736" s="16" t="str">
        <f>[1]CK!I764</f>
        <v>30/08/2023</v>
      </c>
      <c r="F736" s="15">
        <f>[1]CK!F764</f>
        <v>4330400</v>
      </c>
      <c r="G736" s="15">
        <f>[1]CK!N764</f>
        <v>3400000</v>
      </c>
      <c r="H736" s="17">
        <f>[1]CK!O764</f>
        <v>680400</v>
      </c>
      <c r="I736" s="17">
        <f>[1]CK!P764</f>
        <v>250000</v>
      </c>
      <c r="J736" s="18" t="s">
        <v>8</v>
      </c>
    </row>
    <row r="737" spans="1:10" x14ac:dyDescent="0.2">
      <c r="A737" s="4" t="s">
        <v>1938</v>
      </c>
      <c r="B737" s="15" t="str">
        <f>[1]CK!B765</f>
        <v>bba230288</v>
      </c>
      <c r="C737" s="15" t="str">
        <f>[1]CK!C765</f>
        <v>BÙI HOÀNG TUỆ MINH</v>
      </c>
      <c r="D737" s="15">
        <f t="shared" si="8"/>
        <v>1</v>
      </c>
      <c r="E737" s="16" t="str">
        <f>[1]CK!I765</f>
        <v>30/08/2023</v>
      </c>
      <c r="F737" s="15">
        <f>[1]CK!F765</f>
        <v>17730400</v>
      </c>
      <c r="G737" s="15">
        <f>[1]CK!N765</f>
        <v>16800000</v>
      </c>
      <c r="H737" s="17">
        <f>[1]CK!O765</f>
        <v>250000</v>
      </c>
      <c r="I737" s="17">
        <f>[1]CK!P765</f>
        <v>680400</v>
      </c>
      <c r="J737" s="18" t="s">
        <v>8</v>
      </c>
    </row>
    <row r="738" spans="1:10" x14ac:dyDescent="0.2">
      <c r="A738" s="4" t="s">
        <v>2052</v>
      </c>
      <c r="B738" s="15" t="str">
        <f>[1]CK!B766</f>
        <v>BBA230072</v>
      </c>
      <c r="C738" s="15" t="str">
        <f>[1]CK!C766</f>
        <v>NGUYỄN THỊ MINH CHÂU</v>
      </c>
      <c r="D738" s="15">
        <f t="shared" si="8"/>
        <v>1</v>
      </c>
      <c r="E738" s="16" t="str">
        <f>[1]CK!I766</f>
        <v>30/08/2023</v>
      </c>
      <c r="F738" s="15">
        <f>[1]CK!F766</f>
        <v>7690400</v>
      </c>
      <c r="G738" s="15">
        <f>[1]CK!N766</f>
        <v>6760000</v>
      </c>
      <c r="H738" s="17">
        <f>[1]CK!O766</f>
        <v>250000</v>
      </c>
      <c r="I738" s="17">
        <f>[1]CK!P766</f>
        <v>680400</v>
      </c>
      <c r="J738" s="18" t="s">
        <v>8</v>
      </c>
    </row>
    <row r="739" spans="1:10" x14ac:dyDescent="0.2">
      <c r="A739" s="4" t="s">
        <v>1939</v>
      </c>
      <c r="B739" s="15" t="str">
        <f>[1]CK!B767</f>
        <v>BBA230492</v>
      </c>
      <c r="C739" s="15" t="str">
        <f>[1]CK!C767</f>
        <v>NGUYỄN TUẤN VINH</v>
      </c>
      <c r="D739" s="15">
        <f t="shared" si="8"/>
        <v>1</v>
      </c>
      <c r="E739" s="16" t="str">
        <f>[1]CK!I767</f>
        <v>30/08/2023</v>
      </c>
      <c r="F739" s="15">
        <f>[1]CK!F767</f>
        <v>9370400</v>
      </c>
      <c r="G739" s="15">
        <f>[1]CK!N767</f>
        <v>8440000</v>
      </c>
      <c r="H739" s="17">
        <f>[1]CK!O767</f>
        <v>250000</v>
      </c>
      <c r="I739" s="17">
        <f>[1]CK!P767</f>
        <v>680400</v>
      </c>
      <c r="J739" s="18" t="s">
        <v>8</v>
      </c>
    </row>
    <row r="740" spans="1:10" x14ac:dyDescent="0.2">
      <c r="A740" s="4" t="s">
        <v>1940</v>
      </c>
      <c r="B740" s="15" t="str">
        <f>[1]CK!B768</f>
        <v>BBA230415</v>
      </c>
      <c r="C740" s="15" t="str">
        <f>[1]CK!C768</f>
        <v>HOÀNG XUÂN THIÊN</v>
      </c>
      <c r="D740" s="15">
        <f t="shared" si="8"/>
        <v>1</v>
      </c>
      <c r="E740" s="16" t="str">
        <f>[1]CK!I768</f>
        <v>30/08/2023</v>
      </c>
      <c r="F740" s="15">
        <f>[1]CK!F768</f>
        <v>14370400</v>
      </c>
      <c r="G740" s="15">
        <f>[1]CK!N768</f>
        <v>13440000</v>
      </c>
      <c r="H740" s="17">
        <f>[1]CK!O768</f>
        <v>250000</v>
      </c>
      <c r="I740" s="17">
        <f>[1]CK!P768</f>
        <v>680400</v>
      </c>
      <c r="J740" s="18" t="s">
        <v>8</v>
      </c>
    </row>
    <row r="741" spans="1:10" x14ac:dyDescent="0.2">
      <c r="A741" s="4" t="s">
        <v>1941</v>
      </c>
      <c r="B741" s="15" t="str">
        <f>[1]CK!B769</f>
        <v>BIT230471</v>
      </c>
      <c r="C741" s="15" t="str">
        <f>[1]CK!C769</f>
        <v>ĐỖ LÂM TRANG</v>
      </c>
      <c r="D741" s="15">
        <f t="shared" si="8"/>
        <v>1</v>
      </c>
      <c r="E741" s="16" t="str">
        <f>[1]CK!I769</f>
        <v>30/08/2023</v>
      </c>
      <c r="F741" s="15">
        <f>[1]CK!F769</f>
        <v>19130400</v>
      </c>
      <c r="G741" s="15">
        <f>[1]CK!N769</f>
        <v>18200000</v>
      </c>
      <c r="H741" s="17">
        <f>[1]CK!O769</f>
        <v>250000</v>
      </c>
      <c r="I741" s="17">
        <f>[1]CK!P769</f>
        <v>680400</v>
      </c>
      <c r="J741" s="18" t="s">
        <v>8</v>
      </c>
    </row>
    <row r="742" spans="1:10" x14ac:dyDescent="0.2">
      <c r="A742" s="4" t="s">
        <v>1942</v>
      </c>
      <c r="B742" s="15" t="str">
        <f>[1]CK!B770</f>
        <v>BJL230050</v>
      </c>
      <c r="C742" s="15" t="str">
        <f>[1]CK!C770</f>
        <v>PHAN THỊ HIẾU</v>
      </c>
      <c r="D742" s="15">
        <f t="shared" si="8"/>
        <v>1</v>
      </c>
      <c r="E742" s="16" t="str">
        <f>[1]CK!I770</f>
        <v>30/08/2023</v>
      </c>
      <c r="F742" s="15">
        <f>[1]CK!F770</f>
        <v>6710400</v>
      </c>
      <c r="G742" s="15">
        <f>[1]CK!N770</f>
        <v>5780000</v>
      </c>
      <c r="H742" s="17">
        <f>[1]CK!O770</f>
        <v>250000</v>
      </c>
      <c r="I742" s="17">
        <f>[1]CK!P770</f>
        <v>680400</v>
      </c>
      <c r="J742" s="18" t="s">
        <v>8</v>
      </c>
    </row>
    <row r="743" spans="1:10" x14ac:dyDescent="0.2">
      <c r="A743" s="4" t="s">
        <v>1943</v>
      </c>
      <c r="B743" s="15" t="str">
        <f>[1]CK!B771</f>
        <v>bba230328</v>
      </c>
      <c r="C743" s="15" t="str">
        <f>[1]CK!C771</f>
        <v>HOÀNG BẢO NHI</v>
      </c>
      <c r="D743" s="15">
        <f t="shared" si="8"/>
        <v>1</v>
      </c>
      <c r="E743" s="16" t="str">
        <f>[1]CK!I771</f>
        <v>30/08/2023</v>
      </c>
      <c r="F743" s="15">
        <f>[1]CK!F771</f>
        <v>9370400</v>
      </c>
      <c r="G743" s="15">
        <f>[1]CK!N771</f>
        <v>8440000</v>
      </c>
      <c r="H743" s="17">
        <f>[1]CK!O771</f>
        <v>250000</v>
      </c>
      <c r="I743" s="17">
        <f>[1]CK!P771</f>
        <v>680400</v>
      </c>
      <c r="J743" s="18" t="s">
        <v>8</v>
      </c>
    </row>
    <row r="744" spans="1:10" x14ac:dyDescent="0.2">
      <c r="A744" s="4" t="s">
        <v>1944</v>
      </c>
      <c r="B744" s="15" t="str">
        <f>[1]CK!B772</f>
        <v>Bba230470</v>
      </c>
      <c r="C744" s="15" t="str">
        <f>[1]CK!C772</f>
        <v>NGUYỄN ANH TUẤN</v>
      </c>
      <c r="D744" s="15">
        <f t="shared" ref="D744:D775" si="9">COUNTIF($B$2:$B$845,B744)</f>
        <v>1</v>
      </c>
      <c r="E744" s="16" t="str">
        <f>[1]CK!I772</f>
        <v>30/08/2023</v>
      </c>
      <c r="F744" s="15">
        <f>[1]CK!F772</f>
        <v>8000000</v>
      </c>
      <c r="G744" s="15">
        <f>[1]CK!N772</f>
        <v>8000000</v>
      </c>
      <c r="H744" s="17">
        <f>[1]CK!O772</f>
        <v>0</v>
      </c>
      <c r="I744" s="17">
        <f>[1]CK!P772</f>
        <v>0</v>
      </c>
      <c r="J744" s="18" t="s">
        <v>8</v>
      </c>
    </row>
    <row r="745" spans="1:10" x14ac:dyDescent="0.2">
      <c r="A745" s="4" t="s">
        <v>1945</v>
      </c>
      <c r="B745" s="15" t="str">
        <f>[1]CK!B773</f>
        <v>BBA230394</v>
      </c>
      <c r="C745" s="15" t="str">
        <f>[1]CK!C773</f>
        <v>NGUYỄN HUY THẮNG</v>
      </c>
      <c r="D745" s="15">
        <f t="shared" si="9"/>
        <v>1</v>
      </c>
      <c r="E745" s="16" t="str">
        <f>[1]CK!I773</f>
        <v>30/08/2023</v>
      </c>
      <c r="F745" s="15">
        <f>[1]CK!F773</f>
        <v>14370400</v>
      </c>
      <c r="G745" s="15">
        <f>[1]CK!N773</f>
        <v>13440000</v>
      </c>
      <c r="H745" s="17">
        <f>[1]CK!O773</f>
        <v>250000</v>
      </c>
      <c r="I745" s="17">
        <f>[1]CK!P773</f>
        <v>680400</v>
      </c>
      <c r="J745" s="18" t="s">
        <v>8</v>
      </c>
    </row>
    <row r="746" spans="1:10" x14ac:dyDescent="0.2">
      <c r="A746" s="4" t="s">
        <v>1946</v>
      </c>
      <c r="B746" s="15" t="str">
        <f>[1]CK!B774</f>
        <v>BBA230055</v>
      </c>
      <c r="C746" s="15" t="str">
        <f>[1]CK!C774</f>
        <v>ĐẶNG THỊ NGỌC ÁNH</v>
      </c>
      <c r="D746" s="15">
        <f t="shared" si="9"/>
        <v>1</v>
      </c>
      <c r="E746" s="16" t="str">
        <f>[1]CK!I774</f>
        <v>30/08/2023</v>
      </c>
      <c r="F746" s="15">
        <f>[1]CK!F774</f>
        <v>1730400</v>
      </c>
      <c r="G746" s="15">
        <f>[1]CK!N774</f>
        <v>800000</v>
      </c>
      <c r="H746" s="17">
        <f>[1]CK!O774</f>
        <v>250000</v>
      </c>
      <c r="I746" s="17">
        <f>[1]CK!P774</f>
        <v>680400</v>
      </c>
      <c r="J746" s="18" t="s">
        <v>8</v>
      </c>
    </row>
    <row r="747" spans="1:10" x14ac:dyDescent="0.2">
      <c r="A747" s="4" t="s">
        <v>1947</v>
      </c>
      <c r="B747" s="15" t="str">
        <f>[1]CK!B775</f>
        <v>BBA230383</v>
      </c>
      <c r="C747" s="15" t="str">
        <f>[1]CK!C775</f>
        <v>NGUYỄN NHƯ QUỲNH</v>
      </c>
      <c r="D747" s="15">
        <f t="shared" si="9"/>
        <v>1</v>
      </c>
      <c r="E747" s="16" t="str">
        <f>[1]CK!I775</f>
        <v>30/08/2023</v>
      </c>
      <c r="F747" s="15">
        <f>[1]CK!F775</f>
        <v>16054000</v>
      </c>
      <c r="G747" s="15">
        <f>[1]CK!N775</f>
        <v>15123600</v>
      </c>
      <c r="H747" s="17">
        <f>[1]CK!O775</f>
        <v>250000</v>
      </c>
      <c r="I747" s="17">
        <f>[1]CK!P775</f>
        <v>680400</v>
      </c>
      <c r="J747" s="18" t="s">
        <v>8</v>
      </c>
    </row>
    <row r="748" spans="1:10" x14ac:dyDescent="0.2">
      <c r="A748" s="4" t="s">
        <v>1948</v>
      </c>
      <c r="B748" s="15" t="str">
        <f>[1]CK!B776</f>
        <v>BBA230349</v>
      </c>
      <c r="C748" s="15" t="str">
        <f>[1]CK!C776</f>
        <v>NGUYỄN THỊ PHƯƠNG</v>
      </c>
      <c r="D748" s="15">
        <f t="shared" si="9"/>
        <v>1</v>
      </c>
      <c r="E748" s="16" t="str">
        <f>[1]CK!I776</f>
        <v>30/08/2023</v>
      </c>
      <c r="F748" s="15">
        <f>[1]CK!F776</f>
        <v>17730400</v>
      </c>
      <c r="G748" s="15">
        <f>[1]CK!N776</f>
        <v>16800000</v>
      </c>
      <c r="H748" s="17">
        <f>[1]CK!O776</f>
        <v>250000</v>
      </c>
      <c r="I748" s="17">
        <f>[1]CK!P776</f>
        <v>680400</v>
      </c>
      <c r="J748" s="18" t="s">
        <v>8</v>
      </c>
    </row>
    <row r="749" spans="1:10" x14ac:dyDescent="0.2">
      <c r="A749" s="4" t="s">
        <v>1949</v>
      </c>
      <c r="B749" s="15" t="str">
        <f>[1]CK!B777</f>
        <v>BBA230414</v>
      </c>
      <c r="C749" s="15" t="str">
        <f>[1]CK!C777</f>
        <v>NGUYỄN PHƯƠNG THẢO</v>
      </c>
      <c r="D749" s="15">
        <f t="shared" si="9"/>
        <v>1</v>
      </c>
      <c r="E749" s="16" t="str">
        <f>[1]CK!I777</f>
        <v>30/08/2023</v>
      </c>
      <c r="F749" s="15">
        <f>[1]CK!F777</f>
        <v>9370400</v>
      </c>
      <c r="G749" s="15">
        <f>[1]CK!N777</f>
        <v>8440000</v>
      </c>
      <c r="H749" s="17">
        <f>[1]CK!O777</f>
        <v>250000</v>
      </c>
      <c r="I749" s="17">
        <f>[1]CK!P777</f>
        <v>680400</v>
      </c>
      <c r="J749" s="18" t="s">
        <v>8</v>
      </c>
    </row>
    <row r="750" spans="1:10" x14ac:dyDescent="0.2">
      <c r="A750" s="4" t="s">
        <v>1950</v>
      </c>
      <c r="B750" s="15" t="str">
        <f>[1]CK!B778</f>
        <v>bba230165</v>
      </c>
      <c r="C750" s="15" t="str">
        <f>[1]CK!C778</f>
        <v>BÙI TUẤN HƯNG</v>
      </c>
      <c r="D750" s="15">
        <f t="shared" si="9"/>
        <v>1</v>
      </c>
      <c r="E750" s="16" t="str">
        <f>[1]CK!I778</f>
        <v>30/08/2023</v>
      </c>
      <c r="F750" s="15">
        <f>[1]CK!F778</f>
        <v>14370400</v>
      </c>
      <c r="G750" s="15">
        <f>[1]CK!N778</f>
        <v>13440000</v>
      </c>
      <c r="H750" s="17">
        <f>[1]CK!O778</f>
        <v>250000</v>
      </c>
      <c r="I750" s="17">
        <f>[1]CK!P778</f>
        <v>680400</v>
      </c>
      <c r="J750" s="18" t="s">
        <v>8</v>
      </c>
    </row>
    <row r="751" spans="1:10" x14ac:dyDescent="0.2">
      <c r="A751" s="4" t="s">
        <v>1951</v>
      </c>
      <c r="B751" s="15" t="str">
        <f>[1]CK!B779</f>
        <v>bkl230105</v>
      </c>
      <c r="C751" s="15" t="str">
        <f>[1]CK!C779</f>
        <v>TÔ THÙY LINH</v>
      </c>
      <c r="D751" s="15">
        <f t="shared" si="9"/>
        <v>1</v>
      </c>
      <c r="E751" s="16" t="str">
        <f>[1]CK!I779</f>
        <v>30/08/2023</v>
      </c>
      <c r="F751" s="15">
        <f>[1]CK!F779</f>
        <v>3630400</v>
      </c>
      <c r="G751" s="15">
        <f>[1]CK!N779</f>
        <v>2700000</v>
      </c>
      <c r="H751" s="17">
        <f>[1]CK!O779</f>
        <v>250000</v>
      </c>
      <c r="I751" s="17">
        <f>[1]CK!P779</f>
        <v>680400</v>
      </c>
      <c r="J751" s="18" t="s">
        <v>8</v>
      </c>
    </row>
    <row r="752" spans="1:10" x14ac:dyDescent="0.2">
      <c r="A752" s="4" t="s">
        <v>1952</v>
      </c>
      <c r="B752" s="15" t="str">
        <f>[1]CK!B780</f>
        <v>bba230369</v>
      </c>
      <c r="C752" s="15" t="str">
        <f>[1]CK!C780</f>
        <v>TRỊNH ĐỨC QUANG</v>
      </c>
      <c r="D752" s="15">
        <f t="shared" si="9"/>
        <v>1</v>
      </c>
      <c r="E752" s="16" t="str">
        <f>[1]CK!I780</f>
        <v>30/08/2023</v>
      </c>
      <c r="F752" s="15">
        <f>[1]CK!F780</f>
        <v>16050400</v>
      </c>
      <c r="G752" s="15">
        <f>[1]CK!N780</f>
        <v>15120000</v>
      </c>
      <c r="H752" s="17">
        <f>[1]CK!O780</f>
        <v>250000</v>
      </c>
      <c r="I752" s="17">
        <f>[1]CK!P780</f>
        <v>680400</v>
      </c>
      <c r="J752" s="18" t="s">
        <v>8</v>
      </c>
    </row>
    <row r="753" spans="1:10" x14ac:dyDescent="0.2">
      <c r="A753" s="4" t="s">
        <v>1953</v>
      </c>
      <c r="B753" s="15" t="str">
        <f>[1]CK!B781</f>
        <v>BIT230353</v>
      </c>
      <c r="C753" s="15" t="str">
        <f>[1]CK!C781</f>
        <v>ĐỖ LÊ MINH QUANG</v>
      </c>
      <c r="D753" s="15">
        <f t="shared" si="9"/>
        <v>1</v>
      </c>
      <c r="E753" s="16" t="str">
        <f>[1]CK!I781</f>
        <v>30/08/2023</v>
      </c>
      <c r="F753" s="15">
        <f>[1]CK!F781</f>
        <v>1390400</v>
      </c>
      <c r="G753" s="15">
        <f>[1]CK!N781</f>
        <v>460000.00000000093</v>
      </c>
      <c r="H753" s="17">
        <f>[1]CK!O781</f>
        <v>250000</v>
      </c>
      <c r="I753" s="17">
        <f>[1]CK!P781</f>
        <v>680400</v>
      </c>
      <c r="J753" s="18" t="s">
        <v>8</v>
      </c>
    </row>
    <row r="754" spans="1:10" x14ac:dyDescent="0.2">
      <c r="A754" s="4" t="s">
        <v>1954</v>
      </c>
      <c r="B754" s="15" t="str">
        <f>[1]CK!B782</f>
        <v>BGD230013</v>
      </c>
      <c r="C754" s="15" t="str">
        <f>[1]CK!C782</f>
        <v>TRẦN ĐỨC ANH</v>
      </c>
      <c r="D754" s="15">
        <f t="shared" si="9"/>
        <v>1</v>
      </c>
      <c r="E754" s="16" t="str">
        <f>[1]CK!I782</f>
        <v>30/08/2023</v>
      </c>
      <c r="F754" s="15">
        <f>[1]CK!F782</f>
        <v>67110000</v>
      </c>
      <c r="G754" s="15">
        <f>[1]CK!N782</f>
        <v>66179600</v>
      </c>
      <c r="H754" s="17">
        <f>[1]CK!O782</f>
        <v>250000</v>
      </c>
      <c r="I754" s="17">
        <f>[1]CK!P782</f>
        <v>680400</v>
      </c>
      <c r="J754" s="18" t="s">
        <v>8</v>
      </c>
    </row>
    <row r="755" spans="1:10" x14ac:dyDescent="0.2">
      <c r="A755" s="4" t="s">
        <v>1955</v>
      </c>
      <c r="B755" s="15" t="str">
        <f>[1]CK!B783</f>
        <v>BKL230044</v>
      </c>
      <c r="C755" s="15" t="str">
        <f>[1]CK!C783</f>
        <v>NGUYỄN THỊ NGỌC DIỆP</v>
      </c>
      <c r="D755" s="15">
        <f t="shared" si="9"/>
        <v>1</v>
      </c>
      <c r="E755" s="16" t="str">
        <f>[1]CK!I783</f>
        <v>30/08/2023</v>
      </c>
      <c r="F755" s="15">
        <f>[1]CK!F783</f>
        <v>13250400</v>
      </c>
      <c r="G755" s="15">
        <f>[1]CK!N783</f>
        <v>12320000</v>
      </c>
      <c r="H755" s="17">
        <f>[1]CK!O783</f>
        <v>250000</v>
      </c>
      <c r="I755" s="17">
        <f>[1]CK!P783</f>
        <v>680400</v>
      </c>
      <c r="J755" s="18" t="s">
        <v>8</v>
      </c>
    </row>
    <row r="756" spans="1:10" x14ac:dyDescent="0.2">
      <c r="A756" s="4" t="s">
        <v>1956</v>
      </c>
      <c r="B756" s="15" t="str">
        <f>[1]CK!B784</f>
        <v>bba230467</v>
      </c>
      <c r="C756" s="15" t="str">
        <f>[1]CK!C784</f>
        <v>PHẠM VĂN TUÂN</v>
      </c>
      <c r="D756" s="15">
        <f t="shared" si="9"/>
        <v>1</v>
      </c>
      <c r="E756" s="16" t="str">
        <f>[1]CK!I784</f>
        <v>30/08/2023</v>
      </c>
      <c r="F756" s="15">
        <f>[1]CK!F784</f>
        <v>17730400</v>
      </c>
      <c r="G756" s="15">
        <f>[1]CK!N784</f>
        <v>16800000</v>
      </c>
      <c r="H756" s="17">
        <f>[1]CK!O784</f>
        <v>250000</v>
      </c>
      <c r="I756" s="17">
        <f>[1]CK!P784</f>
        <v>680400</v>
      </c>
      <c r="J756" s="18" t="s">
        <v>8</v>
      </c>
    </row>
    <row r="757" spans="1:10" x14ac:dyDescent="0.2">
      <c r="A757" s="4" t="s">
        <v>1957</v>
      </c>
      <c r="B757" s="15" t="str">
        <f>[1]CK!B785</f>
        <v>BIT230052</v>
      </c>
      <c r="C757" s="15" t="str">
        <f>[1]CK!C785</f>
        <v>NGUYỄN LÊ NGỌC BẢO</v>
      </c>
      <c r="D757" s="15">
        <f t="shared" si="9"/>
        <v>1</v>
      </c>
      <c r="E757" s="16" t="str">
        <f>[1]CK!I785</f>
        <v>30/08/2023</v>
      </c>
      <c r="F757" s="15">
        <f>[1]CK!F785</f>
        <v>19130400</v>
      </c>
      <c r="G757" s="15">
        <f>[1]CK!N785</f>
        <v>18200000</v>
      </c>
      <c r="H757" s="17">
        <f>[1]CK!O785</f>
        <v>250000</v>
      </c>
      <c r="I757" s="17">
        <f>[1]CK!P785</f>
        <v>680400</v>
      </c>
      <c r="J757" s="18" t="s">
        <v>8</v>
      </c>
    </row>
    <row r="758" spans="1:10" x14ac:dyDescent="0.2">
      <c r="A758" s="4" t="s">
        <v>1958</v>
      </c>
      <c r="B758" s="15" t="str">
        <f>[1]CK!B786</f>
        <v>bgd230029</v>
      </c>
      <c r="C758" s="15" t="str">
        <f>[1]CK!C786</f>
        <v>LÊ DUY HẢI BÌNH</v>
      </c>
      <c r="D758" s="15">
        <f t="shared" si="9"/>
        <v>1</v>
      </c>
      <c r="E758" s="16" t="str">
        <f>[1]CK!I786</f>
        <v>30/08/2023</v>
      </c>
      <c r="F758" s="15">
        <f>[1]CK!F786</f>
        <v>13250400</v>
      </c>
      <c r="G758" s="15">
        <f>[1]CK!N786</f>
        <v>12320000</v>
      </c>
      <c r="H758" s="17">
        <f>[1]CK!O786</f>
        <v>250000</v>
      </c>
      <c r="I758" s="17">
        <f>[1]CK!P786</f>
        <v>680400</v>
      </c>
      <c r="J758" s="18" t="s">
        <v>8</v>
      </c>
    </row>
    <row r="759" spans="1:10" x14ac:dyDescent="0.2">
      <c r="A759" s="4" t="s">
        <v>1959</v>
      </c>
      <c r="B759" s="15" t="str">
        <f>[1]CK!B787</f>
        <v>BBA230518</v>
      </c>
      <c r="C759" s="15" t="str">
        <f>[1]CK!C787</f>
        <v>NGÔ TRỌNG GIÁP</v>
      </c>
      <c r="D759" s="15">
        <f t="shared" si="9"/>
        <v>1</v>
      </c>
      <c r="E759" s="16" t="str">
        <f>[1]CK!I787</f>
        <v>30/08/2023</v>
      </c>
      <c r="F759" s="15">
        <f>[1]CK!F787</f>
        <v>9370400</v>
      </c>
      <c r="G759" s="15">
        <f>[1]CK!N787</f>
        <v>8440000</v>
      </c>
      <c r="H759" s="17">
        <f>[1]CK!O787</f>
        <v>250000</v>
      </c>
      <c r="I759" s="17">
        <f>[1]CK!P787</f>
        <v>680400</v>
      </c>
      <c r="J759" s="18" t="s">
        <v>8</v>
      </c>
    </row>
    <row r="760" spans="1:10" x14ac:dyDescent="0.2">
      <c r="A760" s="4" t="s">
        <v>1960</v>
      </c>
      <c r="B760" s="15" t="str">
        <f>[1]CK!B788</f>
        <v>BGD230066</v>
      </c>
      <c r="C760" s="15" t="str">
        <f>[1]CK!C788</f>
        <v>NGUYỄN NHẬT HÀ</v>
      </c>
      <c r="D760" s="15">
        <f t="shared" si="9"/>
        <v>1</v>
      </c>
      <c r="E760" s="16" t="str">
        <f>[1]CK!I788</f>
        <v>30/08/2023</v>
      </c>
      <c r="F760" s="15">
        <f>[1]CK!F788</f>
        <v>13250400</v>
      </c>
      <c r="G760" s="15">
        <f>[1]CK!N788</f>
        <v>12320000</v>
      </c>
      <c r="H760" s="17">
        <f>[1]CK!O788</f>
        <v>250000</v>
      </c>
      <c r="I760" s="17">
        <f>[1]CK!P788</f>
        <v>680400</v>
      </c>
      <c r="J760" s="18" t="s">
        <v>8</v>
      </c>
    </row>
    <row r="761" spans="1:10" x14ac:dyDescent="0.2">
      <c r="A761" s="4" t="s">
        <v>1961</v>
      </c>
      <c r="B761" s="15" t="str">
        <f>[1]CK!B789</f>
        <v>BIT230451</v>
      </c>
      <c r="C761" s="15" t="str">
        <f>[1]CK!C789</f>
        <v>NGÔ ĐỨC VIỆT</v>
      </c>
      <c r="D761" s="15">
        <f t="shared" si="9"/>
        <v>1</v>
      </c>
      <c r="E761" s="16" t="str">
        <f>[1]CK!I789</f>
        <v>30/08/2023</v>
      </c>
      <c r="F761" s="15">
        <f>[1]CK!F789</f>
        <v>930000</v>
      </c>
      <c r="G761" s="15">
        <f>[1]CK!N789</f>
        <v>0</v>
      </c>
      <c r="H761" s="17">
        <f>[1]CK!O789</f>
        <v>250000</v>
      </c>
      <c r="I761" s="17">
        <f>[1]CK!P789</f>
        <v>680000</v>
      </c>
      <c r="J761" s="18" t="s">
        <v>8</v>
      </c>
    </row>
    <row r="762" spans="1:10" x14ac:dyDescent="0.2">
      <c r="A762" s="4" t="s">
        <v>1962</v>
      </c>
      <c r="B762" s="15" t="str">
        <f>[1]CK!B790</f>
        <v>BBA230326</v>
      </c>
      <c r="C762" s="15" t="str">
        <f>[1]CK!C790</f>
        <v>DƯƠNG YẾN NHI</v>
      </c>
      <c r="D762" s="15">
        <f t="shared" si="9"/>
        <v>1</v>
      </c>
      <c r="E762" s="16" t="str">
        <f>[1]CK!I790</f>
        <v>30/08/2023</v>
      </c>
      <c r="F762" s="15">
        <f>[1]CK!F790</f>
        <v>4330400</v>
      </c>
      <c r="G762" s="15">
        <f>[1]CK!N790</f>
        <v>3400000</v>
      </c>
      <c r="H762" s="17">
        <f>[1]CK!O790</f>
        <v>250000</v>
      </c>
      <c r="I762" s="17">
        <f>[1]CK!P790</f>
        <v>680400</v>
      </c>
      <c r="J762" s="18" t="s">
        <v>8</v>
      </c>
    </row>
    <row r="763" spans="1:10" x14ac:dyDescent="0.2">
      <c r="A763" s="4" t="s">
        <v>1963</v>
      </c>
      <c r="B763" s="15" t="str">
        <f>[1]CK!B791</f>
        <v>BIT230297</v>
      </c>
      <c r="C763" s="15" t="str">
        <f>[1]CK!C791</f>
        <v>QUÁCH NGỌC NGUYÊN</v>
      </c>
      <c r="D763" s="15">
        <f t="shared" si="9"/>
        <v>1</v>
      </c>
      <c r="E763" s="16" t="str">
        <f>[1]CK!I791</f>
        <v>30/08/2023</v>
      </c>
      <c r="F763" s="15">
        <f>[1]CK!F791</f>
        <v>8670400</v>
      </c>
      <c r="G763" s="15">
        <f>[1]CK!N791</f>
        <v>7740000</v>
      </c>
      <c r="H763" s="17">
        <f>[1]CK!O791</f>
        <v>250000</v>
      </c>
      <c r="I763" s="17">
        <f>[1]CK!P791</f>
        <v>680400</v>
      </c>
      <c r="J763" s="18" t="s">
        <v>8</v>
      </c>
    </row>
    <row r="764" spans="1:10" x14ac:dyDescent="0.2">
      <c r="A764" s="4" t="s">
        <v>1964</v>
      </c>
      <c r="B764" s="15" t="str">
        <f>[1]CK!B792</f>
        <v>BBA230457</v>
      </c>
      <c r="C764" s="15" t="str">
        <f>[1]CK!C792</f>
        <v>ĐINH QUANG TRUNG</v>
      </c>
      <c r="D764" s="15">
        <f t="shared" si="9"/>
        <v>1</v>
      </c>
      <c r="E764" s="16" t="str">
        <f>[1]CK!I792</f>
        <v>30/08/2023</v>
      </c>
      <c r="F764" s="15">
        <f>[1]CK!F792</f>
        <v>4330400</v>
      </c>
      <c r="G764" s="15">
        <f>[1]CK!N792</f>
        <v>3400000</v>
      </c>
      <c r="H764" s="17">
        <f>[1]CK!O792</f>
        <v>250000</v>
      </c>
      <c r="I764" s="17">
        <f>[1]CK!P792</f>
        <v>680400</v>
      </c>
      <c r="J764" s="18" t="s">
        <v>8</v>
      </c>
    </row>
    <row r="765" spans="1:10" x14ac:dyDescent="0.2">
      <c r="A765" s="4" t="s">
        <v>1965</v>
      </c>
      <c r="B765" s="15" t="str">
        <f>[1]CK!B793</f>
        <v>bba230172</v>
      </c>
      <c r="C765" s="15" t="str">
        <f>[1]CK!C793</f>
        <v>NGUYỄN THỊ THU HƯƠNG</v>
      </c>
      <c r="D765" s="15">
        <f t="shared" si="9"/>
        <v>1</v>
      </c>
      <c r="E765" s="16" t="str">
        <f>[1]CK!I793</f>
        <v>30/08/2023</v>
      </c>
      <c r="F765" s="15">
        <f>[1]CK!F793</f>
        <v>17730400</v>
      </c>
      <c r="G765" s="15">
        <f>[1]CK!N793</f>
        <v>16800000</v>
      </c>
      <c r="H765" s="17">
        <f>[1]CK!O793</f>
        <v>250000</v>
      </c>
      <c r="I765" s="17">
        <f>[1]CK!P793</f>
        <v>680400</v>
      </c>
      <c r="J765" s="18" t="s">
        <v>8</v>
      </c>
    </row>
    <row r="766" spans="1:10" x14ac:dyDescent="0.2">
      <c r="A766" s="4" t="s">
        <v>1966</v>
      </c>
      <c r="B766" s="15" t="str">
        <f>[1]CK!B794</f>
        <v>BIT230402</v>
      </c>
      <c r="C766" s="15" t="str">
        <f>[1]CK!C794</f>
        <v>NGUYỄN THỊ QUỲNH TRANG</v>
      </c>
      <c r="D766" s="15">
        <f t="shared" si="9"/>
        <v>1</v>
      </c>
      <c r="E766" s="16" t="str">
        <f>[1]CK!I794</f>
        <v>30/08/2023</v>
      </c>
      <c r="F766" s="15">
        <f>[1]CK!F794</f>
        <v>15490400</v>
      </c>
      <c r="G766" s="15">
        <f>[1]CK!N794</f>
        <v>14560000</v>
      </c>
      <c r="H766" s="17">
        <f>[1]CK!O794</f>
        <v>250000</v>
      </c>
      <c r="I766" s="17">
        <f>[1]CK!P794</f>
        <v>680400</v>
      </c>
      <c r="J766" s="18" t="s">
        <v>8</v>
      </c>
    </row>
    <row r="767" spans="1:10" x14ac:dyDescent="0.2">
      <c r="A767" s="4" t="s">
        <v>1967</v>
      </c>
      <c r="B767" s="15" t="str">
        <f>[1]CK!B795</f>
        <v>BGD230092</v>
      </c>
      <c r="C767" s="15" t="str">
        <f>[1]CK!C795</f>
        <v>NGUYỄN QUỲNH HƯƠNG</v>
      </c>
      <c r="D767" s="15">
        <f t="shared" si="9"/>
        <v>1</v>
      </c>
      <c r="E767" s="16" t="str">
        <f>[1]CK!I795</f>
        <v>30/08/2023</v>
      </c>
      <c r="F767" s="15">
        <f>[1]CK!F795</f>
        <v>8250400</v>
      </c>
      <c r="G767" s="15">
        <f>[1]CK!N795</f>
        <v>7320000</v>
      </c>
      <c r="H767" s="17">
        <f>[1]CK!O795</f>
        <v>250000</v>
      </c>
      <c r="I767" s="17">
        <f>[1]CK!P795</f>
        <v>680400</v>
      </c>
      <c r="J767" s="18" t="s">
        <v>8</v>
      </c>
    </row>
    <row r="768" spans="1:10" x14ac:dyDescent="0.2">
      <c r="A768" s="4" t="s">
        <v>1968</v>
      </c>
      <c r="B768" s="15" t="str">
        <f>[1]CK!B796</f>
        <v>BIT230173</v>
      </c>
      <c r="C768" s="15" t="str">
        <f>[1]CK!C796</f>
        <v>MAI NHẬT HOÀNG</v>
      </c>
      <c r="D768" s="15">
        <f t="shared" si="9"/>
        <v>1</v>
      </c>
      <c r="E768" s="16" t="str">
        <f>[1]CK!I796</f>
        <v>30/08/2023</v>
      </c>
      <c r="F768" s="15">
        <f>[1]CK!F796</f>
        <v>15000000</v>
      </c>
      <c r="G768" s="15">
        <f>[1]CK!N796</f>
        <v>14069600</v>
      </c>
      <c r="H768" s="17">
        <f>[1]CK!O796</f>
        <v>250000</v>
      </c>
      <c r="I768" s="17">
        <f>[1]CK!P796</f>
        <v>680400</v>
      </c>
      <c r="J768" s="18" t="s">
        <v>8</v>
      </c>
    </row>
    <row r="769" spans="1:10" x14ac:dyDescent="0.2">
      <c r="A769" s="4" t="s">
        <v>1969</v>
      </c>
      <c r="B769" s="15" t="str">
        <f>[1]CK!B797</f>
        <v>BKL230017</v>
      </c>
      <c r="C769" s="15" t="str">
        <f>[1]CK!C797</f>
        <v>CAO QUỲNH ANH</v>
      </c>
      <c r="D769" s="15">
        <f t="shared" si="9"/>
        <v>1</v>
      </c>
      <c r="E769" s="16" t="str">
        <f>[1]CK!I797</f>
        <v>30/08/2023</v>
      </c>
      <c r="F769" s="15">
        <f>[1]CK!F797</f>
        <v>6710400</v>
      </c>
      <c r="G769" s="15">
        <f>[1]CK!N797</f>
        <v>5780000</v>
      </c>
      <c r="H769" s="17">
        <f>[1]CK!O797</f>
        <v>250000</v>
      </c>
      <c r="I769" s="17">
        <f>[1]CK!P797</f>
        <v>680400</v>
      </c>
      <c r="J769" s="18" t="s">
        <v>8</v>
      </c>
    </row>
    <row r="770" spans="1:10" x14ac:dyDescent="0.2">
      <c r="A770" s="4" t="s">
        <v>1970</v>
      </c>
      <c r="B770" s="15" t="str">
        <f>[1]CK!B798</f>
        <v>BGD230081</v>
      </c>
      <c r="C770" s="15" t="str">
        <f>[1]CK!C798</f>
        <v>NGUYỄN THU HOÀI</v>
      </c>
      <c r="D770" s="15">
        <f t="shared" si="9"/>
        <v>1</v>
      </c>
      <c r="E770" s="16" t="str">
        <f>[1]CK!I798</f>
        <v>30/08/2023</v>
      </c>
      <c r="F770" s="15">
        <f>[1]CK!F798</f>
        <v>6710400</v>
      </c>
      <c r="G770" s="15">
        <f>[1]CK!N798</f>
        <v>5780000</v>
      </c>
      <c r="H770" s="17">
        <f>[1]CK!O798</f>
        <v>250000</v>
      </c>
      <c r="I770" s="17">
        <f>[1]CK!P798</f>
        <v>680400</v>
      </c>
      <c r="J770" s="18" t="s">
        <v>8</v>
      </c>
    </row>
    <row r="771" spans="1:10" x14ac:dyDescent="0.2">
      <c r="A771" s="4" t="s">
        <v>1971</v>
      </c>
      <c r="B771" s="15" t="str">
        <f>[1]CK!B799</f>
        <v>BGD230192</v>
      </c>
      <c r="C771" s="15" t="str">
        <f>[1]CK!C799</f>
        <v>NGUYỄN PHƯƠNG THANH</v>
      </c>
      <c r="D771" s="15">
        <f t="shared" si="9"/>
        <v>1</v>
      </c>
      <c r="E771" s="16" t="str">
        <f>[1]CK!I799</f>
        <v>30/08/2023</v>
      </c>
      <c r="F771" s="15">
        <f>[1]CK!F799</f>
        <v>16330400</v>
      </c>
      <c r="G771" s="15">
        <f>[1]CK!N799</f>
        <v>15400000</v>
      </c>
      <c r="H771" s="17">
        <f>[1]CK!O799</f>
        <v>250000</v>
      </c>
      <c r="I771" s="17">
        <f>[1]CK!P799</f>
        <v>680400</v>
      </c>
      <c r="J771" s="18" t="s">
        <v>8</v>
      </c>
    </row>
    <row r="772" spans="1:10" x14ac:dyDescent="0.2">
      <c r="A772" s="4" t="s">
        <v>1972</v>
      </c>
      <c r="B772" s="15" t="str">
        <f>[1]CK!B800</f>
        <v>BIT230278</v>
      </c>
      <c r="C772" s="15" t="str">
        <f>[1]CK!C800</f>
        <v>TRẦN NHẬT NAM</v>
      </c>
      <c r="D772" s="15">
        <f t="shared" si="9"/>
        <v>1</v>
      </c>
      <c r="E772" s="16" t="str">
        <f>[1]CK!I800</f>
        <v>30/08/2023</v>
      </c>
      <c r="F772" s="15">
        <f>[1]CK!F800</f>
        <v>10490400</v>
      </c>
      <c r="G772" s="15">
        <f>[1]CK!N800</f>
        <v>9560000</v>
      </c>
      <c r="H772" s="17">
        <f>[1]CK!O800</f>
        <v>250000</v>
      </c>
      <c r="I772" s="17">
        <f>[1]CK!P800</f>
        <v>680400</v>
      </c>
      <c r="J772" s="18" t="s">
        <v>8</v>
      </c>
    </row>
    <row r="773" spans="1:10" x14ac:dyDescent="0.2">
      <c r="A773" s="4" t="s">
        <v>1973</v>
      </c>
      <c r="B773" s="15" t="str">
        <f>[1]CK!B801</f>
        <v>BGD230231</v>
      </c>
      <c r="C773" s="15" t="str">
        <f>[1]CK!C801</f>
        <v>LÊ QUANG VŨ</v>
      </c>
      <c r="D773" s="15">
        <f t="shared" si="9"/>
        <v>1</v>
      </c>
      <c r="E773" s="16" t="str">
        <f>[1]CK!I801</f>
        <v>30/08/2023</v>
      </c>
      <c r="F773" s="15">
        <f>[1]CK!F801</f>
        <v>8250000</v>
      </c>
      <c r="G773" s="15">
        <f>[1]CK!N801</f>
        <v>7319600</v>
      </c>
      <c r="H773" s="17">
        <f>[1]CK!O801</f>
        <v>250000</v>
      </c>
      <c r="I773" s="17">
        <f>[1]CK!P801</f>
        <v>680400</v>
      </c>
      <c r="J773" s="18" t="s">
        <v>8</v>
      </c>
    </row>
    <row r="774" spans="1:10" x14ac:dyDescent="0.2">
      <c r="A774" s="4" t="s">
        <v>1974</v>
      </c>
      <c r="B774" s="15" t="str">
        <f>[1]CK!B802</f>
        <v>BKL230137</v>
      </c>
      <c r="C774" s="15" t="str">
        <f>[1]CK!C802</f>
        <v>LÊ HỒNG NGỌC</v>
      </c>
      <c r="D774" s="15">
        <f t="shared" si="9"/>
        <v>1</v>
      </c>
      <c r="E774" s="16" t="str">
        <f>[1]CK!I802</f>
        <v>30/08/2023</v>
      </c>
      <c r="F774" s="15">
        <f>[1]CK!F802</f>
        <v>8250400</v>
      </c>
      <c r="G774" s="15">
        <f>[1]CK!N802</f>
        <v>7320000</v>
      </c>
      <c r="H774" s="17">
        <f>[1]CK!O802</f>
        <v>250000</v>
      </c>
      <c r="I774" s="17">
        <f>[1]CK!P802</f>
        <v>680400</v>
      </c>
      <c r="J774" s="18" t="s">
        <v>8</v>
      </c>
    </row>
    <row r="775" spans="1:10" x14ac:dyDescent="0.2">
      <c r="A775" s="4" t="s">
        <v>1975</v>
      </c>
      <c r="B775" s="15" t="str">
        <f>[1]CK!B803</f>
        <v>BGD230193</v>
      </c>
      <c r="C775" s="15" t="str">
        <f>[1]CK!C803</f>
        <v>BÙI VIỆT THÀNH</v>
      </c>
      <c r="D775" s="15">
        <f t="shared" si="9"/>
        <v>1</v>
      </c>
      <c r="E775" s="16" t="str">
        <f>[1]CK!I803</f>
        <v>30/08/2023</v>
      </c>
      <c r="F775" s="15">
        <f>[1]CK!F803</f>
        <v>930400</v>
      </c>
      <c r="G775" s="15">
        <f>[1]CK!N803</f>
        <v>0</v>
      </c>
      <c r="H775" s="17">
        <f>[1]CK!O803</f>
        <v>250000</v>
      </c>
      <c r="I775" s="17">
        <f>[1]CK!P803</f>
        <v>680400</v>
      </c>
      <c r="J775" s="18" t="s">
        <v>8</v>
      </c>
    </row>
    <row r="776" spans="1:10" x14ac:dyDescent="0.2">
      <c r="A776" s="4" t="s">
        <v>1976</v>
      </c>
      <c r="B776" s="15" t="str">
        <f>[1]CK!B804</f>
        <v>BBA230235</v>
      </c>
      <c r="C776" s="15" t="str">
        <f>[1]CK!C804</f>
        <v>TRƯƠNG THỊ THÙY LINH</v>
      </c>
      <c r="D776" s="15">
        <f t="shared" ref="D776:D807" si="10">COUNTIF($B$2:$B$845,B776)</f>
        <v>1</v>
      </c>
      <c r="E776" s="16" t="str">
        <f>[1]CK!I804</f>
        <v>31/08/2023</v>
      </c>
      <c r="F776" s="15">
        <f>[1]CK!F804</f>
        <v>16050400</v>
      </c>
      <c r="G776" s="15">
        <f>[1]CK!N804</f>
        <v>15120000</v>
      </c>
      <c r="H776" s="17">
        <f>[1]CK!O804</f>
        <v>250000</v>
      </c>
      <c r="I776" s="17">
        <f>[1]CK!P804</f>
        <v>680400</v>
      </c>
      <c r="J776" s="18" t="s">
        <v>8</v>
      </c>
    </row>
    <row r="777" spans="1:10" x14ac:dyDescent="0.2">
      <c r="A777" s="4" t="s">
        <v>1977</v>
      </c>
      <c r="B777" s="15" t="str">
        <f>[1]CK!B805</f>
        <v>bkl230046</v>
      </c>
      <c r="C777" s="15" t="str">
        <f>[1]CK!C805</f>
        <v>LỘC VĂN ĐỨC</v>
      </c>
      <c r="D777" s="15">
        <f t="shared" si="10"/>
        <v>1</v>
      </c>
      <c r="E777" s="16" t="str">
        <f>[1]CK!I805</f>
        <v>31/08/2023</v>
      </c>
      <c r="F777" s="15">
        <f>[1]CK!F805</f>
        <v>8630400</v>
      </c>
      <c r="G777" s="15">
        <f>[1]CK!N805</f>
        <v>7700000</v>
      </c>
      <c r="H777" s="17">
        <f>[1]CK!O805</f>
        <v>250000</v>
      </c>
      <c r="I777" s="17">
        <f>[1]CK!P805</f>
        <v>680400</v>
      </c>
      <c r="J777" s="18" t="s">
        <v>8</v>
      </c>
    </row>
    <row r="778" spans="1:10" x14ac:dyDescent="0.2">
      <c r="A778" s="4" t="s">
        <v>1978</v>
      </c>
      <c r="B778" s="15" t="str">
        <f>[1]CK!B806</f>
        <v>bba230279</v>
      </c>
      <c r="C778" s="15" t="str">
        <f>[1]CK!C806</f>
        <v>HÀ NGỌC MINH</v>
      </c>
      <c r="D778" s="15">
        <f t="shared" si="10"/>
        <v>1</v>
      </c>
      <c r="E778" s="16" t="str">
        <f>[1]CK!I806</f>
        <v>31/08/2023</v>
      </c>
      <c r="F778" s="15">
        <f>[1]CK!F806</f>
        <v>9330400</v>
      </c>
      <c r="G778" s="15">
        <f>[1]CK!N806</f>
        <v>8400000</v>
      </c>
      <c r="H778" s="17">
        <f>[1]CK!O806</f>
        <v>250000</v>
      </c>
      <c r="I778" s="17">
        <f>[1]CK!P806</f>
        <v>680400</v>
      </c>
      <c r="J778" s="18" t="s">
        <v>8</v>
      </c>
    </row>
    <row r="779" spans="1:10" x14ac:dyDescent="0.2">
      <c r="A779" s="4" t="s">
        <v>1979</v>
      </c>
      <c r="B779" s="15" t="str">
        <f>[1]CK!B807</f>
        <v>BKL230100</v>
      </c>
      <c r="C779" s="15" t="str">
        <f>[1]CK!C807</f>
        <v>PHẠM THỊ LIÊN</v>
      </c>
      <c r="D779" s="15">
        <f t="shared" si="10"/>
        <v>1</v>
      </c>
      <c r="E779" s="16" t="str">
        <f>[1]CK!I807</f>
        <v>31/08/2023</v>
      </c>
      <c r="F779" s="15">
        <f>[1]CK!F807</f>
        <v>3630400</v>
      </c>
      <c r="G779" s="15">
        <f>[1]CK!N807</f>
        <v>2700000</v>
      </c>
      <c r="H779" s="17">
        <f>[1]CK!O807</f>
        <v>250000</v>
      </c>
      <c r="I779" s="17">
        <f>[1]CK!P807</f>
        <v>680400</v>
      </c>
      <c r="J779" s="18" t="s">
        <v>8</v>
      </c>
    </row>
    <row r="780" spans="1:10" x14ac:dyDescent="0.2">
      <c r="A780" s="4" t="s">
        <v>1980</v>
      </c>
      <c r="B780" s="15" t="str">
        <f>[1]CK!B808</f>
        <v>bkl230092</v>
      </c>
      <c r="C780" s="15" t="str">
        <f>[1]CK!C808</f>
        <v>NGUYỄN THỊ KIM HUYỀN</v>
      </c>
      <c r="D780" s="15">
        <f t="shared" si="10"/>
        <v>1</v>
      </c>
      <c r="E780" s="16" t="str">
        <f>[1]CK!I808</f>
        <v>31/08/2023</v>
      </c>
      <c r="F780" s="15">
        <f>[1]CK!F808</f>
        <v>14790400</v>
      </c>
      <c r="G780" s="15">
        <f>[1]CK!N808</f>
        <v>13860000</v>
      </c>
      <c r="H780" s="17">
        <f>[1]CK!O808</f>
        <v>250000</v>
      </c>
      <c r="I780" s="17">
        <f>[1]CK!P808</f>
        <v>680400</v>
      </c>
      <c r="J780" s="18" t="s">
        <v>8</v>
      </c>
    </row>
    <row r="781" spans="1:10" x14ac:dyDescent="0.2">
      <c r="A781" s="4" t="s">
        <v>1981</v>
      </c>
      <c r="B781" s="15" t="str">
        <f>[1]CK!B809</f>
        <v>bkl230045</v>
      </c>
      <c r="C781" s="15" t="str">
        <f>[1]CK!C809</f>
        <v>NGUYỄN THỊ HOÀI DIỆP</v>
      </c>
      <c r="D781" s="15">
        <f t="shared" si="10"/>
        <v>1</v>
      </c>
      <c r="E781" s="16" t="str">
        <f>[1]CK!I809</f>
        <v>31/08/2023</v>
      </c>
      <c r="F781" s="15">
        <f>[1]CK!F809</f>
        <v>14790400</v>
      </c>
      <c r="G781" s="15">
        <f>[1]CK!N809</f>
        <v>13860000</v>
      </c>
      <c r="H781" s="17">
        <f>[1]CK!O809</f>
        <v>250000</v>
      </c>
      <c r="I781" s="17">
        <f>[1]CK!P809</f>
        <v>680400</v>
      </c>
      <c r="J781" s="18" t="s">
        <v>8</v>
      </c>
    </row>
    <row r="782" spans="1:10" x14ac:dyDescent="0.2">
      <c r="A782" s="4" t="s">
        <v>1982</v>
      </c>
      <c r="B782" s="15" t="str">
        <f>[1]CK!B810</f>
        <v>BKL230147</v>
      </c>
      <c r="C782" s="15" t="str">
        <f>[1]CK!C810</f>
        <v>ĐỖ PHẠM QUÝ NHI</v>
      </c>
      <c r="D782" s="15">
        <f t="shared" si="10"/>
        <v>1</v>
      </c>
      <c r="E782" s="16" t="str">
        <f>[1]CK!I810</f>
        <v>31/08/2023</v>
      </c>
      <c r="F782" s="15">
        <f>[1]CK!F810</f>
        <v>6710400</v>
      </c>
      <c r="G782" s="15">
        <f>[1]CK!N810</f>
        <v>5780000</v>
      </c>
      <c r="H782" s="17">
        <f>[1]CK!O810</f>
        <v>250000</v>
      </c>
      <c r="I782" s="17">
        <f>[1]CK!P810</f>
        <v>680400</v>
      </c>
      <c r="J782" s="18" t="s">
        <v>8</v>
      </c>
    </row>
    <row r="783" spans="1:10" x14ac:dyDescent="0.2">
      <c r="A783" s="4" t="s">
        <v>1983</v>
      </c>
      <c r="B783" s="15" t="str">
        <f>[1]CK!B811</f>
        <v>BKL230054</v>
      </c>
      <c r="C783" s="15" t="str">
        <f>[1]CK!C811</f>
        <v>VŨ THỊ HƯƠNG GIANG</v>
      </c>
      <c r="D783" s="15">
        <f t="shared" si="10"/>
        <v>1</v>
      </c>
      <c r="E783" s="16" t="str">
        <f>[1]CK!I811</f>
        <v>31/08/2023</v>
      </c>
      <c r="F783" s="15">
        <f>[1]CK!F811</f>
        <v>930400</v>
      </c>
      <c r="G783" s="15">
        <f>[1]CK!N811</f>
        <v>0</v>
      </c>
      <c r="H783" s="17">
        <f>[1]CK!O811</f>
        <v>250000</v>
      </c>
      <c r="I783" s="17">
        <f>[1]CK!P811</f>
        <v>680400</v>
      </c>
      <c r="J783" s="18" t="s">
        <v>8</v>
      </c>
    </row>
    <row r="784" spans="1:10" x14ac:dyDescent="0.2">
      <c r="A784" s="4" t="s">
        <v>1984</v>
      </c>
      <c r="B784" s="15" t="str">
        <f>[1]CK!B812</f>
        <v>bgd230017</v>
      </c>
      <c r="C784" s="15" t="str">
        <f>[1]CK!C812</f>
        <v>BÙI THỊ VÂN ANH</v>
      </c>
      <c r="D784" s="15">
        <f t="shared" si="10"/>
        <v>1</v>
      </c>
      <c r="E784" s="16" t="str">
        <f>[1]CK!I812</f>
        <v>31/08/2023</v>
      </c>
      <c r="F784" s="15">
        <f>[1]CK!F812</f>
        <v>14790400</v>
      </c>
      <c r="G784" s="15">
        <f>[1]CK!N812</f>
        <v>13860000</v>
      </c>
      <c r="H784" s="17">
        <f>[1]CK!O812</f>
        <v>250000</v>
      </c>
      <c r="I784" s="17">
        <f>[1]CK!P812</f>
        <v>680400</v>
      </c>
      <c r="J784" s="18" t="s">
        <v>8</v>
      </c>
    </row>
    <row r="785" spans="1:10" x14ac:dyDescent="0.2">
      <c r="A785" s="4" t="s">
        <v>1985</v>
      </c>
      <c r="B785" s="15" t="str">
        <f>[1]CK!B813</f>
        <v>BKL230209</v>
      </c>
      <c r="C785" s="15" t="str">
        <f>[1]CK!C813</f>
        <v>NGUYỄN NGỌC ÁNH</v>
      </c>
      <c r="D785" s="15">
        <f t="shared" si="10"/>
        <v>1</v>
      </c>
      <c r="E785" s="16" t="str">
        <f>[1]CK!I813</f>
        <v>31/08/2023</v>
      </c>
      <c r="F785" s="15">
        <f>[1]CK!F813</f>
        <v>16330400</v>
      </c>
      <c r="G785" s="15">
        <f>[1]CK!N813</f>
        <v>15400000</v>
      </c>
      <c r="H785" s="17">
        <f>[1]CK!O813</f>
        <v>250000</v>
      </c>
      <c r="I785" s="17">
        <f>[1]CK!P813</f>
        <v>680400</v>
      </c>
      <c r="J785" s="18" t="s">
        <v>8</v>
      </c>
    </row>
    <row r="786" spans="1:10" x14ac:dyDescent="0.2">
      <c r="A786" s="4" t="s">
        <v>1986</v>
      </c>
      <c r="B786" s="15" t="str">
        <f>[1]CK!B814</f>
        <v>BKL230159</v>
      </c>
      <c r="C786" s="15" t="str">
        <f>[1]CK!C814</f>
        <v>NGUYỄN ANH QUÂN</v>
      </c>
      <c r="D786" s="15">
        <f t="shared" si="10"/>
        <v>1</v>
      </c>
      <c r="E786" s="16" t="str">
        <f>[1]CK!I814</f>
        <v>31/08/2023</v>
      </c>
      <c r="F786" s="15">
        <f>[1]CK!F814</f>
        <v>8630400</v>
      </c>
      <c r="G786" s="15">
        <f>[1]CK!N814</f>
        <v>7700000</v>
      </c>
      <c r="H786" s="17">
        <f>[1]CK!O814</f>
        <v>250000</v>
      </c>
      <c r="I786" s="17">
        <f>[1]CK!P814</f>
        <v>680400</v>
      </c>
      <c r="J786" s="18" t="s">
        <v>8</v>
      </c>
    </row>
    <row r="787" spans="1:10" x14ac:dyDescent="0.2">
      <c r="A787" s="4" t="s">
        <v>1987</v>
      </c>
      <c r="B787" s="15" t="str">
        <f>[1]CK!B815</f>
        <v>bjl230003</v>
      </c>
      <c r="C787" s="15" t="str">
        <f>[1]CK!C815</f>
        <v>HOÀNG DUY ANH</v>
      </c>
      <c r="D787" s="15">
        <f t="shared" si="10"/>
        <v>1</v>
      </c>
      <c r="E787" s="16" t="str">
        <f>[1]CK!I815</f>
        <v>31/08/2023</v>
      </c>
      <c r="F787" s="15">
        <f>[1]CK!F815</f>
        <v>13250400</v>
      </c>
      <c r="G787" s="15">
        <f>[1]CK!N815</f>
        <v>12320000</v>
      </c>
      <c r="H787" s="17">
        <f>[1]CK!O815</f>
        <v>250000</v>
      </c>
      <c r="I787" s="17">
        <f>[1]CK!P815</f>
        <v>680400</v>
      </c>
      <c r="J787" s="18" t="s">
        <v>8</v>
      </c>
    </row>
    <row r="788" spans="1:10" x14ac:dyDescent="0.2">
      <c r="A788" s="4" t="s">
        <v>1988</v>
      </c>
      <c r="B788" s="15" t="str">
        <f>[1]CK!B816</f>
        <v>bjl230002</v>
      </c>
      <c r="C788" s="15" t="str">
        <f>[1]CK!C816</f>
        <v>HOÀNG TÙNG ANH</v>
      </c>
      <c r="D788" s="15">
        <f t="shared" si="10"/>
        <v>1</v>
      </c>
      <c r="E788" s="16" t="str">
        <f>[1]CK!I816</f>
        <v>31/08/2023</v>
      </c>
      <c r="F788" s="15">
        <f>[1]CK!F816</f>
        <v>13250400</v>
      </c>
      <c r="G788" s="15">
        <f>[1]CK!N816</f>
        <v>12320000</v>
      </c>
      <c r="H788" s="17">
        <f>[1]CK!O816</f>
        <v>250000</v>
      </c>
      <c r="I788" s="17">
        <f>[1]CK!P816</f>
        <v>680400</v>
      </c>
      <c r="J788" s="18" t="s">
        <v>8</v>
      </c>
    </row>
    <row r="789" spans="1:10" x14ac:dyDescent="0.2">
      <c r="A789" s="4" t="s">
        <v>1989</v>
      </c>
      <c r="B789" s="15" t="str">
        <f>[1]CK!B817</f>
        <v>bkl230199</v>
      </c>
      <c r="C789" s="15" t="str">
        <f>[1]CK!C817</f>
        <v>NGUYỄN DUY TÙNG</v>
      </c>
      <c r="D789" s="15">
        <f t="shared" si="10"/>
        <v>1</v>
      </c>
      <c r="E789" s="16" t="str">
        <f>[1]CK!I817</f>
        <v>31/08/2023</v>
      </c>
      <c r="F789" s="15">
        <f>[1]CK!F817</f>
        <v>6710400</v>
      </c>
      <c r="G789" s="15">
        <f>[1]CK!N817</f>
        <v>5780000</v>
      </c>
      <c r="H789" s="17">
        <f>[1]CK!O817</f>
        <v>250000</v>
      </c>
      <c r="I789" s="17">
        <f>[1]CK!P817</f>
        <v>680400</v>
      </c>
      <c r="J789" s="18" t="s">
        <v>8</v>
      </c>
    </row>
    <row r="790" spans="1:10" x14ac:dyDescent="0.2">
      <c r="A790" s="4" t="s">
        <v>1990</v>
      </c>
      <c r="B790" s="15" t="str">
        <f>[1]CK!B818</f>
        <v>BkL230154</v>
      </c>
      <c r="C790" s="15" t="str">
        <f>[1]CK!C818</f>
        <v>NGUYỄN THỊ LAN PHƯƠNG</v>
      </c>
      <c r="D790" s="15">
        <f t="shared" si="10"/>
        <v>1</v>
      </c>
      <c r="E790" s="16" t="str">
        <f>[1]CK!I818</f>
        <v>31/08/2023</v>
      </c>
      <c r="F790" s="15">
        <f>[1]CK!F818</f>
        <v>13250400</v>
      </c>
      <c r="G790" s="15">
        <f>[1]CK!N818</f>
        <v>12320000</v>
      </c>
      <c r="H790" s="17">
        <f>[1]CK!O818</f>
        <v>250000</v>
      </c>
      <c r="I790" s="17">
        <f>[1]CK!P818</f>
        <v>680400</v>
      </c>
      <c r="J790" s="18" t="s">
        <v>8</v>
      </c>
    </row>
    <row r="791" spans="1:10" x14ac:dyDescent="0.2">
      <c r="A791" s="4" t="s">
        <v>1991</v>
      </c>
      <c r="B791" s="15" t="str">
        <f>[1]CK!B819</f>
        <v>bkl230121</v>
      </c>
      <c r="C791" s="15" t="str">
        <f>[1]CK!C819</f>
        <v>KHƯƠNG THỊ LY</v>
      </c>
      <c r="D791" s="15">
        <f t="shared" si="10"/>
        <v>1</v>
      </c>
      <c r="E791" s="16" t="str">
        <f>[1]CK!I819</f>
        <v>31/08/2023</v>
      </c>
      <c r="F791" s="15">
        <f>[1]CK!F819</f>
        <v>14790400</v>
      </c>
      <c r="G791" s="15">
        <f>[1]CK!N819</f>
        <v>13860000</v>
      </c>
      <c r="H791" s="17">
        <f>[1]CK!O819</f>
        <v>250000</v>
      </c>
      <c r="I791" s="17">
        <f>[1]CK!P819</f>
        <v>680400</v>
      </c>
      <c r="J791" s="18" t="s">
        <v>8</v>
      </c>
    </row>
    <row r="792" spans="1:10" x14ac:dyDescent="0.2">
      <c r="A792" s="4" t="s">
        <v>1992</v>
      </c>
      <c r="B792" s="15" t="str">
        <f>[1]CK!B820</f>
        <v>BGD230113</v>
      </c>
      <c r="C792" s="15" t="str">
        <f>[1]CK!C820</f>
        <v>NINH GIA KHÁNH</v>
      </c>
      <c r="D792" s="15">
        <f t="shared" si="10"/>
        <v>1</v>
      </c>
      <c r="E792" s="16" t="str">
        <f>[1]CK!I820</f>
        <v>31/08/2023</v>
      </c>
      <c r="F792" s="15">
        <f>[1]CK!F820</f>
        <v>14790400</v>
      </c>
      <c r="G792" s="15">
        <f>[1]CK!N820</f>
        <v>13860000</v>
      </c>
      <c r="H792" s="17">
        <f>[1]CK!O820</f>
        <v>250000</v>
      </c>
      <c r="I792" s="17">
        <f>[1]CK!P820</f>
        <v>680400</v>
      </c>
      <c r="J792" s="18" t="s">
        <v>8</v>
      </c>
    </row>
    <row r="793" spans="1:10" x14ac:dyDescent="0.2">
      <c r="A793" s="4" t="s">
        <v>1993</v>
      </c>
      <c r="B793" s="15" t="str">
        <f>[1]CK!B821</f>
        <v>bkl230068</v>
      </c>
      <c r="C793" s="15" t="str">
        <f>[1]CK!C821</f>
        <v>NGÔ ĐỨC HIỀN</v>
      </c>
      <c r="D793" s="15">
        <f t="shared" si="10"/>
        <v>1</v>
      </c>
      <c r="E793" s="16" t="str">
        <f>[1]CK!I821</f>
        <v>31/08/2023</v>
      </c>
      <c r="F793" s="15">
        <f>[1]CK!F821</f>
        <v>13250400</v>
      </c>
      <c r="G793" s="15">
        <f>[1]CK!N821</f>
        <v>12320000</v>
      </c>
      <c r="H793" s="17">
        <f>[1]CK!O821</f>
        <v>250000</v>
      </c>
      <c r="I793" s="17">
        <f>[1]CK!P821</f>
        <v>680400</v>
      </c>
      <c r="J793" s="18" t="s">
        <v>8</v>
      </c>
    </row>
    <row r="794" spans="1:10" x14ac:dyDescent="0.2">
      <c r="A794" s="4" t="s">
        <v>2053</v>
      </c>
      <c r="B794" s="15" t="str">
        <f>[1]CK!B822</f>
        <v>BGD230209</v>
      </c>
      <c r="C794" s="15" t="str">
        <f>[1]CK!C822</f>
        <v>PHAN VŨ MINH TRANG</v>
      </c>
      <c r="D794" s="15">
        <f t="shared" si="10"/>
        <v>1</v>
      </c>
      <c r="E794" s="16" t="str">
        <f>[1]CK!I822</f>
        <v>31/08/2023</v>
      </c>
      <c r="F794" s="15">
        <f>[1]CK!F822</f>
        <v>3630400</v>
      </c>
      <c r="G794" s="15">
        <f>[1]CK!N822</f>
        <v>2700000</v>
      </c>
      <c r="H794" s="17">
        <f>[1]CK!O822</f>
        <v>250000</v>
      </c>
      <c r="I794" s="17">
        <f>[1]CK!P822</f>
        <v>680400</v>
      </c>
      <c r="J794" s="18" t="s">
        <v>8</v>
      </c>
    </row>
    <row r="795" spans="1:10" x14ac:dyDescent="0.2">
      <c r="A795" s="4" t="s">
        <v>2054</v>
      </c>
      <c r="B795" s="15" t="str">
        <f>[1]CK!B823</f>
        <v>BGD230078</v>
      </c>
      <c r="C795" s="15" t="str">
        <f>[1]CK!C823</f>
        <v>TRẦN VĂN HIẾU</v>
      </c>
      <c r="D795" s="15">
        <f t="shared" si="10"/>
        <v>1</v>
      </c>
      <c r="E795" s="16" t="str">
        <f>[1]CK!I823</f>
        <v>31/08/2023</v>
      </c>
      <c r="F795" s="15">
        <f>[1]CK!F823</f>
        <v>13250400</v>
      </c>
      <c r="G795" s="15">
        <f>[1]CK!N823</f>
        <v>12320000</v>
      </c>
      <c r="H795" s="17">
        <f>[1]CK!O823</f>
        <v>250000</v>
      </c>
      <c r="I795" s="17">
        <f>[1]CK!P823</f>
        <v>680400</v>
      </c>
      <c r="J795" s="18" t="s">
        <v>8</v>
      </c>
    </row>
    <row r="796" spans="1:10" x14ac:dyDescent="0.2">
      <c r="A796" s="4" t="s">
        <v>2055</v>
      </c>
      <c r="B796" s="15" t="str">
        <f>[1]CK!B824</f>
        <v>bkl230008</v>
      </c>
      <c r="C796" s="15" t="str">
        <f>[1]CK!C824</f>
        <v>NGUYỄN THỊ MINH ANH</v>
      </c>
      <c r="D796" s="15">
        <f t="shared" si="10"/>
        <v>1</v>
      </c>
      <c r="E796" s="16" t="str">
        <f>[1]CK!I824</f>
        <v>31/08/2023</v>
      </c>
      <c r="F796" s="15">
        <f>[1]CK!F824</f>
        <v>14790400</v>
      </c>
      <c r="G796" s="15">
        <f>[1]CK!N824</f>
        <v>13860000</v>
      </c>
      <c r="H796" s="17">
        <f>[1]CK!O824</f>
        <v>250000</v>
      </c>
      <c r="I796" s="17">
        <f>[1]CK!P824</f>
        <v>680400</v>
      </c>
      <c r="J796" s="18" t="s">
        <v>8</v>
      </c>
    </row>
    <row r="797" spans="1:10" x14ac:dyDescent="0.2">
      <c r="A797" s="4" t="s">
        <v>2056</v>
      </c>
      <c r="B797" s="15" t="str">
        <f>[1]CK!B825</f>
        <v>BGD230211</v>
      </c>
      <c r="C797" s="15" t="str">
        <f>[1]CK!C825</f>
        <v>BÙI THỊ HUYỀN TRANG</v>
      </c>
      <c r="D797" s="15">
        <f t="shared" si="10"/>
        <v>1</v>
      </c>
      <c r="E797" s="16" t="str">
        <f>[1]CK!I825</f>
        <v>31/08/2023</v>
      </c>
      <c r="F797" s="15">
        <f>[1]CK!F825</f>
        <v>14790400</v>
      </c>
      <c r="G797" s="15">
        <f>[1]CK!N825</f>
        <v>13860000</v>
      </c>
      <c r="H797" s="17">
        <f>[1]CK!O825</f>
        <v>250000</v>
      </c>
      <c r="I797" s="17">
        <f>[1]CK!P825</f>
        <v>680400</v>
      </c>
      <c r="J797" s="18" t="s">
        <v>8</v>
      </c>
    </row>
    <row r="798" spans="1:10" x14ac:dyDescent="0.2">
      <c r="A798" s="4" t="s">
        <v>2057</v>
      </c>
      <c r="B798" s="15" t="str">
        <f>[1]CK!B826</f>
        <v>BKL230122</v>
      </c>
      <c r="C798" s="15" t="str">
        <f>[1]CK!C826</f>
        <v>LÊ HÀ LY</v>
      </c>
      <c r="D798" s="15">
        <f t="shared" si="10"/>
        <v>1</v>
      </c>
      <c r="E798" s="16" t="str">
        <f>[1]CK!I826</f>
        <v>31/08/2023</v>
      </c>
      <c r="F798" s="15">
        <f>[1]CK!F826</f>
        <v>13250400</v>
      </c>
      <c r="G798" s="15">
        <f>[1]CK!N826</f>
        <v>12320000</v>
      </c>
      <c r="H798" s="17">
        <f>[1]CK!O826</f>
        <v>250000</v>
      </c>
      <c r="I798" s="17">
        <f>[1]CK!P826</f>
        <v>680400</v>
      </c>
      <c r="J798" s="18" t="s">
        <v>8</v>
      </c>
    </row>
    <row r="799" spans="1:10" x14ac:dyDescent="0.2">
      <c r="A799" s="4" t="s">
        <v>2058</v>
      </c>
      <c r="B799" s="15" t="str">
        <f>[1]CK!B827</f>
        <v>bkl230063</v>
      </c>
      <c r="C799" s="15" t="str">
        <f>[1]CK!C827</f>
        <v>CHỬ GIA HÂN</v>
      </c>
      <c r="D799" s="15">
        <f t="shared" si="10"/>
        <v>1</v>
      </c>
      <c r="E799" s="16" t="str">
        <f>[1]CK!I827</f>
        <v>31/08/2023</v>
      </c>
      <c r="F799" s="15">
        <f>[1]CK!F827</f>
        <v>16330400</v>
      </c>
      <c r="G799" s="15">
        <f>[1]CK!N827</f>
        <v>15400000</v>
      </c>
      <c r="H799" s="17">
        <f>[1]CK!O827</f>
        <v>250000</v>
      </c>
      <c r="I799" s="17">
        <f>[1]CK!P827</f>
        <v>680400</v>
      </c>
      <c r="J799" s="18" t="s">
        <v>8</v>
      </c>
    </row>
    <row r="800" spans="1:10" x14ac:dyDescent="0.2">
      <c r="A800" s="4" t="s">
        <v>2059</v>
      </c>
      <c r="B800" s="15" t="str">
        <f>[1]CK!B828</f>
        <v>BGD230126</v>
      </c>
      <c r="C800" s="15" t="str">
        <f>[1]CK!C828</f>
        <v>VƯƠNG THÀNH LINH</v>
      </c>
      <c r="D800" s="15">
        <f t="shared" si="10"/>
        <v>1</v>
      </c>
      <c r="E800" s="16" t="str">
        <f>[1]CK!I828</f>
        <v>31/08/2023</v>
      </c>
      <c r="F800" s="15">
        <f>[1]CK!F828</f>
        <v>6710400</v>
      </c>
      <c r="G800" s="15">
        <f>[1]CK!N828</f>
        <v>5780000</v>
      </c>
      <c r="H800" s="17">
        <f>[1]CK!O828</f>
        <v>250000</v>
      </c>
      <c r="I800" s="17">
        <f>[1]CK!P828</f>
        <v>680400</v>
      </c>
      <c r="J800" s="18" t="s">
        <v>8</v>
      </c>
    </row>
    <row r="801" spans="1:10" x14ac:dyDescent="0.2">
      <c r="A801" s="4" t="s">
        <v>2060</v>
      </c>
      <c r="B801" s="15" t="str">
        <f>[1]CK!B829</f>
        <v>bgd230024</v>
      </c>
      <c r="C801" s="15" t="str">
        <f>[1]CK!C829</f>
        <v>NGUYỄN THỊ MINH ÁNH</v>
      </c>
      <c r="D801" s="15">
        <f t="shared" si="10"/>
        <v>1</v>
      </c>
      <c r="E801" s="16" t="str">
        <f>[1]CK!I829</f>
        <v>31/08/2023</v>
      </c>
      <c r="F801" s="15">
        <f>[1]CK!F829</f>
        <v>16330400</v>
      </c>
      <c r="G801" s="15">
        <f>[1]CK!N829</f>
        <v>15400000</v>
      </c>
      <c r="H801" s="17">
        <f>[1]CK!O829</f>
        <v>250000</v>
      </c>
      <c r="I801" s="17">
        <f>[1]CK!P829</f>
        <v>680400</v>
      </c>
      <c r="J801" s="18" t="s">
        <v>8</v>
      </c>
    </row>
    <row r="802" spans="1:10" x14ac:dyDescent="0.2">
      <c r="A802" s="4" t="s">
        <v>2061</v>
      </c>
      <c r="B802" s="15" t="str">
        <f>[1]CK!B830</f>
        <v>bgd230043</v>
      </c>
      <c r="C802" s="15" t="str">
        <f>[1]CK!C830</f>
        <v>LÊ MINH ĐỨC</v>
      </c>
      <c r="D802" s="15">
        <f t="shared" si="10"/>
        <v>1</v>
      </c>
      <c r="E802" s="16" t="str">
        <f>[1]CK!I830</f>
        <v>31/08/2023</v>
      </c>
      <c r="F802" s="15">
        <f>[1]CK!F830</f>
        <v>8250400</v>
      </c>
      <c r="G802" s="15">
        <f>[1]CK!N830</f>
        <v>7320000</v>
      </c>
      <c r="H802" s="17">
        <f>[1]CK!O830</f>
        <v>250000</v>
      </c>
      <c r="I802" s="17">
        <f>[1]CK!P830</f>
        <v>680400</v>
      </c>
      <c r="J802" s="18" t="s">
        <v>8</v>
      </c>
    </row>
    <row r="803" spans="1:10" x14ac:dyDescent="0.2">
      <c r="A803" s="4" t="s">
        <v>2062</v>
      </c>
      <c r="B803" s="15" t="str">
        <f>[1]CK!B831</f>
        <v>BKL230080</v>
      </c>
      <c r="C803" s="15" t="str">
        <f>[1]CK!C831</f>
        <v>PHẠM THU HƯƠNG</v>
      </c>
      <c r="D803" s="15">
        <f t="shared" si="10"/>
        <v>1</v>
      </c>
      <c r="E803" s="16" t="str">
        <f>[1]CK!I831</f>
        <v>31/08/2023</v>
      </c>
      <c r="F803" s="15">
        <f>[1]CK!F831</f>
        <v>5550400</v>
      </c>
      <c r="G803" s="15">
        <f>[1]CK!N831</f>
        <v>4620000</v>
      </c>
      <c r="H803" s="17">
        <f>[1]CK!O831</f>
        <v>250000</v>
      </c>
      <c r="I803" s="17">
        <f>[1]CK!P831</f>
        <v>680400</v>
      </c>
      <c r="J803" s="18" t="s">
        <v>8</v>
      </c>
    </row>
    <row r="804" spans="1:10" x14ac:dyDescent="0.2">
      <c r="A804" s="4" t="s">
        <v>2063</v>
      </c>
      <c r="B804" s="15" t="str">
        <f>[1]CK!B832</f>
        <v>bit230477</v>
      </c>
      <c r="C804" s="15" t="str">
        <f>[1]CK!C832</f>
        <v>NGUYỄN TUẤN ANH</v>
      </c>
      <c r="D804" s="15">
        <f t="shared" si="10"/>
        <v>1</v>
      </c>
      <c r="E804" s="16" t="str">
        <f>[1]CK!I832</f>
        <v>31/08/2023</v>
      </c>
      <c r="F804" s="15">
        <f>[1]CK!F832</f>
        <v>19130400</v>
      </c>
      <c r="G804" s="15">
        <f>[1]CK!N832</f>
        <v>18200000</v>
      </c>
      <c r="H804" s="17">
        <f>[1]CK!O832</f>
        <v>250000</v>
      </c>
      <c r="I804" s="17">
        <f>[1]CK!P832</f>
        <v>680400</v>
      </c>
      <c r="J804" s="18" t="s">
        <v>8</v>
      </c>
    </row>
    <row r="805" spans="1:10" x14ac:dyDescent="0.2">
      <c r="A805" s="4" t="s">
        <v>2064</v>
      </c>
      <c r="B805" s="15" t="str">
        <f>[1]CK!B833</f>
        <v>bgd230084</v>
      </c>
      <c r="C805" s="15" t="str">
        <f>[1]CK!C833</f>
        <v>NGUYỄN HUY HOÀNG</v>
      </c>
      <c r="D805" s="15">
        <f t="shared" si="10"/>
        <v>1</v>
      </c>
      <c r="E805" s="16" t="str">
        <f>[1]CK!I833</f>
        <v>31/08/2023</v>
      </c>
      <c r="F805" s="15">
        <f>[1]CK!F833</f>
        <v>13250400</v>
      </c>
      <c r="G805" s="15">
        <f>[1]CK!N833</f>
        <v>12320000</v>
      </c>
      <c r="H805" s="17">
        <f>[1]CK!O833</f>
        <v>250000</v>
      </c>
      <c r="I805" s="17">
        <f>[1]CK!P833</f>
        <v>680400</v>
      </c>
      <c r="J805" s="18" t="s">
        <v>8</v>
      </c>
    </row>
    <row r="806" spans="1:10" x14ac:dyDescent="0.2">
      <c r="A806" s="4" t="s">
        <v>2065</v>
      </c>
      <c r="B806" s="15" t="str">
        <f>[1]CK!B834</f>
        <v>bgd230205</v>
      </c>
      <c r="C806" s="15" t="str">
        <f>[1]CK!C834</f>
        <v>NGUYỄN XUÂN TIẾN</v>
      </c>
      <c r="D806" s="15">
        <f t="shared" si="10"/>
        <v>1</v>
      </c>
      <c r="E806" s="16" t="str">
        <f>[1]CK!I834</f>
        <v>31/08/2023</v>
      </c>
      <c r="F806" s="15">
        <f>[1]CK!F834</f>
        <v>6710400</v>
      </c>
      <c r="G806" s="15">
        <f>[1]CK!N834</f>
        <v>5780000</v>
      </c>
      <c r="H806" s="17">
        <f>[1]CK!O834</f>
        <v>250000</v>
      </c>
      <c r="I806" s="17">
        <f>[1]CK!P834</f>
        <v>680400</v>
      </c>
      <c r="J806" s="18" t="s">
        <v>8</v>
      </c>
    </row>
    <row r="807" spans="1:10" x14ac:dyDescent="0.2">
      <c r="A807" s="4" t="s">
        <v>2066</v>
      </c>
      <c r="B807" s="15" t="str">
        <f>[1]CK!B835</f>
        <v>bgd230197</v>
      </c>
      <c r="C807" s="15" t="str">
        <f>[1]CK!C835</f>
        <v>NGUYỄN VY THẢO</v>
      </c>
      <c r="D807" s="15">
        <f t="shared" si="10"/>
        <v>1</v>
      </c>
      <c r="E807" s="16" t="str">
        <f>[1]CK!I835</f>
        <v>31/08/2023</v>
      </c>
      <c r="F807" s="15">
        <f>[1]CK!F835</f>
        <v>6710400</v>
      </c>
      <c r="G807" s="15">
        <f>[1]CK!N835</f>
        <v>5780000</v>
      </c>
      <c r="H807" s="17">
        <f>[1]CK!O835</f>
        <v>250000</v>
      </c>
      <c r="I807" s="17">
        <f>[1]CK!P835</f>
        <v>680400</v>
      </c>
      <c r="J807" s="18" t="s">
        <v>8</v>
      </c>
    </row>
    <row r="808" spans="1:10" x14ac:dyDescent="0.2">
      <c r="A808" s="4" t="s">
        <v>2067</v>
      </c>
      <c r="B808" s="15" t="str">
        <f>[1]CK!B836</f>
        <v>bit230474</v>
      </c>
      <c r="C808" s="15" t="str">
        <f>[1]CK!C836</f>
        <v>NGUYỄN PHÚ TRỌNG</v>
      </c>
      <c r="D808" s="15">
        <f t="shared" ref="D808:D839" si="11">COUNTIF($B$2:$B$845,B808)</f>
        <v>1</v>
      </c>
      <c r="E808" s="16" t="str">
        <f>[1]CK!I836</f>
        <v>31/08/2023</v>
      </c>
      <c r="F808" s="15">
        <f>[1]CK!F836</f>
        <v>19130400</v>
      </c>
      <c r="G808" s="15">
        <f>[1]CK!N836</f>
        <v>18200000</v>
      </c>
      <c r="H808" s="17">
        <f>[1]CK!O836</f>
        <v>250000</v>
      </c>
      <c r="I808" s="17">
        <f>[1]CK!P836</f>
        <v>680400</v>
      </c>
      <c r="J808" s="18" t="s">
        <v>8</v>
      </c>
    </row>
    <row r="809" spans="1:10" x14ac:dyDescent="0.2">
      <c r="A809" s="4" t="s">
        <v>2068</v>
      </c>
      <c r="B809" s="15" t="str">
        <f>[1]CK!B837</f>
        <v>BGD230097</v>
      </c>
      <c r="C809" s="15" t="str">
        <f>[1]CK!C837</f>
        <v>NGUYỄN QUỲNH HƯƠNG</v>
      </c>
      <c r="D809" s="15">
        <f t="shared" si="11"/>
        <v>1</v>
      </c>
      <c r="E809" s="16" t="str">
        <f>[1]CK!I837</f>
        <v>31/08/2023</v>
      </c>
      <c r="F809" s="15">
        <f>[1]CK!F837</f>
        <v>14790400</v>
      </c>
      <c r="G809" s="15">
        <f>[1]CK!N837</f>
        <v>13860000</v>
      </c>
      <c r="H809" s="17">
        <f>[1]CK!O837</f>
        <v>250000</v>
      </c>
      <c r="I809" s="17">
        <f>[1]CK!P837</f>
        <v>680400</v>
      </c>
      <c r="J809" s="18" t="s">
        <v>8</v>
      </c>
    </row>
    <row r="810" spans="1:10" x14ac:dyDescent="0.2">
      <c r="A810" s="4" t="s">
        <v>2069</v>
      </c>
      <c r="B810" s="15" t="str">
        <f>[1]CK!B838</f>
        <v>bkl230020</v>
      </c>
      <c r="C810" s="15" t="str">
        <f>[1]CK!C838</f>
        <v>NGUYỄN NGUYỆT ÁNH</v>
      </c>
      <c r="D810" s="15">
        <f t="shared" si="11"/>
        <v>1</v>
      </c>
      <c r="E810" s="16" t="str">
        <f>[1]CK!I838</f>
        <v>31/08/2023</v>
      </c>
      <c r="F810" s="15">
        <f>[1]CK!F838</f>
        <v>16330400</v>
      </c>
      <c r="G810" s="15">
        <f>[1]CK!N838</f>
        <v>15400000</v>
      </c>
      <c r="H810" s="17">
        <f>[1]CK!O838</f>
        <v>250000</v>
      </c>
      <c r="I810" s="17">
        <f>[1]CK!P838</f>
        <v>680400</v>
      </c>
      <c r="J810" s="18" t="s">
        <v>8</v>
      </c>
    </row>
    <row r="811" spans="1:10" x14ac:dyDescent="0.2">
      <c r="A811" s="4" t="s">
        <v>2070</v>
      </c>
      <c r="B811" s="15" t="str">
        <f>[1]CK!B839</f>
        <v>bba230143</v>
      </c>
      <c r="C811" s="15" t="str">
        <f>[1]CK!C839</f>
        <v>VŨ VĂN HIỆP</v>
      </c>
      <c r="D811" s="15">
        <f t="shared" si="11"/>
        <v>1</v>
      </c>
      <c r="E811" s="16" t="str">
        <f>[1]CK!I839</f>
        <v>31/08/2023</v>
      </c>
      <c r="F811" s="15">
        <f>[1]CK!F839</f>
        <v>16050400</v>
      </c>
      <c r="G811" s="15">
        <f>[1]CK!N839</f>
        <v>15120000</v>
      </c>
      <c r="H811" s="17">
        <f>[1]CK!O839</f>
        <v>250000</v>
      </c>
      <c r="I811" s="17">
        <f>[1]CK!P839</f>
        <v>680400</v>
      </c>
      <c r="J811" s="18" t="s">
        <v>8</v>
      </c>
    </row>
    <row r="812" spans="1:10" x14ac:dyDescent="0.2">
      <c r="A812" s="4" t="s">
        <v>2071</v>
      </c>
      <c r="B812" s="15" t="str">
        <f>[1]CK!B840</f>
        <v>bjl230036</v>
      </c>
      <c r="C812" s="15" t="str">
        <f>[1]CK!C840</f>
        <v>ĐÀO THỊ PHƯƠNG</v>
      </c>
      <c r="D812" s="15">
        <f t="shared" si="11"/>
        <v>1</v>
      </c>
      <c r="E812" s="16" t="str">
        <f>[1]CK!I840</f>
        <v>31/08/2023</v>
      </c>
      <c r="F812" s="15">
        <f>[1]CK!F840</f>
        <v>16330400</v>
      </c>
      <c r="G812" s="15">
        <f>[1]CK!N840</f>
        <v>15400000</v>
      </c>
      <c r="H812" s="17">
        <f>[1]CK!O840</f>
        <v>250000</v>
      </c>
      <c r="I812" s="17">
        <f>[1]CK!P840</f>
        <v>680400</v>
      </c>
      <c r="J812" s="18" t="s">
        <v>8</v>
      </c>
    </row>
    <row r="813" spans="1:10" x14ac:dyDescent="0.2">
      <c r="A813" s="4" t="s">
        <v>2072</v>
      </c>
      <c r="B813" s="15" t="str">
        <f>[1]CK!B841</f>
        <v>BGD230045</v>
      </c>
      <c r="C813" s="15" t="str">
        <f>[1]CK!C841</f>
        <v>TRƯƠNG NGỌC ĐỨC</v>
      </c>
      <c r="D813" s="15">
        <f t="shared" si="11"/>
        <v>1</v>
      </c>
      <c r="E813" s="16" t="str">
        <f>[1]CK!I841</f>
        <v>31/08/2023</v>
      </c>
      <c r="F813" s="15">
        <f>[1]CK!F841</f>
        <v>3630400</v>
      </c>
      <c r="G813" s="15">
        <f>[1]CK!N841</f>
        <v>2700000</v>
      </c>
      <c r="H813" s="17">
        <f>[1]CK!O841</f>
        <v>250000</v>
      </c>
      <c r="I813" s="17">
        <f>[1]CK!P841</f>
        <v>680400</v>
      </c>
      <c r="J813" s="18" t="s">
        <v>8</v>
      </c>
    </row>
    <row r="814" spans="1:10" x14ac:dyDescent="0.2">
      <c r="A814" s="4" t="s">
        <v>2073</v>
      </c>
      <c r="B814" s="15" t="str">
        <f>[1]CK!B842</f>
        <v>BKL230018</v>
      </c>
      <c r="C814" s="15" t="str">
        <f>[1]CK!C842</f>
        <v>TRẦN TUẤN ANH</v>
      </c>
      <c r="D814" s="15">
        <f t="shared" si="11"/>
        <v>1</v>
      </c>
      <c r="E814" s="16" t="str">
        <f>[1]CK!I842</f>
        <v>31/08/2023</v>
      </c>
      <c r="F814" s="15">
        <f>[1]CK!F842</f>
        <v>13250400</v>
      </c>
      <c r="G814" s="15">
        <f>[1]CK!N842</f>
        <v>12320000</v>
      </c>
      <c r="H814" s="17">
        <f>[1]CK!O842</f>
        <v>250000</v>
      </c>
      <c r="I814" s="17">
        <f>[1]CK!P842</f>
        <v>680400</v>
      </c>
      <c r="J814" s="18" t="s">
        <v>8</v>
      </c>
    </row>
    <row r="815" spans="1:10" x14ac:dyDescent="0.2">
      <c r="A815" s="4" t="s">
        <v>2074</v>
      </c>
      <c r="B815" s="15" t="str">
        <f>[1]CK!B843</f>
        <v>BKL230089</v>
      </c>
      <c r="C815" s="15" t="str">
        <f>[1]CK!C843</f>
        <v>LÊ MINH HUYỀN</v>
      </c>
      <c r="D815" s="15">
        <f t="shared" si="11"/>
        <v>1</v>
      </c>
      <c r="E815" s="16" t="str">
        <f>[1]CK!I843</f>
        <v>31/08/2023</v>
      </c>
      <c r="F815" s="15">
        <f>[1]CK!F843</f>
        <v>6710400</v>
      </c>
      <c r="G815" s="15">
        <f>[1]CK!N843</f>
        <v>5780000</v>
      </c>
      <c r="H815" s="17">
        <f>[1]CK!O843</f>
        <v>250000</v>
      </c>
      <c r="I815" s="17">
        <f>[1]CK!P843</f>
        <v>680400</v>
      </c>
      <c r="J815" s="18" t="s">
        <v>8</v>
      </c>
    </row>
    <row r="816" spans="1:10" x14ac:dyDescent="0.2">
      <c r="A816" s="4" t="s">
        <v>2075</v>
      </c>
      <c r="B816" s="15" t="str">
        <f>[1]CK!B844</f>
        <v>bba230198</v>
      </c>
      <c r="C816" s="15" t="str">
        <f>[1]CK!C844</f>
        <v>ĐÀM DUY KHÁNH</v>
      </c>
      <c r="D816" s="15">
        <f t="shared" si="11"/>
        <v>1</v>
      </c>
      <c r="E816" s="16" t="str">
        <f>[1]CK!I844</f>
        <v>31/08/2023</v>
      </c>
      <c r="F816" s="15">
        <f>[1]CK!F844</f>
        <v>9370400</v>
      </c>
      <c r="G816" s="15">
        <f>[1]CK!N844</f>
        <v>8440000</v>
      </c>
      <c r="H816" s="17">
        <f>[1]CK!O844</f>
        <v>250000</v>
      </c>
      <c r="I816" s="17">
        <f>[1]CK!P844</f>
        <v>680400</v>
      </c>
      <c r="J816" s="18" t="s">
        <v>8</v>
      </c>
    </row>
    <row r="817" spans="1:10" x14ac:dyDescent="0.2">
      <c r="A817" s="4" t="s">
        <v>2076</v>
      </c>
      <c r="B817" s="15" t="str">
        <f>[1]CK!B845</f>
        <v>BGD230222</v>
      </c>
      <c r="C817" s="15" t="str">
        <f>[1]CK!C845</f>
        <v>NGUYỄN SƠN TÙNG</v>
      </c>
      <c r="D817" s="15">
        <f t="shared" si="11"/>
        <v>1</v>
      </c>
      <c r="E817" s="16" t="str">
        <f>[1]CK!I845</f>
        <v>31/08/2023</v>
      </c>
      <c r="F817" s="15">
        <f>[1]CK!F845</f>
        <v>6710400</v>
      </c>
      <c r="G817" s="15">
        <f>[1]CK!N845</f>
        <v>5780000</v>
      </c>
      <c r="H817" s="17">
        <f>[1]CK!O845</f>
        <v>250000</v>
      </c>
      <c r="I817" s="17">
        <f>[1]CK!P845</f>
        <v>680400</v>
      </c>
      <c r="J817" s="18" t="s">
        <v>8</v>
      </c>
    </row>
    <row r="818" spans="1:10" x14ac:dyDescent="0.2">
      <c r="A818" s="4" t="s">
        <v>2077</v>
      </c>
      <c r="B818" s="15" t="str">
        <f>[1]CK!B846</f>
        <v>BBA230084</v>
      </c>
      <c r="C818" s="15" t="str">
        <f>[1]CK!C846</f>
        <v>LÊ NGUYỄN HẢI ĐĂNG</v>
      </c>
      <c r="D818" s="15">
        <f t="shared" si="11"/>
        <v>1</v>
      </c>
      <c r="E818" s="16" t="str">
        <f>[1]CK!I846</f>
        <v>31/08/2023</v>
      </c>
      <c r="F818" s="15">
        <f>[1]CK!F846</f>
        <v>9370400</v>
      </c>
      <c r="G818" s="15">
        <f>[1]CK!N846</f>
        <v>8440000</v>
      </c>
      <c r="H818" s="17">
        <f>[1]CK!O846</f>
        <v>250000</v>
      </c>
      <c r="I818" s="17">
        <f>[1]CK!P846</f>
        <v>680400</v>
      </c>
      <c r="J818" s="18" t="s">
        <v>8</v>
      </c>
    </row>
    <row r="819" spans="1:10" x14ac:dyDescent="0.2">
      <c r="A819" s="4" t="s">
        <v>2078</v>
      </c>
      <c r="B819" s="15" t="str">
        <f>[1]CK!B847</f>
        <v>BKL230210</v>
      </c>
      <c r="C819" s="15" t="str">
        <f>[1]CK!C847</f>
        <v>VŨ HÀ GIANG</v>
      </c>
      <c r="D819" s="15">
        <f t="shared" si="11"/>
        <v>1</v>
      </c>
      <c r="E819" s="16" t="str">
        <f>[1]CK!I847</f>
        <v>31/08/2023</v>
      </c>
      <c r="F819" s="15">
        <f>[1]CK!F847</f>
        <v>10000000</v>
      </c>
      <c r="G819" s="15">
        <f>[1]CK!N847</f>
        <v>10000000</v>
      </c>
      <c r="H819" s="17">
        <f>[1]CK!O847</f>
        <v>0</v>
      </c>
      <c r="I819" s="17">
        <f>[1]CK!P847</f>
        <v>0</v>
      </c>
      <c r="J819" s="18" t="s">
        <v>8</v>
      </c>
    </row>
    <row r="820" spans="1:10" x14ac:dyDescent="0.2">
      <c r="A820" s="4" t="s">
        <v>2079</v>
      </c>
      <c r="B820" s="15" t="str">
        <f>[1]CK!B848</f>
        <v>BKL230111</v>
      </c>
      <c r="C820" s="15" t="str">
        <f>[1]CK!C848</f>
        <v>TRẦN NGỌC LINH</v>
      </c>
      <c r="D820" s="15">
        <f t="shared" si="11"/>
        <v>1</v>
      </c>
      <c r="E820" s="16" t="str">
        <f>[1]CK!I848</f>
        <v>31/08/2023</v>
      </c>
      <c r="F820" s="15">
        <f>[1]CK!F848</f>
        <v>2000000</v>
      </c>
      <c r="G820" s="15">
        <f>[1]CK!N848</f>
        <v>2000000</v>
      </c>
      <c r="H820" s="17">
        <f>[1]CK!O848</f>
        <v>0</v>
      </c>
      <c r="I820" s="17">
        <f>[1]CK!P848</f>
        <v>0</v>
      </c>
      <c r="J820" s="18" t="s">
        <v>8</v>
      </c>
    </row>
    <row r="821" spans="1:10" x14ac:dyDescent="0.2">
      <c r="A821" s="4" t="s">
        <v>2080</v>
      </c>
      <c r="B821" s="15" t="str">
        <f>[1]CK!B849</f>
        <v>bgd230132</v>
      </c>
      <c r="C821" s="15" t="str">
        <f>[1]CK!C849</f>
        <v>PHẠM THỊ LUYÊN</v>
      </c>
      <c r="D821" s="15">
        <f t="shared" si="11"/>
        <v>1</v>
      </c>
      <c r="E821" s="16" t="str">
        <f>[1]CK!I849</f>
        <v>31/08/2023</v>
      </c>
      <c r="F821" s="15">
        <f>[1]CK!F849</f>
        <v>14790400</v>
      </c>
      <c r="G821" s="15">
        <f>[1]CK!N849</f>
        <v>13860000</v>
      </c>
      <c r="H821" s="17">
        <f>[1]CK!O849</f>
        <v>250000</v>
      </c>
      <c r="I821" s="17">
        <f>[1]CK!P849</f>
        <v>680400</v>
      </c>
      <c r="J821" s="18" t="s">
        <v>8</v>
      </c>
    </row>
    <row r="822" spans="1:10" x14ac:dyDescent="0.2">
      <c r="A822" s="4" t="s">
        <v>2081</v>
      </c>
      <c r="B822" s="15" t="str">
        <f>[1]CK!B850</f>
        <v>BGD230149</v>
      </c>
      <c r="C822" s="15" t="str">
        <f>[1]CK!C850</f>
        <v>LÊ PHƯƠNG NAM</v>
      </c>
      <c r="D822" s="15">
        <f t="shared" si="11"/>
        <v>1</v>
      </c>
      <c r="E822" s="16" t="str">
        <f>[1]CK!I850</f>
        <v>31/08/2023</v>
      </c>
      <c r="F822" s="15">
        <f>[1]CK!F850</f>
        <v>16330400</v>
      </c>
      <c r="G822" s="15">
        <f>[1]CK!N850</f>
        <v>15400000</v>
      </c>
      <c r="H822" s="17">
        <f>[1]CK!O850</f>
        <v>250000</v>
      </c>
      <c r="I822" s="17">
        <f>[1]CK!P850</f>
        <v>680400</v>
      </c>
      <c r="J822" s="18" t="s">
        <v>8</v>
      </c>
    </row>
    <row r="823" spans="1:10" x14ac:dyDescent="0.2">
      <c r="A823" s="4" t="s">
        <v>2082</v>
      </c>
      <c r="B823" s="15" t="str">
        <f>[1]CK!B851</f>
        <v>bgd230054</v>
      </c>
      <c r="C823" s="15" t="str">
        <f>[1]CK!C851</f>
        <v>NGÔ MINH DƯƠNG</v>
      </c>
      <c r="D823" s="15">
        <f t="shared" si="11"/>
        <v>1</v>
      </c>
      <c r="E823" s="16" t="str">
        <f>[1]CK!I851</f>
        <v>31/08/2023</v>
      </c>
      <c r="F823" s="15">
        <f>[1]CK!F851</f>
        <v>8250400</v>
      </c>
      <c r="G823" s="15">
        <f>[1]CK!N851</f>
        <v>7320000</v>
      </c>
      <c r="H823" s="17">
        <f>[1]CK!O851</f>
        <v>250000</v>
      </c>
      <c r="I823" s="17">
        <f>[1]CK!P851</f>
        <v>680400</v>
      </c>
      <c r="J823" s="18" t="s">
        <v>8</v>
      </c>
    </row>
    <row r="824" spans="1:10" x14ac:dyDescent="0.2">
      <c r="A824" s="4" t="s">
        <v>2083</v>
      </c>
      <c r="B824" s="15" t="str">
        <f>[1]CK!B852</f>
        <v>BGD230080</v>
      </c>
      <c r="C824" s="15" t="str">
        <f>[1]CK!C852</f>
        <v>NGUYỄN TUẤN HIẾU</v>
      </c>
      <c r="D824" s="15">
        <f t="shared" si="11"/>
        <v>1</v>
      </c>
      <c r="E824" s="16" t="str">
        <f>[1]CK!I852</f>
        <v>31/08/2023</v>
      </c>
      <c r="F824" s="15">
        <f>[1]CK!F852</f>
        <v>6710400</v>
      </c>
      <c r="G824" s="15">
        <f>[1]CK!N852</f>
        <v>5780000</v>
      </c>
      <c r="H824" s="17">
        <f>[1]CK!O852</f>
        <v>250000</v>
      </c>
      <c r="I824" s="17">
        <f>[1]CK!P852</f>
        <v>680400</v>
      </c>
      <c r="J824" s="18" t="s">
        <v>8</v>
      </c>
    </row>
    <row r="825" spans="1:10" x14ac:dyDescent="0.2">
      <c r="A825" s="4" t="s">
        <v>2084</v>
      </c>
      <c r="B825" s="15" t="str">
        <f>[1]CK!B853</f>
        <v>bgd230022</v>
      </c>
      <c r="C825" s="15" t="str">
        <f>[1]CK!C853</f>
        <v>NGUYỄN NGỌC ÁNH</v>
      </c>
      <c r="D825" s="15">
        <f t="shared" si="11"/>
        <v>1</v>
      </c>
      <c r="E825" s="16" t="str">
        <f>[1]CK!I853</f>
        <v>31/08/2023</v>
      </c>
      <c r="F825" s="15">
        <f>[1]CK!F853</f>
        <v>13250400</v>
      </c>
      <c r="G825" s="15">
        <f>[1]CK!N853</f>
        <v>12320000</v>
      </c>
      <c r="H825" s="17">
        <f>[1]CK!O853</f>
        <v>250000</v>
      </c>
      <c r="I825" s="17">
        <f>[1]CK!P853</f>
        <v>680400</v>
      </c>
      <c r="J825" s="18" t="s">
        <v>8</v>
      </c>
    </row>
    <row r="826" spans="1:10" x14ac:dyDescent="0.2">
      <c r="A826" s="4" t="s">
        <v>2085</v>
      </c>
      <c r="B826" s="15" t="str">
        <f>[1]CK!B855</f>
        <v>BGD230028</v>
      </c>
      <c r="C826" s="15" t="str">
        <f>[1]CK!C855</f>
        <v>ĐỒNG THỊ HẢI BÌNH</v>
      </c>
      <c r="D826" s="15">
        <f t="shared" si="11"/>
        <v>2</v>
      </c>
      <c r="E826" s="16" t="str">
        <f>[1]CK!I855</f>
        <v>31/08/2023</v>
      </c>
      <c r="F826" s="15">
        <f>[1]CK!F855</f>
        <v>380000</v>
      </c>
      <c r="G826" s="15">
        <f>[1]CK!N855</f>
        <v>0</v>
      </c>
      <c r="H826" s="17">
        <f>[1]CK!O855</f>
        <v>0</v>
      </c>
      <c r="I826" s="17">
        <f>[1]CK!P855</f>
        <v>380000</v>
      </c>
      <c r="J826" s="18" t="s">
        <v>8</v>
      </c>
    </row>
    <row r="827" spans="1:10" x14ac:dyDescent="0.2">
      <c r="A827" s="4" t="s">
        <v>2086</v>
      </c>
      <c r="B827" s="15" t="str">
        <f>[1]CK!B856</f>
        <v>bgd230051</v>
      </c>
      <c r="C827" s="15" t="str">
        <f>[1]CK!C856</f>
        <v>ĐỖ THÙY DƯƠNG</v>
      </c>
      <c r="D827" s="15">
        <f t="shared" si="11"/>
        <v>1</v>
      </c>
      <c r="E827" s="16" t="str">
        <f>[1]CK!I856</f>
        <v>31/08/2023</v>
      </c>
      <c r="F827" s="15">
        <f>[1]CK!F856</f>
        <v>8250400</v>
      </c>
      <c r="G827" s="15">
        <f>[1]CK!N856</f>
        <v>7320000</v>
      </c>
      <c r="H827" s="17">
        <f>[1]CK!O856</f>
        <v>250000</v>
      </c>
      <c r="I827" s="17">
        <f>[1]CK!P856</f>
        <v>680400</v>
      </c>
      <c r="J827" s="18" t="s">
        <v>8</v>
      </c>
    </row>
    <row r="828" spans="1:10" x14ac:dyDescent="0.2">
      <c r="A828" s="4" t="s">
        <v>2087</v>
      </c>
      <c r="B828" s="15" t="str">
        <f>[1]CK!B857</f>
        <v>BGD230156</v>
      </c>
      <c r="C828" s="15" t="str">
        <f>[1]CK!C857</f>
        <v>BẠCH ĐĂNG NGUYÊN</v>
      </c>
      <c r="D828" s="15">
        <f t="shared" si="11"/>
        <v>2</v>
      </c>
      <c r="E828" s="16" t="str">
        <f>[1]CK!I857</f>
        <v>31/08/2023</v>
      </c>
      <c r="F828" s="15">
        <f>[1]CK!F857</f>
        <v>380000</v>
      </c>
      <c r="G828" s="15">
        <f>[1]CK!N857</f>
        <v>0</v>
      </c>
      <c r="H828" s="17">
        <f>[1]CK!O857</f>
        <v>0</v>
      </c>
      <c r="I828" s="17">
        <f>[1]CK!P857</f>
        <v>380000</v>
      </c>
      <c r="J828" s="18" t="s">
        <v>8</v>
      </c>
    </row>
    <row r="829" spans="1:10" x14ac:dyDescent="0.2">
      <c r="A829" s="4" t="s">
        <v>2088</v>
      </c>
      <c r="B829" s="15" t="str">
        <f>[1]CK!B858</f>
        <v>BGD230203</v>
      </c>
      <c r="C829" s="15" t="str">
        <f>[1]CK!C858</f>
        <v>NGUYỄN THỊ THANH THUÝ</v>
      </c>
      <c r="D829" s="15">
        <f t="shared" si="11"/>
        <v>1</v>
      </c>
      <c r="E829" s="16" t="str">
        <f>[1]CK!I858</f>
        <v>31/08/2023</v>
      </c>
      <c r="F829" s="15">
        <f>[1]CK!F858</f>
        <v>16330400</v>
      </c>
      <c r="G829" s="15">
        <f>[1]CK!N858</f>
        <v>15400000</v>
      </c>
      <c r="H829" s="17">
        <f>[1]CK!O858</f>
        <v>250000</v>
      </c>
      <c r="I829" s="17">
        <f>[1]CK!P858</f>
        <v>680400</v>
      </c>
      <c r="J829" s="18" t="s">
        <v>8</v>
      </c>
    </row>
    <row r="830" spans="1:10" x14ac:dyDescent="0.2">
      <c r="A830" s="4" t="s">
        <v>2089</v>
      </c>
      <c r="B830" s="15" t="str">
        <f>[1]CK!B859</f>
        <v>BGD230144</v>
      </c>
      <c r="C830" s="15" t="str">
        <f>[1]CK!C859</f>
        <v>CHU TRỌNG MINH</v>
      </c>
      <c r="D830" s="15">
        <f t="shared" si="11"/>
        <v>1</v>
      </c>
      <c r="E830" s="16" t="str">
        <f>[1]CK!I859</f>
        <v>31/08/2023</v>
      </c>
      <c r="F830" s="15">
        <f>[1]CK!F859</f>
        <v>14790400</v>
      </c>
      <c r="G830" s="15">
        <f>[1]CK!N859</f>
        <v>13860000</v>
      </c>
      <c r="H830" s="17">
        <f>[1]CK!O859</f>
        <v>250000</v>
      </c>
      <c r="I830" s="17">
        <f>[1]CK!P859</f>
        <v>680400</v>
      </c>
      <c r="J830" s="18" t="s">
        <v>8</v>
      </c>
    </row>
    <row r="831" spans="1:10" x14ac:dyDescent="0.2">
      <c r="A831" s="4" t="s">
        <v>2090</v>
      </c>
      <c r="B831" s="15" t="str">
        <f>[1]CK!B860</f>
        <v>BGD230086</v>
      </c>
      <c r="C831" s="15" t="str">
        <f>[1]CK!C860</f>
        <v>TRẦN VĂN HUẤN</v>
      </c>
      <c r="D831" s="15">
        <f t="shared" si="11"/>
        <v>1</v>
      </c>
      <c r="E831" s="16" t="str">
        <f>[1]CK!I860</f>
        <v>31/08/2023</v>
      </c>
      <c r="F831" s="15">
        <f>[1]CK!F860</f>
        <v>8250400</v>
      </c>
      <c r="G831" s="15">
        <f>[1]CK!N860</f>
        <v>7320000</v>
      </c>
      <c r="H831" s="17">
        <f>[1]CK!O860</f>
        <v>250000</v>
      </c>
      <c r="I831" s="17">
        <f>[1]CK!P860</f>
        <v>680400</v>
      </c>
      <c r="J831" s="18" t="s">
        <v>8</v>
      </c>
    </row>
    <row r="832" spans="1:10" x14ac:dyDescent="0.2">
      <c r="A832" s="4" t="s">
        <v>2091</v>
      </c>
      <c r="B832" s="15" t="str">
        <f>[1]CK!B861</f>
        <v>BGD230031</v>
      </c>
      <c r="C832" s="15" t="str">
        <f>[1]CK!C861</f>
        <v>NGUYỄN NGỌC ANH CHI</v>
      </c>
      <c r="D832" s="15">
        <f t="shared" si="11"/>
        <v>1</v>
      </c>
      <c r="E832" s="16" t="str">
        <f>[1]CK!I861</f>
        <v>31/08/2023</v>
      </c>
      <c r="F832" s="15">
        <f>[1]CK!F861</f>
        <v>6710400</v>
      </c>
      <c r="G832" s="15">
        <f>[1]CK!N861</f>
        <v>5780000</v>
      </c>
      <c r="H832" s="17">
        <f>[1]CK!O861</f>
        <v>250000</v>
      </c>
      <c r="I832" s="17">
        <f>[1]CK!P861</f>
        <v>680400</v>
      </c>
      <c r="J832" s="18" t="s">
        <v>8</v>
      </c>
    </row>
    <row r="833" spans="1:10" x14ac:dyDescent="0.2">
      <c r="A833" s="4" t="s">
        <v>2092</v>
      </c>
      <c r="B833" s="15" t="str">
        <f>[1]CK!B862</f>
        <v>BGD230171</v>
      </c>
      <c r="C833" s="15" t="str">
        <f>[1]CK!C862</f>
        <v>LÊ HOÀNG PHÚC</v>
      </c>
      <c r="D833" s="15">
        <f t="shared" si="11"/>
        <v>1</v>
      </c>
      <c r="E833" s="16" t="str">
        <f>[1]CK!I862</f>
        <v>31/08/2023</v>
      </c>
      <c r="F833" s="15">
        <f>[1]CK!F862</f>
        <v>6710400</v>
      </c>
      <c r="G833" s="15">
        <f>[1]CK!N862</f>
        <v>5780000</v>
      </c>
      <c r="H833" s="17">
        <f>[1]CK!O862</f>
        <v>250000</v>
      </c>
      <c r="I833" s="17">
        <f>[1]CK!P862</f>
        <v>680400</v>
      </c>
      <c r="J833" s="18" t="s">
        <v>8</v>
      </c>
    </row>
    <row r="834" spans="1:10" x14ac:dyDescent="0.2">
      <c r="A834" s="4" t="s">
        <v>2093</v>
      </c>
      <c r="B834" s="15" t="str">
        <f>[1]CK!B863</f>
        <v>bcs230087</v>
      </c>
      <c r="C834" s="15" t="str">
        <f>[1]CK!C863</f>
        <v>LÊ VĂN TÚ</v>
      </c>
      <c r="D834" s="15">
        <f t="shared" si="11"/>
        <v>1</v>
      </c>
      <c r="E834" s="16" t="str">
        <f>[1]CK!I863</f>
        <v>31/08/2023</v>
      </c>
      <c r="F834" s="15">
        <f>[1]CK!F863</f>
        <v>10000000</v>
      </c>
      <c r="G834" s="15">
        <f>[1]CK!N863</f>
        <v>10000000</v>
      </c>
      <c r="H834" s="17">
        <f>[1]CK!O863</f>
        <v>0</v>
      </c>
      <c r="I834" s="17">
        <f>[1]CK!P863</f>
        <v>0</v>
      </c>
      <c r="J834" s="18" t="s">
        <v>8</v>
      </c>
    </row>
    <row r="835" spans="1:10" x14ac:dyDescent="0.2">
      <c r="A835" s="4" t="s">
        <v>2094</v>
      </c>
      <c r="B835" s="15" t="str">
        <f>[1]CK!B864</f>
        <v>BKL230148</v>
      </c>
      <c r="C835" s="15" t="str">
        <f>[1]CK!C864</f>
        <v>LÊ THỊ YẾN NHI</v>
      </c>
      <c r="D835" s="15">
        <f t="shared" si="11"/>
        <v>1</v>
      </c>
      <c r="E835" s="16" t="str">
        <f>[1]CK!I864</f>
        <v>31/08/2023</v>
      </c>
      <c r="F835" s="15">
        <f>[1]CK!F864</f>
        <v>8250400</v>
      </c>
      <c r="G835" s="15">
        <f>[1]CK!N864</f>
        <v>7320000</v>
      </c>
      <c r="H835" s="17">
        <f>[1]CK!O864</f>
        <v>250000</v>
      </c>
      <c r="I835" s="17">
        <f>[1]CK!P864</f>
        <v>680400</v>
      </c>
      <c r="J835" s="18" t="s">
        <v>8</v>
      </c>
    </row>
    <row r="836" spans="1:10" x14ac:dyDescent="0.2">
      <c r="A836" s="4" t="s">
        <v>2095</v>
      </c>
      <c r="B836" s="15" t="str">
        <f>[1]CK!B865</f>
        <v>bjl230021</v>
      </c>
      <c r="C836" s="15" t="str">
        <f>[1]CK!C865</f>
        <v>VŨ QUANG HUY</v>
      </c>
      <c r="D836" s="15">
        <f t="shared" si="11"/>
        <v>1</v>
      </c>
      <c r="E836" s="16" t="str">
        <f>[1]CK!I865</f>
        <v>31/08/2023</v>
      </c>
      <c r="F836" s="15">
        <f>[1]CK!F865</f>
        <v>6710400</v>
      </c>
      <c r="G836" s="15">
        <f>[1]CK!N865</f>
        <v>5780000</v>
      </c>
      <c r="H836" s="17">
        <f>[1]CK!O865</f>
        <v>250000</v>
      </c>
      <c r="I836" s="17">
        <f>[1]CK!P865</f>
        <v>680400</v>
      </c>
      <c r="J836" s="18" t="s">
        <v>8</v>
      </c>
    </row>
    <row r="837" spans="1:10" x14ac:dyDescent="0.2">
      <c r="A837" s="4" t="s">
        <v>2096</v>
      </c>
      <c r="B837" s="15" t="str">
        <f>[1]CK!B866</f>
        <v>BJL230049</v>
      </c>
      <c r="C837" s="15" t="str">
        <f>[1]CK!C866</f>
        <v>NGUYỄN THỊ HẢI YẾN</v>
      </c>
      <c r="D837" s="15">
        <f t="shared" si="11"/>
        <v>1</v>
      </c>
      <c r="E837" s="16" t="str">
        <f>[1]CK!I866</f>
        <v>31/08/2023</v>
      </c>
      <c r="F837" s="15">
        <f>[1]CK!F866</f>
        <v>14790400</v>
      </c>
      <c r="G837" s="15">
        <f>[1]CK!N866</f>
        <v>13860000</v>
      </c>
      <c r="H837" s="17">
        <f>[1]CK!O866</f>
        <v>250000</v>
      </c>
      <c r="I837" s="17">
        <f>[1]CK!P866</f>
        <v>680400</v>
      </c>
      <c r="J837" s="18" t="s">
        <v>8</v>
      </c>
    </row>
    <row r="838" spans="1:10" x14ac:dyDescent="0.2">
      <c r="A838" s="4" t="s">
        <v>2097</v>
      </c>
      <c r="B838" s="15" t="str">
        <f>[1]CK!B867</f>
        <v>BGD230239</v>
      </c>
      <c r="C838" s="15" t="str">
        <f>[1]CK!C867</f>
        <v>BÙI THỊ HẢI YẾN</v>
      </c>
      <c r="D838" s="15">
        <f t="shared" si="11"/>
        <v>1</v>
      </c>
      <c r="E838" s="16" t="str">
        <f>[1]CK!I867</f>
        <v>31/08/2023</v>
      </c>
      <c r="F838" s="15">
        <f>[1]CK!F867</f>
        <v>14790400</v>
      </c>
      <c r="G838" s="15">
        <f>[1]CK!N867</f>
        <v>13860000</v>
      </c>
      <c r="H838" s="17">
        <f>[1]CK!O867</f>
        <v>250000</v>
      </c>
      <c r="I838" s="17">
        <f>[1]CK!P867</f>
        <v>680400</v>
      </c>
      <c r="J838" s="18" t="s">
        <v>8</v>
      </c>
    </row>
    <row r="839" spans="1:10" x14ac:dyDescent="0.2">
      <c r="A839" s="4" t="s">
        <v>2098</v>
      </c>
      <c r="B839" s="15" t="str">
        <f>[1]CK!B868</f>
        <v>bgd230242</v>
      </c>
      <c r="C839" s="15" t="str">
        <f>[1]CK!C868</f>
        <v>NGUYỄN MẠNH THẮNG</v>
      </c>
      <c r="D839" s="15">
        <f t="shared" si="11"/>
        <v>1</v>
      </c>
      <c r="E839" s="16" t="str">
        <f>[1]CK!I868</f>
        <v>31/08/2023</v>
      </c>
      <c r="F839" s="15">
        <f>[1]CK!F868</f>
        <v>16330400</v>
      </c>
      <c r="G839" s="15">
        <f>[1]CK!N868</f>
        <v>15400000</v>
      </c>
      <c r="H839" s="17">
        <f>[1]CK!O868</f>
        <v>250000</v>
      </c>
      <c r="I839" s="17">
        <f>[1]CK!P868</f>
        <v>680400</v>
      </c>
      <c r="J839" s="18" t="s">
        <v>8</v>
      </c>
    </row>
    <row r="840" spans="1:10" x14ac:dyDescent="0.2">
      <c r="A840" s="4" t="s">
        <v>2099</v>
      </c>
      <c r="B840" s="15" t="str">
        <f>[1]CK!B869</f>
        <v>BIT230232</v>
      </c>
      <c r="C840" s="15" t="str">
        <f>[1]CK!C869</f>
        <v>NGUYỄN HOÀNG LÂN</v>
      </c>
      <c r="D840" s="15">
        <f t="shared" ref="D840:D845" si="12">COUNTIF($B$2:$B$845,B840)</f>
        <v>1</v>
      </c>
      <c r="E840" s="16" t="str">
        <f>[1]CK!I869</f>
        <v>31/08/2023</v>
      </c>
      <c r="F840" s="15">
        <f>[1]CK!F869</f>
        <v>940000</v>
      </c>
      <c r="G840" s="15">
        <f>[1]CK!N869</f>
        <v>9600</v>
      </c>
      <c r="H840" s="17">
        <f>[1]CK!O869</f>
        <v>250000</v>
      </c>
      <c r="I840" s="17">
        <f>[1]CK!P869</f>
        <v>680400</v>
      </c>
      <c r="J840" s="18" t="s">
        <v>8</v>
      </c>
    </row>
    <row r="841" spans="1:10" x14ac:dyDescent="0.2">
      <c r="A841" s="4" t="s">
        <v>2100</v>
      </c>
      <c r="B841" s="15" t="str">
        <f>[1]CK!B870</f>
        <v>BKL230030</v>
      </c>
      <c r="C841" s="15" t="str">
        <f>[1]CK!C870</f>
        <v>HỨA ĐỨC BƯU</v>
      </c>
      <c r="D841" s="15">
        <f t="shared" si="12"/>
        <v>1</v>
      </c>
      <c r="E841" s="16" t="str">
        <f>[1]CK!I870</f>
        <v>31/08/2023</v>
      </c>
      <c r="F841" s="15">
        <f>[1]CK!F870</f>
        <v>5550400</v>
      </c>
      <c r="G841" s="15">
        <f>[1]CK!N870</f>
        <v>4620000.0000000009</v>
      </c>
      <c r="H841" s="17">
        <f>[1]CK!O870</f>
        <v>250000</v>
      </c>
      <c r="I841" s="17">
        <f>[1]CK!P870</f>
        <v>680400</v>
      </c>
      <c r="J841" s="18" t="s">
        <v>8</v>
      </c>
    </row>
    <row r="842" spans="1:10" x14ac:dyDescent="0.2">
      <c r="A842" s="4" t="s">
        <v>2101</v>
      </c>
      <c r="B842" s="15" t="str">
        <f>[1]CK!B871</f>
        <v>bit230259</v>
      </c>
      <c r="C842" s="15" t="str">
        <f>[1]CK!C871</f>
        <v>NGUYỄN NHẬT MINH</v>
      </c>
      <c r="D842" s="15">
        <f t="shared" si="12"/>
        <v>1</v>
      </c>
      <c r="E842" s="16" t="str">
        <f>[1]CK!I871</f>
        <v>31/08/2023</v>
      </c>
      <c r="F842" s="15">
        <f>[1]CK!F871</f>
        <v>10030400</v>
      </c>
      <c r="G842" s="15">
        <f>[1]CK!N871</f>
        <v>9100000</v>
      </c>
      <c r="H842" s="17">
        <f>[1]CK!O871</f>
        <v>250000</v>
      </c>
      <c r="I842" s="17">
        <f>[1]CK!P871</f>
        <v>680400</v>
      </c>
      <c r="J842" s="18" t="s">
        <v>8</v>
      </c>
    </row>
    <row r="843" spans="1:10" x14ac:dyDescent="0.2">
      <c r="A843" s="4" t="s">
        <v>2102</v>
      </c>
      <c r="B843" s="15" t="str">
        <f>[1]CK!B872</f>
        <v>BGD230170</v>
      </c>
      <c r="C843" s="15" t="str">
        <f>[1]CK!C872</f>
        <v>ĐỖ TRỌNG PHÚ</v>
      </c>
      <c r="D843" s="15">
        <f t="shared" si="12"/>
        <v>1</v>
      </c>
      <c r="E843" s="16" t="str">
        <f>[1]CK!I872</f>
        <v>31/08/2023</v>
      </c>
      <c r="F843" s="15">
        <f>[1]CK!F872</f>
        <v>14790400</v>
      </c>
      <c r="G843" s="15">
        <f>[1]CK!N872</f>
        <v>13860000</v>
      </c>
      <c r="H843" s="17">
        <f>[1]CK!O872</f>
        <v>250000</v>
      </c>
      <c r="I843" s="17">
        <f>[1]CK!P872</f>
        <v>680400</v>
      </c>
      <c r="J843" s="18" t="s">
        <v>8</v>
      </c>
    </row>
    <row r="844" spans="1:10" x14ac:dyDescent="0.2">
      <c r="A844" s="4" t="s">
        <v>2103</v>
      </c>
      <c r="B844" s="15" t="str">
        <f>[1]CK!B873</f>
        <v>bba230095</v>
      </c>
      <c r="C844" s="15" t="str">
        <f>[1]CK!C873</f>
        <v>DƯƠNG TUẤN ĐỨC</v>
      </c>
      <c r="D844" s="15">
        <f t="shared" si="12"/>
        <v>1</v>
      </c>
      <c r="E844" s="16" t="str">
        <f>[1]CK!I873</f>
        <v>31/08/2023</v>
      </c>
      <c r="F844" s="15">
        <f>[1]CK!F873</f>
        <v>16050400</v>
      </c>
      <c r="G844" s="15">
        <f>[1]CK!N873</f>
        <v>15120000</v>
      </c>
      <c r="H844" s="17">
        <f>[1]CK!O873</f>
        <v>250000</v>
      </c>
      <c r="I844" s="17">
        <f>[1]CK!P873</f>
        <v>680400</v>
      </c>
      <c r="J844" s="18" t="s">
        <v>8</v>
      </c>
    </row>
    <row r="845" spans="1:10" x14ac:dyDescent="0.2">
      <c r="A845" s="4" t="s">
        <v>2104</v>
      </c>
      <c r="B845" s="15" t="str">
        <f>[1]CK!B874</f>
        <v>CMC200700380</v>
      </c>
      <c r="C845" s="15" t="str">
        <f>[1]CK!C874</f>
        <v>HOÀNG LÊ  THÙY DƯƠNG</v>
      </c>
      <c r="D845" s="15">
        <f t="shared" si="12"/>
        <v>1</v>
      </c>
      <c r="E845" s="16" t="str">
        <f>[1]CK!I874</f>
        <v>31/08/2023</v>
      </c>
      <c r="F845" s="15">
        <f>[1]CK!F874</f>
        <v>5000000</v>
      </c>
      <c r="G845" s="15">
        <f>[1]CK!N874</f>
        <v>5000000</v>
      </c>
      <c r="H845" s="17">
        <f>[1]CK!O874</f>
        <v>0</v>
      </c>
      <c r="I845" s="17">
        <f>[1]CK!P874</f>
        <v>0</v>
      </c>
      <c r="J845" s="18" t="s">
        <v>8</v>
      </c>
    </row>
  </sheetData>
  <phoneticPr fontId="5" type="noConversion"/>
  <conditionalFormatting sqref="B2:B845">
    <cfRule type="expression" dxfId="0" priority="1">
      <formula>COUNTIF(B:B, B2)&gt;1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BINH2023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Hien. Le Thu - CMCU</dc:creator>
  <cp:lastModifiedBy>Tuấn Nguyễn Minh</cp:lastModifiedBy>
  <dcterms:created xsi:type="dcterms:W3CDTF">2023-09-12T11:08:32Z</dcterms:created>
  <dcterms:modified xsi:type="dcterms:W3CDTF">2023-09-15T05:01:36Z</dcterms:modified>
</cp:coreProperties>
</file>