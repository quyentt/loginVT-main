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xr:revisionPtr revIDLastSave="0" documentId="13_ncr:1_{D4CF98A6-8A7B-46C8-8F80-FC3227FE31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_0_0_68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3569ed90c42f4518b527d765ee0b63b8</t>
        </r>
      </text>
    </comment>
  </commentList>
</comments>
</file>

<file path=xl/sharedStrings.xml><?xml version="1.0" encoding="utf-8"?>
<sst xmlns="http://schemas.openxmlformats.org/spreadsheetml/2006/main" count="1159" uniqueCount="333">
  <si>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</si>
  <si>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</si>
  <si>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</si>
  <si>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</si>
  <si>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</si>
  <si>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</si>
  <si>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</si>
  <si>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</si>
  <si>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</si>
  <si>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CĐTN1.03.K13.08.LH.C04.1_LT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</si>
  <si>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</si>
  <si>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</si>
  <si>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</si>
  <si>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</si>
  <si>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</si>
  <si>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</si>
  <si>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</si>
  <si>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</si>
  <si>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</si>
  <si>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</si>
  <si>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</si>
  <si>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20220510</t>
  </si>
  <si>
    <t>Quách Văn</t>
  </si>
  <si>
    <t>An</t>
  </si>
  <si>
    <t>20/05/2004</t>
  </si>
  <si>
    <t>DCCNTT13.10.3</t>
  </si>
  <si>
    <t/>
  </si>
  <si>
    <t>2</t>
  </si>
  <si>
    <t>20222259</t>
  </si>
  <si>
    <t>Đặng Thị Kim</t>
  </si>
  <si>
    <t>Anh</t>
  </si>
  <si>
    <t>02/08/2003</t>
  </si>
  <si>
    <t>DCCNTT13.10.12</t>
  </si>
  <si>
    <t>3</t>
  </si>
  <si>
    <t>20222316</t>
  </si>
  <si>
    <t>Doãn Ngọc</t>
  </si>
  <si>
    <t>Ánh</t>
  </si>
  <si>
    <t>22/10/2004</t>
  </si>
  <si>
    <t>4</t>
  </si>
  <si>
    <t>20220704</t>
  </si>
  <si>
    <t>Dương Lý</t>
  </si>
  <si>
    <t>Bình</t>
  </si>
  <si>
    <t>08/10/2004</t>
  </si>
  <si>
    <t>DCCNTT13.10.4</t>
  </si>
  <si>
    <t>5</t>
  </si>
  <si>
    <t>20220997</t>
  </si>
  <si>
    <t>Nguyễn Thị An</t>
  </si>
  <si>
    <t>15/10/2004</t>
  </si>
  <si>
    <t>DCCNTT13.10.6</t>
  </si>
  <si>
    <t>6</t>
  </si>
  <si>
    <t>20220489</t>
  </si>
  <si>
    <t>Quách Chân</t>
  </si>
  <si>
    <t>Chính</t>
  </si>
  <si>
    <t>07/09/2002</t>
  </si>
  <si>
    <t>7</t>
  </si>
  <si>
    <t>20224282</t>
  </si>
  <si>
    <t>Cao Văn</t>
  </si>
  <si>
    <t>Cường</t>
  </si>
  <si>
    <t>28/07/2003</t>
  </si>
  <si>
    <t>DCCNTT13.10.21</t>
  </si>
  <si>
    <t>8</t>
  </si>
  <si>
    <t>20221006</t>
  </si>
  <si>
    <t>Nguyễn Tấn</t>
  </si>
  <si>
    <t>Dũng</t>
  </si>
  <si>
    <t>9</t>
  </si>
  <si>
    <t>20224117</t>
  </si>
  <si>
    <t>Nguyễn Thế</t>
  </si>
  <si>
    <t>25/03/2004</t>
  </si>
  <si>
    <t>DCCNTT13.10.22</t>
  </si>
  <si>
    <t>10</t>
  </si>
  <si>
    <t>20220794</t>
  </si>
  <si>
    <t>Hoàng Minh</t>
  </si>
  <si>
    <t>Duy</t>
  </si>
  <si>
    <t>25/05/2004</t>
  </si>
  <si>
    <t>DCCNTT13.10.5</t>
  </si>
  <si>
    <t>11</t>
  </si>
  <si>
    <t>20220995</t>
  </si>
  <si>
    <t>Nguyễn Văn</t>
  </si>
  <si>
    <t>03/08/2004</t>
  </si>
  <si>
    <t>12</t>
  </si>
  <si>
    <t>20222541</t>
  </si>
  <si>
    <t>Lê Nho</t>
  </si>
  <si>
    <t>Dương</t>
  </si>
  <si>
    <t>20/07/2004</t>
  </si>
  <si>
    <t>DCCNTT13.10.9</t>
  </si>
  <si>
    <t>13</t>
  </si>
  <si>
    <t>20220351</t>
  </si>
  <si>
    <t>Phạm Thùy</t>
  </si>
  <si>
    <t>06/02/2004</t>
  </si>
  <si>
    <t>14</t>
  </si>
  <si>
    <t>20224284</t>
  </si>
  <si>
    <t>Trần Tùng</t>
  </si>
  <si>
    <t>26/09/2004</t>
  </si>
  <si>
    <t>15</t>
  </si>
  <si>
    <t>20221080</t>
  </si>
  <si>
    <t>Nguyễn Thành</t>
  </si>
  <si>
    <t>Đạt</t>
  </si>
  <si>
    <t>12/10/2004</t>
  </si>
  <si>
    <t>16</t>
  </si>
  <si>
    <t>20220731</t>
  </si>
  <si>
    <t>Đinh Trọng</t>
  </si>
  <si>
    <t>Đức</t>
  </si>
  <si>
    <t>09/01/2004</t>
  </si>
  <si>
    <t>17</t>
  </si>
  <si>
    <t>20221607</t>
  </si>
  <si>
    <t>Trần Đỗ Minh</t>
  </si>
  <si>
    <t>Hải</t>
  </si>
  <si>
    <t>27/07/2004</t>
  </si>
  <si>
    <t>18</t>
  </si>
  <si>
    <t>20221192</t>
  </si>
  <si>
    <t>Nguyễn Thị Thúy</t>
  </si>
  <si>
    <t>Hằng</t>
  </si>
  <si>
    <t>18/08/2004</t>
  </si>
  <si>
    <t>19</t>
  </si>
  <si>
    <t>20221512</t>
  </si>
  <si>
    <t>Trịnh Văn</t>
  </si>
  <si>
    <t>Hiếu</t>
  </si>
  <si>
    <t>07/11/2004</t>
  </si>
  <si>
    <t>DCCNTT13.10.8</t>
  </si>
  <si>
    <t>20</t>
  </si>
  <si>
    <t>20220524</t>
  </si>
  <si>
    <t>Đào Vũ</t>
  </si>
  <si>
    <t>Hoàng</t>
  </si>
  <si>
    <t>16/04/2004</t>
  </si>
  <si>
    <t>21</t>
  </si>
  <si>
    <t>20221440</t>
  </si>
  <si>
    <t>Nông Ngọc</t>
  </si>
  <si>
    <t>21/11/2004</t>
  </si>
  <si>
    <t>22</t>
  </si>
  <si>
    <t>20220589</t>
  </si>
  <si>
    <t>Hoàng Quang</t>
  </si>
  <si>
    <t>Hợp</t>
  </si>
  <si>
    <t>30/05/2004</t>
  </si>
  <si>
    <t>23</t>
  </si>
  <si>
    <t>20220656</t>
  </si>
  <si>
    <t>Bùi Khánh</t>
  </si>
  <si>
    <t>Hùng</t>
  </si>
  <si>
    <t>15/07/2004</t>
  </si>
  <si>
    <t>24</t>
  </si>
  <si>
    <t>20220838</t>
  </si>
  <si>
    <t>Lê Phi</t>
  </si>
  <si>
    <t>09/03/2004</t>
  </si>
  <si>
    <t>25</t>
  </si>
  <si>
    <t>20221256</t>
  </si>
  <si>
    <t>Nguyễn Thị</t>
  </si>
  <si>
    <t>Huyền</t>
  </si>
  <si>
    <t>07/10/2004</t>
  </si>
  <si>
    <t>DCCNTT13.10.7</t>
  </si>
  <si>
    <t>26</t>
  </si>
  <si>
    <t>20221540</t>
  </si>
  <si>
    <t>Trần Văn</t>
  </si>
  <si>
    <t>Huỳnh</t>
  </si>
  <si>
    <t>16/01/2004</t>
  </si>
  <si>
    <t>27</t>
  </si>
  <si>
    <t>20224346</t>
  </si>
  <si>
    <t>Bùi Bảo</t>
  </si>
  <si>
    <t>Khang</t>
  </si>
  <si>
    <t>05/12/2004</t>
  </si>
  <si>
    <t>28</t>
  </si>
  <si>
    <t>20224047</t>
  </si>
  <si>
    <t>Nguyễn Gia</t>
  </si>
  <si>
    <t>Khánh</t>
  </si>
  <si>
    <t>29</t>
  </si>
  <si>
    <t>20221407</t>
  </si>
  <si>
    <t>Nguyễn Đăng</t>
  </si>
  <si>
    <t>Khoa</t>
  </si>
  <si>
    <t>07/07/2004</t>
  </si>
  <si>
    <t>30</t>
  </si>
  <si>
    <t>20221283</t>
  </si>
  <si>
    <t>Nguyễn Quý</t>
  </si>
  <si>
    <t>Khôi</t>
  </si>
  <si>
    <t>24/01/2003</t>
  </si>
  <si>
    <t>31</t>
  </si>
  <si>
    <t>20220345</t>
  </si>
  <si>
    <t>Nguyễn Lê Thùy</t>
  </si>
  <si>
    <t>Linh</t>
  </si>
  <si>
    <t>16/02/2004</t>
  </si>
  <si>
    <t>32</t>
  </si>
  <si>
    <t>20221565</t>
  </si>
  <si>
    <t>Mai Đức</t>
  </si>
  <si>
    <t>Long</t>
  </si>
  <si>
    <t>05/08/2004</t>
  </si>
  <si>
    <t>33</t>
  </si>
  <si>
    <t>20221316</t>
  </si>
  <si>
    <t>Nghiêm Xuân</t>
  </si>
  <si>
    <t>Mạnh</t>
  </si>
  <si>
    <t>29/06/2004</t>
  </si>
  <si>
    <t>34</t>
  </si>
  <si>
    <t>20221683</t>
  </si>
  <si>
    <t>Đặng Văn</t>
  </si>
  <si>
    <t>Minh</t>
  </si>
  <si>
    <t>04/04/2004</t>
  </si>
  <si>
    <t>35</t>
  </si>
  <si>
    <t>20221468</t>
  </si>
  <si>
    <t>Hoàng Gia</t>
  </si>
  <si>
    <t>05/06/2004</t>
  </si>
  <si>
    <t>36</t>
  </si>
  <si>
    <t>20221726</t>
  </si>
  <si>
    <t>Nguyễn Anh</t>
  </si>
  <si>
    <t>DCCNTT13.10.10</t>
  </si>
  <si>
    <t>37</t>
  </si>
  <si>
    <t>20221359</t>
  </si>
  <si>
    <t>Nguyễn Hồng</t>
  </si>
  <si>
    <t>23/12/2004</t>
  </si>
  <si>
    <t>38</t>
  </si>
  <si>
    <t>20220931</t>
  </si>
  <si>
    <t>Hoàng Văn</t>
  </si>
  <si>
    <t>Nam</t>
  </si>
  <si>
    <t>02/05/2004</t>
  </si>
  <si>
    <t>39</t>
  </si>
  <si>
    <t>20221530</t>
  </si>
  <si>
    <t>Hà Quang</t>
  </si>
  <si>
    <t>Nhuận</t>
  </si>
  <si>
    <t>06/03/2004</t>
  </si>
  <si>
    <t>40</t>
  </si>
  <si>
    <t>20220790</t>
  </si>
  <si>
    <t>Đặng Tuấn</t>
  </si>
  <si>
    <t>Phong</t>
  </si>
  <si>
    <t>12/07/2004</t>
  </si>
  <si>
    <t>41</t>
  </si>
  <si>
    <t>20220535</t>
  </si>
  <si>
    <t>Hoàng Mậu</t>
  </si>
  <si>
    <t>42</t>
  </si>
  <si>
    <t>20220849</t>
  </si>
  <si>
    <t>Tạ Tuấn</t>
  </si>
  <si>
    <t>43</t>
  </si>
  <si>
    <t>20221289</t>
  </si>
  <si>
    <t>Quang</t>
  </si>
  <si>
    <t>21/10/2004</t>
  </si>
  <si>
    <t>44</t>
  </si>
  <si>
    <t>20220744</t>
  </si>
  <si>
    <t>Nguyễn Sỹ</t>
  </si>
  <si>
    <t>11/12/2004</t>
  </si>
  <si>
    <t>45</t>
  </si>
  <si>
    <t>20220806</t>
  </si>
  <si>
    <t>Lý Ngọc</t>
  </si>
  <si>
    <t>Quân</t>
  </si>
  <si>
    <t>12/06/2004</t>
  </si>
  <si>
    <t>46</t>
  </si>
  <si>
    <t>20221071</t>
  </si>
  <si>
    <t>Ngô Anh</t>
  </si>
  <si>
    <t>22/08/2004</t>
  </si>
  <si>
    <t>47</t>
  </si>
  <si>
    <t>20220844</t>
  </si>
  <si>
    <t>20/09/2004</t>
  </si>
  <si>
    <t>48</t>
  </si>
  <si>
    <t>20224113</t>
  </si>
  <si>
    <t>08/01/2004</t>
  </si>
  <si>
    <t>49</t>
  </si>
  <si>
    <t>20221008</t>
  </si>
  <si>
    <t>Trần Thị Hoàng</t>
  </si>
  <si>
    <t>Quỳnh</t>
  </si>
  <si>
    <t>13/07/2004</t>
  </si>
  <si>
    <t>50</t>
  </si>
  <si>
    <t>20224325</t>
  </si>
  <si>
    <t>Lê Văn</t>
  </si>
  <si>
    <t>Sáng</t>
  </si>
  <si>
    <t>15/12/2004</t>
  </si>
  <si>
    <t>51</t>
  </si>
  <si>
    <t>20221628</t>
  </si>
  <si>
    <t>Nguyễn Lam</t>
  </si>
  <si>
    <t>Sơn</t>
  </si>
  <si>
    <t>12/01/2004</t>
  </si>
  <si>
    <t>52</t>
  </si>
  <si>
    <t>20220719</t>
  </si>
  <si>
    <t>Nguyễn Thái</t>
  </si>
  <si>
    <t>53</t>
  </si>
  <si>
    <t>20221428</t>
  </si>
  <si>
    <t>Nguyễn Ngọc</t>
  </si>
  <si>
    <t>Thanh</t>
  </si>
  <si>
    <t>16/10/2004</t>
  </si>
  <si>
    <t>54</t>
  </si>
  <si>
    <t>20221018</t>
  </si>
  <si>
    <t>Dương Văn</t>
  </si>
  <si>
    <t>Thành</t>
  </si>
  <si>
    <t>55</t>
  </si>
  <si>
    <t>20221002</t>
  </si>
  <si>
    <t>Quàng Văn</t>
  </si>
  <si>
    <t>Thiếm</t>
  </si>
  <si>
    <t>10/10/2003</t>
  </si>
  <si>
    <t>56</t>
  </si>
  <si>
    <t>20221654</t>
  </si>
  <si>
    <t>Phan Tiến</t>
  </si>
  <si>
    <t>Tiến</t>
  </si>
  <si>
    <t>01/07/2004</t>
  </si>
  <si>
    <t>57</t>
  </si>
  <si>
    <t>20224343</t>
  </si>
  <si>
    <t>Trần Anh</t>
  </si>
  <si>
    <t>Trung</t>
  </si>
  <si>
    <t>03/03/2004</t>
  </si>
  <si>
    <t>58</t>
  </si>
  <si>
    <t>20222240</t>
  </si>
  <si>
    <t>Lưu Nguyên</t>
  </si>
  <si>
    <t>Trường</t>
  </si>
  <si>
    <t>08/11/2004</t>
  </si>
  <si>
    <t>59</t>
  </si>
  <si>
    <t>20221358</t>
  </si>
  <si>
    <t>Lý Anh</t>
  </si>
  <si>
    <t>Tú</t>
  </si>
  <si>
    <t>02/03/2004</t>
  </si>
  <si>
    <t>60</t>
  </si>
  <si>
    <t>20221442</t>
  </si>
  <si>
    <t>Phan Anh</t>
  </si>
  <si>
    <t>08/09/2004</t>
  </si>
  <si>
    <t>61</t>
  </si>
  <si>
    <t>20220473</t>
  </si>
  <si>
    <t>Vũ Hoàng Anh</t>
  </si>
  <si>
    <t>21/08/2004</t>
  </si>
  <si>
    <t>62</t>
  </si>
  <si>
    <t>20222298</t>
  </si>
  <si>
    <t>Đặng Đình</t>
  </si>
  <si>
    <t>Tuấn</t>
  </si>
  <si>
    <t>02/06/2004</t>
  </si>
  <si>
    <t>63</t>
  </si>
  <si>
    <t>20220782</t>
  </si>
  <si>
    <t>Tùng</t>
  </si>
  <si>
    <t>26/10/2004</t>
  </si>
  <si>
    <t>64</t>
  </si>
  <si>
    <t>20220902</t>
  </si>
  <si>
    <t>Trần Thanh</t>
  </si>
  <si>
    <t>08/12/2004</t>
  </si>
  <si>
    <t>65</t>
  </si>
  <si>
    <t>20220647</t>
  </si>
  <si>
    <t>Vinh</t>
  </si>
  <si>
    <t>28/01/2004</t>
  </si>
  <si>
    <t>66</t>
  </si>
  <si>
    <t>20220839</t>
  </si>
  <si>
    <t>Vũ</t>
  </si>
  <si>
    <t>11/04/2004</t>
  </si>
  <si>
    <t>67</t>
  </si>
  <si>
    <t>20220449</t>
  </si>
  <si>
    <t>Nguyễn Quốc</t>
  </si>
  <si>
    <t>Vượng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</si>
</sst>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Data\Downloads\Chuy&#234;n%20&#273;&#7873;%201_K13.08%20(3).xlsx" TargetMode="External"/><Relationship Id="rId1" Type="http://schemas.openxmlformats.org/officeDocument/2006/relationships/externalLinkPath" Target="Chuy&#234;n%20&#273;&#7873;%201_K13.08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Điểm"/>
    </sheetNames>
    <sheetDataSet>
      <sheetData sheetId="0">
        <row r="2">
          <cell r="B2" t="str">
            <v>20220510</v>
          </cell>
          <cell r="C2" t="str">
            <v>Quách Văn</v>
          </cell>
          <cell r="D2" t="str">
            <v>An</v>
          </cell>
          <cell r="E2" t="str">
            <v>20/05/2004</v>
          </cell>
          <cell r="F2">
            <v>9</v>
          </cell>
          <cell r="G2">
            <v>6.5</v>
          </cell>
        </row>
        <row r="3">
          <cell r="B3" t="str">
            <v>20222259</v>
          </cell>
          <cell r="C3" t="str">
            <v>Đặng Thị Kim</v>
          </cell>
          <cell r="D3" t="str">
            <v>Anh</v>
          </cell>
          <cell r="E3" t="str">
            <v>02/08/2003</v>
          </cell>
          <cell r="F3">
            <v>9.5</v>
          </cell>
          <cell r="G3">
            <v>7</v>
          </cell>
        </row>
        <row r="4">
          <cell r="B4" t="str">
            <v>20222316</v>
          </cell>
          <cell r="C4" t="str">
            <v>Doãn Ngọc</v>
          </cell>
          <cell r="D4" t="str">
            <v>Ánh</v>
          </cell>
          <cell r="E4" t="str">
            <v>22/10/2004</v>
          </cell>
          <cell r="F4">
            <v>9.5</v>
          </cell>
          <cell r="G4">
            <v>7</v>
          </cell>
        </row>
        <row r="5">
          <cell r="B5" t="str">
            <v>20220704</v>
          </cell>
          <cell r="C5" t="str">
            <v>Dương Lý</v>
          </cell>
          <cell r="D5" t="str">
            <v>Bình</v>
          </cell>
          <cell r="E5" t="str">
            <v>08/10/2004</v>
          </cell>
          <cell r="F5">
            <v>9</v>
          </cell>
          <cell r="G5">
            <v>7.5</v>
          </cell>
        </row>
        <row r="6">
          <cell r="B6" t="str">
            <v>20220997</v>
          </cell>
          <cell r="C6" t="str">
            <v>Nguyễn Thị An</v>
          </cell>
          <cell r="D6" t="str">
            <v>Bình</v>
          </cell>
          <cell r="E6" t="str">
            <v>15/10/2004</v>
          </cell>
          <cell r="F6">
            <v>9</v>
          </cell>
          <cell r="G6">
            <v>7</v>
          </cell>
        </row>
        <row r="7">
          <cell r="B7" t="str">
            <v>20220489</v>
          </cell>
          <cell r="C7" t="str">
            <v>Quách Chân</v>
          </cell>
          <cell r="D7" t="str">
            <v>Chính</v>
          </cell>
          <cell r="E7" t="str">
            <v>07/09/2002</v>
          </cell>
          <cell r="F7">
            <v>9</v>
          </cell>
          <cell r="G7">
            <v>7</v>
          </cell>
        </row>
        <row r="8">
          <cell r="B8" t="str">
            <v>20224282</v>
          </cell>
          <cell r="C8" t="str">
            <v>Cao Văn</v>
          </cell>
          <cell r="D8" t="str">
            <v>Cường</v>
          </cell>
          <cell r="E8" t="str">
            <v>28/07/2003</v>
          </cell>
          <cell r="F8">
            <v>10</v>
          </cell>
          <cell r="G8">
            <v>8.5</v>
          </cell>
        </row>
        <row r="9">
          <cell r="B9" t="str">
            <v>20221006</v>
          </cell>
          <cell r="C9" t="str">
            <v>Nguyễn Tấn</v>
          </cell>
          <cell r="D9" t="str">
            <v>Dũng</v>
          </cell>
          <cell r="E9" t="str">
            <v>08/10/2004</v>
          </cell>
          <cell r="F9">
            <v>9</v>
          </cell>
          <cell r="G9">
            <v>7.5</v>
          </cell>
        </row>
        <row r="10">
          <cell r="B10" t="str">
            <v>20224117</v>
          </cell>
          <cell r="C10" t="str">
            <v>Nguyễn Thế</v>
          </cell>
          <cell r="D10" t="str">
            <v>Dũng</v>
          </cell>
          <cell r="E10" t="str">
            <v>25/03/2004</v>
          </cell>
          <cell r="F10">
            <v>9.5</v>
          </cell>
          <cell r="G10">
            <v>7.5</v>
          </cell>
        </row>
        <row r="11">
          <cell r="B11" t="str">
            <v>20220794</v>
          </cell>
          <cell r="C11" t="str">
            <v>Hoàng Minh</v>
          </cell>
          <cell r="D11" t="str">
            <v>Duy</v>
          </cell>
          <cell r="E11" t="str">
            <v>25/05/2004</v>
          </cell>
          <cell r="F11">
            <v>9</v>
          </cell>
          <cell r="G11">
            <v>7</v>
          </cell>
        </row>
        <row r="12">
          <cell r="B12" t="str">
            <v>20220995</v>
          </cell>
          <cell r="C12" t="str">
            <v>Nguyễn Văn</v>
          </cell>
          <cell r="D12" t="str">
            <v>Duy</v>
          </cell>
          <cell r="E12" t="str">
            <v>03/08/2004</v>
          </cell>
          <cell r="F12">
            <v>9.5</v>
          </cell>
          <cell r="G12">
            <v>7.5</v>
          </cell>
        </row>
        <row r="13">
          <cell r="B13" t="str">
            <v>20222541</v>
          </cell>
          <cell r="C13" t="str">
            <v>Lê Nho</v>
          </cell>
          <cell r="D13" t="str">
            <v>Dương</v>
          </cell>
          <cell r="E13" t="str">
            <v>20/07/2004</v>
          </cell>
          <cell r="F13">
            <v>8.5</v>
          </cell>
          <cell r="G13">
            <v>8</v>
          </cell>
        </row>
        <row r="14">
          <cell r="B14" t="str">
            <v>20220351</v>
          </cell>
          <cell r="C14" t="str">
            <v>Phạm Thùy</v>
          </cell>
          <cell r="D14" t="str">
            <v>Dương</v>
          </cell>
          <cell r="E14" t="str">
            <v>06/02/2004</v>
          </cell>
          <cell r="F14">
            <v>8.5</v>
          </cell>
          <cell r="G14">
            <v>7</v>
          </cell>
        </row>
        <row r="15">
          <cell r="B15" t="str">
            <v>20224284</v>
          </cell>
          <cell r="C15" t="str">
            <v>Trần Tùng</v>
          </cell>
          <cell r="D15" t="str">
            <v>Dương</v>
          </cell>
          <cell r="E15" t="str">
            <v>26/09/2004</v>
          </cell>
          <cell r="F15">
            <v>9</v>
          </cell>
          <cell r="G15">
            <v>7</v>
          </cell>
        </row>
        <row r="16">
          <cell r="B16" t="str">
            <v>20221080</v>
          </cell>
          <cell r="C16" t="str">
            <v>Nguyễn Thành</v>
          </cell>
          <cell r="D16" t="str">
            <v>Đạt</v>
          </cell>
          <cell r="E16" t="str">
            <v>12/10/2004</v>
          </cell>
          <cell r="F16">
            <v>10</v>
          </cell>
          <cell r="G16">
            <v>8</v>
          </cell>
        </row>
        <row r="17">
          <cell r="B17" t="str">
            <v>20220731</v>
          </cell>
          <cell r="C17" t="str">
            <v>Đinh Trọng</v>
          </cell>
          <cell r="D17" t="str">
            <v>Đức</v>
          </cell>
          <cell r="E17" t="str">
            <v>09/01/2004</v>
          </cell>
          <cell r="F17">
            <v>9.5</v>
          </cell>
          <cell r="G17">
            <v>7</v>
          </cell>
        </row>
        <row r="18">
          <cell r="B18" t="str">
            <v>20221607</v>
          </cell>
          <cell r="C18" t="str">
            <v>Trần Đỗ Minh</v>
          </cell>
          <cell r="D18" t="str">
            <v>Hải</v>
          </cell>
          <cell r="E18" t="str">
            <v>27/07/2004</v>
          </cell>
          <cell r="F18">
            <v>10</v>
          </cell>
          <cell r="G18">
            <v>8.5</v>
          </cell>
        </row>
        <row r="19">
          <cell r="B19" t="str">
            <v>20221192</v>
          </cell>
          <cell r="C19" t="str">
            <v>Nguyễn Thị Thúy</v>
          </cell>
          <cell r="D19" t="str">
            <v>Hằng</v>
          </cell>
          <cell r="E19" t="str">
            <v>18/08/2004</v>
          </cell>
          <cell r="F19">
            <v>10</v>
          </cell>
          <cell r="G19">
            <v>8.5</v>
          </cell>
        </row>
        <row r="20">
          <cell r="B20" t="str">
            <v>20221512</v>
          </cell>
          <cell r="C20" t="str">
            <v>Trịnh Văn</v>
          </cell>
          <cell r="D20" t="str">
            <v>Hiếu</v>
          </cell>
          <cell r="E20" t="str">
            <v>07/11/2004</v>
          </cell>
          <cell r="F20">
            <v>9</v>
          </cell>
          <cell r="G20">
            <v>6</v>
          </cell>
        </row>
        <row r="21">
          <cell r="B21" t="str">
            <v>20220524</v>
          </cell>
          <cell r="C21" t="str">
            <v>Đào Vũ</v>
          </cell>
          <cell r="D21" t="str">
            <v>Hoàng</v>
          </cell>
          <cell r="E21" t="str">
            <v>16/04/2004</v>
          </cell>
          <cell r="F21">
            <v>10</v>
          </cell>
          <cell r="G21">
            <v>7.5</v>
          </cell>
        </row>
        <row r="22">
          <cell r="B22" t="str">
            <v>20221440</v>
          </cell>
          <cell r="C22" t="str">
            <v>Nông Ngọc</v>
          </cell>
          <cell r="D22" t="str">
            <v>Hoàng</v>
          </cell>
          <cell r="E22" t="str">
            <v>21/11/2004</v>
          </cell>
          <cell r="F22">
            <v>10</v>
          </cell>
          <cell r="G22">
            <v>8</v>
          </cell>
        </row>
        <row r="23">
          <cell r="B23" t="str">
            <v>20220589</v>
          </cell>
          <cell r="C23" t="str">
            <v>Hoàng Quang</v>
          </cell>
          <cell r="D23" t="str">
            <v>Hợp</v>
          </cell>
          <cell r="E23" t="str">
            <v>30/05/2004</v>
          </cell>
          <cell r="F23">
            <v>9.5</v>
          </cell>
          <cell r="G23">
            <v>7</v>
          </cell>
        </row>
        <row r="24">
          <cell r="B24" t="str">
            <v>20220656</v>
          </cell>
          <cell r="C24" t="str">
            <v>Bùi Khánh</v>
          </cell>
          <cell r="D24" t="str">
            <v>Hùng</v>
          </cell>
          <cell r="E24" t="str">
            <v>15/07/2004</v>
          </cell>
          <cell r="F24">
            <v>9</v>
          </cell>
          <cell r="G24">
            <v>7.5</v>
          </cell>
        </row>
        <row r="25">
          <cell r="B25" t="str">
            <v>20220838</v>
          </cell>
          <cell r="C25" t="str">
            <v>Lê Phi</v>
          </cell>
          <cell r="D25" t="str">
            <v>Hùng</v>
          </cell>
          <cell r="E25" t="str">
            <v>09/03/2004</v>
          </cell>
          <cell r="F25">
            <v>9.5</v>
          </cell>
          <cell r="G25">
            <v>7.5</v>
          </cell>
        </row>
        <row r="26">
          <cell r="B26" t="str">
            <v>20221256</v>
          </cell>
          <cell r="C26" t="str">
            <v>Nguyễn Thị</v>
          </cell>
          <cell r="D26" t="str">
            <v>Huyền</v>
          </cell>
          <cell r="E26" t="str">
            <v>07/10/2004</v>
          </cell>
          <cell r="F26">
            <v>9.5</v>
          </cell>
          <cell r="G26">
            <v>7.5</v>
          </cell>
        </row>
        <row r="27">
          <cell r="B27" t="str">
            <v>20221540</v>
          </cell>
          <cell r="C27" t="str">
            <v>Trần Văn</v>
          </cell>
          <cell r="D27" t="str">
            <v>Huỳnh</v>
          </cell>
          <cell r="E27" t="str">
            <v>16/01/2004</v>
          </cell>
          <cell r="F27">
            <v>9</v>
          </cell>
          <cell r="G27">
            <v>8.5</v>
          </cell>
        </row>
        <row r="28">
          <cell r="B28" t="str">
            <v>20224346</v>
          </cell>
          <cell r="C28" t="str">
            <v>Bùi Bảo</v>
          </cell>
          <cell r="D28" t="str">
            <v>Khang</v>
          </cell>
          <cell r="E28" t="str">
            <v>05/12/2004</v>
          </cell>
          <cell r="F28">
            <v>9</v>
          </cell>
          <cell r="G28">
            <v>6.5</v>
          </cell>
        </row>
        <row r="29">
          <cell r="B29" t="str">
            <v>20224047</v>
          </cell>
          <cell r="C29" t="str">
            <v>Nguyễn Gia</v>
          </cell>
          <cell r="D29" t="str">
            <v>Khánh</v>
          </cell>
          <cell r="E29" t="str">
            <v>15/10/2004</v>
          </cell>
          <cell r="F29">
            <v>10</v>
          </cell>
          <cell r="G29">
            <v>7.5</v>
          </cell>
        </row>
        <row r="30">
          <cell r="B30" t="str">
            <v>20221407</v>
          </cell>
          <cell r="C30" t="str">
            <v>Nguyễn Đăng</v>
          </cell>
          <cell r="D30" t="str">
            <v>Khoa</v>
          </cell>
          <cell r="E30" t="str">
            <v>07/07/2004</v>
          </cell>
          <cell r="F30">
            <v>9.5</v>
          </cell>
          <cell r="G30">
            <v>6</v>
          </cell>
        </row>
        <row r="31">
          <cell r="B31" t="str">
            <v>20221283</v>
          </cell>
          <cell r="C31" t="str">
            <v>Nguyễn Quý</v>
          </cell>
          <cell r="D31" t="str">
            <v>Khôi</v>
          </cell>
          <cell r="E31" t="str">
            <v>24/01/2003</v>
          </cell>
          <cell r="F31">
            <v>10</v>
          </cell>
          <cell r="G31">
            <v>7</v>
          </cell>
        </row>
        <row r="32">
          <cell r="B32" t="str">
            <v>20220345</v>
          </cell>
          <cell r="C32" t="str">
            <v>Nguyễn Lê Thùy</v>
          </cell>
          <cell r="D32" t="str">
            <v>Linh</v>
          </cell>
          <cell r="E32" t="str">
            <v>16/02/2004</v>
          </cell>
          <cell r="F32">
            <v>10</v>
          </cell>
          <cell r="G32">
            <v>7.5</v>
          </cell>
        </row>
        <row r="33">
          <cell r="B33" t="str">
            <v>20221565</v>
          </cell>
          <cell r="C33" t="str">
            <v>Mai Đức</v>
          </cell>
          <cell r="D33" t="str">
            <v>Long</v>
          </cell>
          <cell r="E33" t="str">
            <v>05/08/2004</v>
          </cell>
          <cell r="F33">
            <v>9.5</v>
          </cell>
          <cell r="G33">
            <v>7.5</v>
          </cell>
        </row>
        <row r="34">
          <cell r="B34" t="str">
            <v>20221316</v>
          </cell>
          <cell r="C34" t="str">
            <v>Nghiêm Xuân</v>
          </cell>
          <cell r="D34" t="str">
            <v>Mạnh</v>
          </cell>
          <cell r="E34" t="str">
            <v>29/06/2004</v>
          </cell>
          <cell r="F34">
            <v>9</v>
          </cell>
          <cell r="G34">
            <v>6.5</v>
          </cell>
        </row>
        <row r="35">
          <cell r="B35" t="str">
            <v>20221683</v>
          </cell>
          <cell r="C35" t="str">
            <v>Đặng Văn</v>
          </cell>
          <cell r="D35" t="str">
            <v>Minh</v>
          </cell>
          <cell r="E35" t="str">
            <v>04/04/2004</v>
          </cell>
          <cell r="F35">
            <v>7</v>
          </cell>
          <cell r="G35">
            <v>6</v>
          </cell>
        </row>
        <row r="36">
          <cell r="B36" t="str">
            <v>20221468</v>
          </cell>
          <cell r="C36" t="str">
            <v>Hoàng Gia</v>
          </cell>
          <cell r="D36" t="str">
            <v>Minh</v>
          </cell>
          <cell r="E36" t="str">
            <v>05/06/2004</v>
          </cell>
          <cell r="F36">
            <v>9</v>
          </cell>
          <cell r="G36">
            <v>7.5</v>
          </cell>
        </row>
        <row r="37">
          <cell r="B37" t="str">
            <v>20221726</v>
          </cell>
          <cell r="C37" t="str">
            <v>Nguyễn Anh</v>
          </cell>
          <cell r="D37" t="str">
            <v>Minh</v>
          </cell>
          <cell r="E37" t="str">
            <v>26/09/2004</v>
          </cell>
          <cell r="F37">
            <v>8.5</v>
          </cell>
          <cell r="G37">
            <v>7</v>
          </cell>
        </row>
        <row r="38">
          <cell r="B38" t="str">
            <v>20221359</v>
          </cell>
          <cell r="C38" t="str">
            <v>Nguyễn Hồng</v>
          </cell>
          <cell r="D38" t="str">
            <v>Minh</v>
          </cell>
          <cell r="E38" t="str">
            <v>23/12/2004</v>
          </cell>
          <cell r="F38">
            <v>9</v>
          </cell>
          <cell r="G38">
            <v>7.5</v>
          </cell>
        </row>
        <row r="39">
          <cell r="B39" t="str">
            <v>20220931</v>
          </cell>
          <cell r="C39" t="str">
            <v>Hoàng Văn</v>
          </cell>
          <cell r="D39" t="str">
            <v>Nam</v>
          </cell>
          <cell r="E39" t="str">
            <v>02/05/2004</v>
          </cell>
          <cell r="F39">
            <v>8.5</v>
          </cell>
          <cell r="G39">
            <v>7</v>
          </cell>
        </row>
        <row r="40">
          <cell r="B40" t="str">
            <v>20221530</v>
          </cell>
          <cell r="C40" t="str">
            <v>Hà Quang</v>
          </cell>
          <cell r="D40" t="str">
            <v>Nhuận</v>
          </cell>
          <cell r="E40" t="str">
            <v>06/03/2004</v>
          </cell>
          <cell r="F40">
            <v>10</v>
          </cell>
          <cell r="G40">
            <v>8.5</v>
          </cell>
        </row>
        <row r="41">
          <cell r="B41" t="str">
            <v>20220790</v>
          </cell>
          <cell r="C41" t="str">
            <v>Đặng Tuấn</v>
          </cell>
          <cell r="D41" t="str">
            <v>Phong</v>
          </cell>
          <cell r="E41" t="str">
            <v>12/07/2004</v>
          </cell>
          <cell r="F41">
            <v>9</v>
          </cell>
          <cell r="G41">
            <v>7</v>
          </cell>
        </row>
        <row r="42">
          <cell r="B42" t="str">
            <v>20220535</v>
          </cell>
          <cell r="C42" t="str">
            <v>Hoàng Mậu</v>
          </cell>
          <cell r="D42" t="str">
            <v>Phong</v>
          </cell>
          <cell r="E42" t="str">
            <v>03/08/2004</v>
          </cell>
          <cell r="F42">
            <v>9.5</v>
          </cell>
          <cell r="G42">
            <v>7.5</v>
          </cell>
        </row>
        <row r="43">
          <cell r="B43" t="str">
            <v>20220849</v>
          </cell>
          <cell r="C43" t="str">
            <v>Tạ Tuấn</v>
          </cell>
          <cell r="D43" t="str">
            <v>Phong</v>
          </cell>
          <cell r="E43" t="str">
            <v>09/03/2004</v>
          </cell>
          <cell r="F43">
            <v>9</v>
          </cell>
          <cell r="G43">
            <v>9</v>
          </cell>
        </row>
        <row r="44">
          <cell r="B44" t="str">
            <v>20221289</v>
          </cell>
          <cell r="C44" t="str">
            <v>Hoàng Minh</v>
          </cell>
          <cell r="D44" t="str">
            <v>Quang</v>
          </cell>
          <cell r="E44" t="str">
            <v>21/10/2004</v>
          </cell>
          <cell r="F44">
            <v>9</v>
          </cell>
          <cell r="G44">
            <v>7</v>
          </cell>
        </row>
        <row r="45">
          <cell r="B45" t="str">
            <v>20220744</v>
          </cell>
          <cell r="C45" t="str">
            <v>Nguyễn Sỹ</v>
          </cell>
          <cell r="D45" t="str">
            <v>Quang</v>
          </cell>
          <cell r="E45" t="str">
            <v>11/12/2004</v>
          </cell>
          <cell r="F45">
            <v>10</v>
          </cell>
          <cell r="G45">
            <v>7</v>
          </cell>
        </row>
        <row r="46">
          <cell r="B46" t="str">
            <v>20220806</v>
          </cell>
          <cell r="C46" t="str">
            <v>Lý Ngọc</v>
          </cell>
          <cell r="D46" t="str">
            <v>Quân</v>
          </cell>
          <cell r="E46" t="str">
            <v>12/06/2004</v>
          </cell>
          <cell r="F46">
            <v>9.5</v>
          </cell>
          <cell r="G46">
            <v>7.5</v>
          </cell>
        </row>
        <row r="47">
          <cell r="B47" t="str">
            <v>20221071</v>
          </cell>
          <cell r="C47" t="str">
            <v>Ngô Anh</v>
          </cell>
          <cell r="D47" t="str">
            <v>Quân</v>
          </cell>
          <cell r="E47" t="str">
            <v>22/08/2004</v>
          </cell>
          <cell r="F47">
            <v>9</v>
          </cell>
          <cell r="G47">
            <v>7</v>
          </cell>
        </row>
        <row r="48">
          <cell r="B48" t="str">
            <v>20220844</v>
          </cell>
          <cell r="C48" t="str">
            <v>Nguyễn Anh</v>
          </cell>
          <cell r="D48" t="str">
            <v>Quân</v>
          </cell>
          <cell r="E48" t="str">
            <v>20/09/2004</v>
          </cell>
          <cell r="F48">
            <v>8.5</v>
          </cell>
          <cell r="G48">
            <v>9</v>
          </cell>
        </row>
        <row r="49">
          <cell r="B49" t="str">
            <v>20224113</v>
          </cell>
          <cell r="C49" t="str">
            <v>Nguyễn Văn</v>
          </cell>
          <cell r="D49" t="str">
            <v>Quân</v>
          </cell>
          <cell r="E49" t="str">
            <v>08/01/2004</v>
          </cell>
          <cell r="F49">
            <v>9</v>
          </cell>
          <cell r="G49">
            <v>7</v>
          </cell>
        </row>
        <row r="50">
          <cell r="B50" t="str">
            <v>20221008</v>
          </cell>
          <cell r="C50" t="str">
            <v>Trần Thị Hoàng</v>
          </cell>
          <cell r="D50" t="str">
            <v>Quỳnh</v>
          </cell>
          <cell r="E50" t="str">
            <v>13/07/2004</v>
          </cell>
          <cell r="F50">
            <v>10</v>
          </cell>
          <cell r="G50">
            <v>7.5</v>
          </cell>
        </row>
        <row r="51">
          <cell r="B51" t="str">
            <v>20224325</v>
          </cell>
          <cell r="C51" t="str">
            <v>Lê Văn</v>
          </cell>
          <cell r="D51" t="str">
            <v>Sáng</v>
          </cell>
          <cell r="E51" t="str">
            <v>15/12/2004</v>
          </cell>
          <cell r="F51">
            <v>10</v>
          </cell>
          <cell r="G51">
            <v>8</v>
          </cell>
        </row>
        <row r="52">
          <cell r="B52" t="str">
            <v>20221628</v>
          </cell>
          <cell r="C52" t="str">
            <v>Nguyễn Lam</v>
          </cell>
          <cell r="D52" t="str">
            <v>Sơn</v>
          </cell>
          <cell r="E52" t="str">
            <v>12/01/2004</v>
          </cell>
          <cell r="F52">
            <v>9.5</v>
          </cell>
          <cell r="G52">
            <v>8</v>
          </cell>
        </row>
        <row r="53">
          <cell r="B53" t="str">
            <v>20220719</v>
          </cell>
          <cell r="C53" t="str">
            <v>Nguyễn Thái</v>
          </cell>
          <cell r="D53" t="str">
            <v>Sơn</v>
          </cell>
          <cell r="E53" t="str">
            <v>09/01/2004</v>
          </cell>
          <cell r="F53">
            <v>9</v>
          </cell>
          <cell r="G53">
            <v>7</v>
          </cell>
        </row>
        <row r="54">
          <cell r="B54" t="str">
            <v>20221428</v>
          </cell>
          <cell r="C54" t="str">
            <v>Nguyễn Ngọc</v>
          </cell>
          <cell r="D54" t="str">
            <v>Thanh</v>
          </cell>
          <cell r="E54" t="str">
            <v>16/10/2004</v>
          </cell>
          <cell r="F54">
            <v>9</v>
          </cell>
          <cell r="G54">
            <v>6</v>
          </cell>
        </row>
        <row r="55">
          <cell r="B55" t="str">
            <v>20221018</v>
          </cell>
          <cell r="C55" t="str">
            <v>Dương Văn</v>
          </cell>
          <cell r="D55" t="str">
            <v>Thành</v>
          </cell>
          <cell r="E55" t="str">
            <v>15/12/2004</v>
          </cell>
          <cell r="F55">
            <v>10</v>
          </cell>
          <cell r="G55">
            <v>8</v>
          </cell>
        </row>
        <row r="56">
          <cell r="B56" t="str">
            <v>20221002</v>
          </cell>
          <cell r="C56" t="str">
            <v>Quàng Văn</v>
          </cell>
          <cell r="D56" t="str">
            <v>Thiếm</v>
          </cell>
          <cell r="E56" t="str">
            <v>10/10/2003</v>
          </cell>
          <cell r="F56">
            <v>10</v>
          </cell>
          <cell r="G56">
            <v>7</v>
          </cell>
        </row>
        <row r="57">
          <cell r="B57" t="str">
            <v>20221654</v>
          </cell>
          <cell r="C57" t="str">
            <v>Phan Tiến</v>
          </cell>
          <cell r="D57" t="str">
            <v>Tiến</v>
          </cell>
          <cell r="E57" t="str">
            <v>01/07/2004</v>
          </cell>
          <cell r="F57">
            <v>7</v>
          </cell>
          <cell r="G57">
            <v>7</v>
          </cell>
        </row>
        <row r="58">
          <cell r="B58" t="str">
            <v>20224343</v>
          </cell>
          <cell r="C58" t="str">
            <v>Trần Anh</v>
          </cell>
          <cell r="D58" t="str">
            <v>Trung</v>
          </cell>
          <cell r="E58" t="str">
            <v>03/03/2004</v>
          </cell>
          <cell r="F58">
            <v>9</v>
          </cell>
          <cell r="G58">
            <v>6.5</v>
          </cell>
        </row>
        <row r="59">
          <cell r="B59" t="str">
            <v>20222240</v>
          </cell>
          <cell r="C59" t="str">
            <v>Lưu Nguyên</v>
          </cell>
          <cell r="D59" t="str">
            <v>Trường</v>
          </cell>
          <cell r="E59" t="str">
            <v>08/11/2004</v>
          </cell>
          <cell r="F59">
            <v>10</v>
          </cell>
          <cell r="G59">
            <v>9</v>
          </cell>
        </row>
        <row r="60">
          <cell r="B60" t="str">
            <v>20221358</v>
          </cell>
          <cell r="C60" t="str">
            <v>Lý Anh</v>
          </cell>
          <cell r="D60" t="str">
            <v>Tú</v>
          </cell>
          <cell r="E60" t="str">
            <v>02/03/2004</v>
          </cell>
          <cell r="F60">
            <v>9</v>
          </cell>
          <cell r="G60">
            <v>6</v>
          </cell>
        </row>
        <row r="61">
          <cell r="B61" t="str">
            <v>20221442</v>
          </cell>
          <cell r="C61" t="str">
            <v>Phan Anh</v>
          </cell>
          <cell r="D61" t="str">
            <v>Tú</v>
          </cell>
          <cell r="E61" t="str">
            <v>08/09/2004</v>
          </cell>
          <cell r="F61">
            <v>10</v>
          </cell>
          <cell r="G61">
            <v>7.5</v>
          </cell>
        </row>
        <row r="62">
          <cell r="B62" t="str">
            <v>20220473</v>
          </cell>
          <cell r="C62" t="str">
            <v>Vũ Hoàng Anh</v>
          </cell>
          <cell r="D62" t="str">
            <v>Tú</v>
          </cell>
          <cell r="E62" t="str">
            <v>21/08/2004</v>
          </cell>
          <cell r="F62">
            <v>9</v>
          </cell>
          <cell r="G62">
            <v>6</v>
          </cell>
        </row>
        <row r="63">
          <cell r="B63" t="str">
            <v>20222298</v>
          </cell>
          <cell r="C63" t="str">
            <v>Đặng Đình</v>
          </cell>
          <cell r="D63" t="str">
            <v>Tuấn</v>
          </cell>
          <cell r="E63" t="str">
            <v>02/06/2004</v>
          </cell>
          <cell r="F63">
            <v>9</v>
          </cell>
          <cell r="G63">
            <v>8</v>
          </cell>
        </row>
        <row r="64">
          <cell r="B64" t="str">
            <v>20220782</v>
          </cell>
          <cell r="C64" t="str">
            <v>Lê Văn</v>
          </cell>
          <cell r="D64" t="str">
            <v>Tùng</v>
          </cell>
          <cell r="E64" t="str">
            <v>26/10/2004</v>
          </cell>
          <cell r="F64">
            <v>8.5</v>
          </cell>
          <cell r="G64">
            <v>7.5</v>
          </cell>
        </row>
        <row r="65">
          <cell r="B65" t="str">
            <v>20220902</v>
          </cell>
          <cell r="C65" t="str">
            <v>Trần Thanh</v>
          </cell>
          <cell r="D65" t="str">
            <v>Tùng</v>
          </cell>
          <cell r="E65" t="str">
            <v>08/12/2004</v>
          </cell>
          <cell r="F65">
            <v>10</v>
          </cell>
          <cell r="G65">
            <v>8</v>
          </cell>
        </row>
        <row r="66">
          <cell r="B66" t="str">
            <v>20220647</v>
          </cell>
          <cell r="C66" t="str">
            <v>Hoàng Quang</v>
          </cell>
          <cell r="D66" t="str">
            <v>Vinh</v>
          </cell>
          <cell r="E66" t="str">
            <v>28/01/2004</v>
          </cell>
          <cell r="F66">
            <v>8.5</v>
          </cell>
          <cell r="G66">
            <v>7.5</v>
          </cell>
        </row>
        <row r="67">
          <cell r="B67" t="str">
            <v>20220839</v>
          </cell>
          <cell r="C67" t="str">
            <v>Nguyễn Văn</v>
          </cell>
          <cell r="D67" t="str">
            <v>Vũ</v>
          </cell>
          <cell r="E67" t="str">
            <v>11/04/2004</v>
          </cell>
          <cell r="F67">
            <v>9.5</v>
          </cell>
          <cell r="G67">
            <v>8</v>
          </cell>
        </row>
        <row r="68">
          <cell r="B68" t="str">
            <v>20220449</v>
          </cell>
          <cell r="C68" t="str">
            <v>Nguyễn Quốc</v>
          </cell>
          <cell r="D68" t="str">
            <v>Vượng</v>
          </cell>
          <cell r="E68" t="str">
            <v>08/01/2004</v>
          </cell>
          <cell r="F68">
            <v>9.5</v>
          </cell>
          <cell r="G68">
            <v>6.5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topLeftCell="A62" zoomScaleNormal="100" workbookViewId="0">
      <selection activeCell="K3" sqref="K3:K69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f>VLOOKUP(B3,[1]Điểm!$B$2:$G$68,5,0)</f>
        <v>9</v>
      </c>
      <c r="K3" s="3">
        <f>VLOOKUP(B3,[1]Điểm!$B$2:$G$68,6,0)</f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f>VLOOKUP(B4,[1]Điểm!$B$2:$G$68,5,0)</f>
        <v>9.5</v>
      </c>
      <c r="K4" s="3">
        <f>VLOOKUP(B4,[1]Điểm!$B$2:$G$68,6,0)</f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f>VLOOKUP(B5,[1]Điểm!$B$2:$G$68,5,0)</f>
        <v>9.5</v>
      </c>
      <c r="K5" s="3">
        <f>VLOOKUP(B5,[1]Điểm!$B$2:$G$68,6,0)</f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26</v>
      </c>
      <c r="H6" s="2" t="s">
        <v>20</v>
      </c>
      <c r="I6" s="2" t="s">
        <v>20</v>
      </c>
      <c r="J6" s="3">
        <f>VLOOKUP(B6,[1]Điểm!$B$2:$G$68,5,0)</f>
        <v>9</v>
      </c>
      <c r="K6" s="3">
        <f>VLOOKUP(B6,[1]Điểm!$B$2:$G$68,6,0)</f>
        <v>7.5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44</v>
      </c>
      <c r="B7" s="2" t="s">
        <v>45</v>
      </c>
      <c r="C7" s="2" t="s">
        <v>46</v>
      </c>
      <c r="D7" s="2" t="s">
        <v>41</v>
      </c>
      <c r="E7" s="2" t="s">
        <v>47</v>
      </c>
      <c r="F7" s="2" t="s">
        <v>48</v>
      </c>
      <c r="G7" s="2" t="s">
        <v>26</v>
      </c>
      <c r="H7" s="2" t="s">
        <v>20</v>
      </c>
      <c r="I7" s="2" t="s">
        <v>20</v>
      </c>
      <c r="J7" s="3">
        <f>VLOOKUP(B7,[1]Điểm!$B$2:$G$68,5,0)</f>
        <v>9</v>
      </c>
      <c r="K7" s="3">
        <f>VLOOKUP(B7,[1]Điểm!$B$2:$G$68,6,0)</f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f>VLOOKUP(B8,[1]Điểm!$B$2:$G$68,5,0)</f>
        <v>9</v>
      </c>
      <c r="K8" s="3">
        <f>VLOOKUP(B8,[1]Điểm!$B$2:$G$68,6,0)</f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26</v>
      </c>
      <c r="H9" s="2" t="s">
        <v>20</v>
      </c>
      <c r="I9" s="2" t="s">
        <v>20</v>
      </c>
      <c r="J9" s="3">
        <f>VLOOKUP(B9,[1]Điểm!$B$2:$G$68,5,0)</f>
        <v>10</v>
      </c>
      <c r="K9" s="3">
        <f>VLOOKUP(B9,[1]Điểm!$B$2:$G$68,6,0)</f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42</v>
      </c>
      <c r="F10" s="2" t="s">
        <v>48</v>
      </c>
      <c r="G10" s="2" t="s">
        <v>26</v>
      </c>
      <c r="H10" s="2" t="s">
        <v>20</v>
      </c>
      <c r="I10" s="2" t="s">
        <v>20</v>
      </c>
      <c r="J10" s="3">
        <f>VLOOKUP(B10,[1]Điểm!$B$2:$G$68,5,0)</f>
        <v>9</v>
      </c>
      <c r="K10" s="3">
        <f>VLOOKUP(B10,[1]Điểm!$B$2:$G$68,6,0)</f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64</v>
      </c>
      <c r="B11" s="2" t="s">
        <v>65</v>
      </c>
      <c r="C11" s="2" t="s">
        <v>66</v>
      </c>
      <c r="D11" s="2" t="s">
        <v>63</v>
      </c>
      <c r="E11" s="2" t="s">
        <v>67</v>
      </c>
      <c r="F11" s="2" t="s">
        <v>68</v>
      </c>
      <c r="G11" s="2" t="s">
        <v>26</v>
      </c>
      <c r="H11" s="2" t="s">
        <v>20</v>
      </c>
      <c r="I11" s="2" t="s">
        <v>20</v>
      </c>
      <c r="J11" s="3">
        <f>VLOOKUP(B11,[1]Điểm!$B$2:$G$68,5,0)</f>
        <v>9.5</v>
      </c>
      <c r="K11" s="3">
        <f>VLOOKUP(B11,[1]Điểm!$B$2:$G$68,6,0)</f>
        <v>7.5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26</v>
      </c>
      <c r="H12" s="2" t="s">
        <v>20</v>
      </c>
      <c r="I12" s="2" t="s">
        <v>20</v>
      </c>
      <c r="J12" s="3">
        <f>VLOOKUP(B12,[1]Điểm!$B$2:$G$68,5,0)</f>
        <v>9</v>
      </c>
      <c r="K12" s="3">
        <f>VLOOKUP(B12,[1]Điểm!$B$2:$G$68,6,0)</f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75</v>
      </c>
      <c r="B13" s="2" t="s">
        <v>76</v>
      </c>
      <c r="C13" s="2" t="s">
        <v>77</v>
      </c>
      <c r="D13" s="2" t="s">
        <v>72</v>
      </c>
      <c r="E13" s="2" t="s">
        <v>78</v>
      </c>
      <c r="F13" s="2" t="s">
        <v>48</v>
      </c>
      <c r="G13" s="2" t="s">
        <v>26</v>
      </c>
      <c r="H13" s="2" t="s">
        <v>20</v>
      </c>
      <c r="I13" s="2" t="s">
        <v>20</v>
      </c>
      <c r="J13" s="3">
        <f>VLOOKUP(B13,[1]Điểm!$B$2:$G$68,5,0)</f>
        <v>9.5</v>
      </c>
      <c r="K13" s="3">
        <f>VLOOKUP(B13,[1]Điểm!$B$2:$G$68,6,0)</f>
        <v>7.5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26</v>
      </c>
      <c r="H14" s="2" t="s">
        <v>20</v>
      </c>
      <c r="I14" s="2" t="s">
        <v>20</v>
      </c>
      <c r="J14" s="3">
        <f>VLOOKUP(B14,[1]Điểm!$B$2:$G$68,5,0)</f>
        <v>8.5</v>
      </c>
      <c r="K14" s="3">
        <f>VLOOKUP(B14,[1]Điểm!$B$2:$G$68,6,0)</f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85</v>
      </c>
      <c r="B15" s="2" t="s">
        <v>86</v>
      </c>
      <c r="C15" s="2" t="s">
        <v>87</v>
      </c>
      <c r="D15" s="2" t="s">
        <v>82</v>
      </c>
      <c r="E15" s="2" t="s">
        <v>88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f>VLOOKUP(B15,[1]Điểm!$B$2:$G$68,5,0)</f>
        <v>8.5</v>
      </c>
      <c r="K15" s="3">
        <f>VLOOKUP(B15,[1]Điểm!$B$2:$G$68,6,0)</f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89</v>
      </c>
      <c r="B16" s="2" t="s">
        <v>90</v>
      </c>
      <c r="C16" s="2" t="s">
        <v>91</v>
      </c>
      <c r="D16" s="2" t="s">
        <v>82</v>
      </c>
      <c r="E16" s="2" t="s">
        <v>92</v>
      </c>
      <c r="F16" s="2" t="s">
        <v>68</v>
      </c>
      <c r="G16" s="2" t="s">
        <v>26</v>
      </c>
      <c r="H16" s="2" t="s">
        <v>20</v>
      </c>
      <c r="I16" s="2" t="s">
        <v>20</v>
      </c>
      <c r="J16" s="3">
        <f>VLOOKUP(B16,[1]Điểm!$B$2:$G$68,5,0)</f>
        <v>9</v>
      </c>
      <c r="K16" s="3">
        <f>VLOOKUP(B16,[1]Điểm!$B$2:$G$68,6,0)</f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48</v>
      </c>
      <c r="G17" s="2" t="s">
        <v>26</v>
      </c>
      <c r="H17" s="2" t="s">
        <v>20</v>
      </c>
      <c r="I17" s="2" t="s">
        <v>20</v>
      </c>
      <c r="J17" s="3">
        <f>VLOOKUP(B17,[1]Điểm!$B$2:$G$68,5,0)</f>
        <v>10</v>
      </c>
      <c r="K17" s="3">
        <f>VLOOKUP(B17,[1]Điểm!$B$2:$G$68,6,0)</f>
        <v>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74</v>
      </c>
      <c r="G18" s="2" t="s">
        <v>26</v>
      </c>
      <c r="H18" s="2" t="s">
        <v>20</v>
      </c>
      <c r="I18" s="2" t="s">
        <v>20</v>
      </c>
      <c r="J18" s="3">
        <f>VLOOKUP(B18,[1]Điểm!$B$2:$G$68,5,0)</f>
        <v>9.5</v>
      </c>
      <c r="K18" s="3">
        <f>VLOOKUP(B18,[1]Điểm!$B$2:$G$68,6,0)</f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84</v>
      </c>
      <c r="G19" s="2" t="s">
        <v>26</v>
      </c>
      <c r="H19" s="2" t="s">
        <v>20</v>
      </c>
      <c r="I19" s="2" t="s">
        <v>20</v>
      </c>
      <c r="J19" s="3">
        <f>VLOOKUP(B19,[1]Điểm!$B$2:$G$68,5,0)</f>
        <v>10</v>
      </c>
      <c r="K19" s="3">
        <f>VLOOKUP(B19,[1]Điểm!$B$2:$G$68,6,0)</f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48</v>
      </c>
      <c r="G20" s="2" t="s">
        <v>26</v>
      </c>
      <c r="H20" s="2" t="s">
        <v>20</v>
      </c>
      <c r="I20" s="2" t="s">
        <v>20</v>
      </c>
      <c r="J20" s="3">
        <f>VLOOKUP(B20,[1]Điểm!$B$2:$G$68,5,0)</f>
        <v>10</v>
      </c>
      <c r="K20" s="3">
        <f>VLOOKUP(B20,[1]Điểm!$B$2:$G$68,6,0)</f>
        <v>8.5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26</v>
      </c>
      <c r="H21" s="2" t="s">
        <v>20</v>
      </c>
      <c r="I21" s="2" t="s">
        <v>20</v>
      </c>
      <c r="J21" s="3">
        <f>VLOOKUP(B21,[1]Điểm!$B$2:$G$68,5,0)</f>
        <v>9</v>
      </c>
      <c r="K21" s="3">
        <f>VLOOKUP(B21,[1]Điểm!$B$2:$G$68,6,0)</f>
        <v>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2" t="s">
        <v>43</v>
      </c>
      <c r="G22" s="2" t="s">
        <v>26</v>
      </c>
      <c r="H22" s="2" t="s">
        <v>20</v>
      </c>
      <c r="I22" s="2" t="s">
        <v>20</v>
      </c>
      <c r="J22" s="3">
        <f>VLOOKUP(B22,[1]Điểm!$B$2:$G$68,5,0)</f>
        <v>10</v>
      </c>
      <c r="K22" s="3">
        <f>VLOOKUP(B22,[1]Điểm!$B$2:$G$68,6,0)</f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124</v>
      </c>
      <c r="B23" s="2" t="s">
        <v>125</v>
      </c>
      <c r="C23" s="2" t="s">
        <v>126</v>
      </c>
      <c r="D23" s="2" t="s">
        <v>122</v>
      </c>
      <c r="E23" s="2" t="s">
        <v>127</v>
      </c>
      <c r="F23" s="2" t="s">
        <v>118</v>
      </c>
      <c r="G23" s="2" t="s">
        <v>26</v>
      </c>
      <c r="H23" s="2" t="s">
        <v>20</v>
      </c>
      <c r="I23" s="2" t="s">
        <v>20</v>
      </c>
      <c r="J23" s="3">
        <f>VLOOKUP(B23,[1]Điểm!$B$2:$G$68,5,0)</f>
        <v>10</v>
      </c>
      <c r="K23" s="3">
        <f>VLOOKUP(B23,[1]Điểm!$B$2:$G$68,6,0)</f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128</v>
      </c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43</v>
      </c>
      <c r="G24" s="2" t="s">
        <v>26</v>
      </c>
      <c r="H24" s="2" t="s">
        <v>20</v>
      </c>
      <c r="I24" s="2" t="s">
        <v>20</v>
      </c>
      <c r="J24" s="3">
        <f>VLOOKUP(B24,[1]Điểm!$B$2:$G$68,5,0)</f>
        <v>9.5</v>
      </c>
      <c r="K24" s="3">
        <f>VLOOKUP(B24,[1]Điểm!$B$2:$G$68,6,0)</f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43</v>
      </c>
      <c r="G25" s="2" t="s">
        <v>26</v>
      </c>
      <c r="H25" s="2" t="s">
        <v>20</v>
      </c>
      <c r="I25" s="2" t="s">
        <v>20</v>
      </c>
      <c r="J25" s="3">
        <f>VLOOKUP(B25,[1]Điểm!$B$2:$G$68,5,0)</f>
        <v>9</v>
      </c>
      <c r="K25" s="3">
        <f>VLOOKUP(B25,[1]Điểm!$B$2:$G$68,6,0)</f>
        <v>7.5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138</v>
      </c>
      <c r="B26" s="2" t="s">
        <v>139</v>
      </c>
      <c r="C26" s="2" t="s">
        <v>140</v>
      </c>
      <c r="D26" s="2" t="s">
        <v>136</v>
      </c>
      <c r="E26" s="2" t="s">
        <v>141</v>
      </c>
      <c r="F26" s="2" t="s">
        <v>74</v>
      </c>
      <c r="G26" s="2" t="s">
        <v>26</v>
      </c>
      <c r="H26" s="2" t="s">
        <v>20</v>
      </c>
      <c r="I26" s="2" t="s">
        <v>20</v>
      </c>
      <c r="J26" s="3">
        <f>VLOOKUP(B26,[1]Điểm!$B$2:$G$68,5,0)</f>
        <v>9.5</v>
      </c>
      <c r="K26" s="3">
        <f>VLOOKUP(B26,[1]Điểm!$B$2:$G$68,6,0)</f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142</v>
      </c>
      <c r="B27" s="2" t="s">
        <v>143</v>
      </c>
      <c r="C27" s="2" t="s">
        <v>144</v>
      </c>
      <c r="D27" s="2" t="s">
        <v>145</v>
      </c>
      <c r="E27" s="2" t="s">
        <v>146</v>
      </c>
      <c r="F27" s="2" t="s">
        <v>147</v>
      </c>
      <c r="G27" s="2" t="s">
        <v>26</v>
      </c>
      <c r="H27" s="2" t="s">
        <v>20</v>
      </c>
      <c r="I27" s="2" t="s">
        <v>20</v>
      </c>
      <c r="J27" s="3">
        <f>VLOOKUP(B27,[1]Điểm!$B$2:$G$68,5,0)</f>
        <v>9.5</v>
      </c>
      <c r="K27" s="3">
        <f>VLOOKUP(B27,[1]Điểm!$B$2:$G$68,6,0)</f>
        <v>7.5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148</v>
      </c>
      <c r="B28" s="2" t="s">
        <v>149</v>
      </c>
      <c r="C28" s="2" t="s">
        <v>150</v>
      </c>
      <c r="D28" s="2" t="s">
        <v>151</v>
      </c>
      <c r="E28" s="2" t="s">
        <v>152</v>
      </c>
      <c r="F28" s="2" t="s">
        <v>84</v>
      </c>
      <c r="G28" s="2" t="s">
        <v>26</v>
      </c>
      <c r="H28" s="2" t="s">
        <v>20</v>
      </c>
      <c r="I28" s="2" t="s">
        <v>20</v>
      </c>
      <c r="J28" s="3">
        <f>VLOOKUP(B28,[1]Điểm!$B$2:$G$68,5,0)</f>
        <v>9</v>
      </c>
      <c r="K28" s="3">
        <f>VLOOKUP(B28,[1]Điểm!$B$2:$G$68,6,0)</f>
        <v>8.5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153</v>
      </c>
      <c r="B29" s="2" t="s">
        <v>154</v>
      </c>
      <c r="C29" s="2" t="s">
        <v>155</v>
      </c>
      <c r="D29" s="2" t="s">
        <v>156</v>
      </c>
      <c r="E29" s="2" t="s">
        <v>157</v>
      </c>
      <c r="F29" s="2" t="s">
        <v>68</v>
      </c>
      <c r="G29" s="2" t="s">
        <v>26</v>
      </c>
      <c r="H29" s="2" t="s">
        <v>20</v>
      </c>
      <c r="I29" s="2" t="s">
        <v>20</v>
      </c>
      <c r="J29" s="3">
        <f>VLOOKUP(B29,[1]Điểm!$B$2:$G$68,5,0)</f>
        <v>9</v>
      </c>
      <c r="K29" s="3">
        <f>VLOOKUP(B29,[1]Điểm!$B$2:$G$68,6,0)</f>
        <v>6.5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158</v>
      </c>
      <c r="B30" s="2" t="s">
        <v>159</v>
      </c>
      <c r="C30" s="2" t="s">
        <v>160</v>
      </c>
      <c r="D30" s="2" t="s">
        <v>161</v>
      </c>
      <c r="E30" s="2" t="s">
        <v>47</v>
      </c>
      <c r="F30" s="2" t="s">
        <v>59</v>
      </c>
      <c r="G30" s="2" t="s">
        <v>26</v>
      </c>
      <c r="H30" s="2" t="s">
        <v>20</v>
      </c>
      <c r="I30" s="2" t="s">
        <v>20</v>
      </c>
      <c r="J30" s="3">
        <f>VLOOKUP(B30,[1]Điểm!$B$2:$G$68,5,0)</f>
        <v>10</v>
      </c>
      <c r="K30" s="3">
        <f>VLOOKUP(B30,[1]Điểm!$B$2:$G$68,6,0)</f>
        <v>7.5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162</v>
      </c>
      <c r="B31" s="2" t="s">
        <v>163</v>
      </c>
      <c r="C31" s="2" t="s">
        <v>164</v>
      </c>
      <c r="D31" s="2" t="s">
        <v>165</v>
      </c>
      <c r="E31" s="2" t="s">
        <v>166</v>
      </c>
      <c r="F31" s="2" t="s">
        <v>118</v>
      </c>
      <c r="G31" s="2" t="s">
        <v>26</v>
      </c>
      <c r="H31" s="2" t="s">
        <v>20</v>
      </c>
      <c r="I31" s="2" t="s">
        <v>20</v>
      </c>
      <c r="J31" s="3">
        <f>VLOOKUP(B31,[1]Điểm!$B$2:$G$68,5,0)</f>
        <v>9.5</v>
      </c>
      <c r="K31" s="3">
        <f>VLOOKUP(B31,[1]Điểm!$B$2:$G$68,6,0)</f>
        <v>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167</v>
      </c>
      <c r="B32" s="2" t="s">
        <v>168</v>
      </c>
      <c r="C32" s="2" t="s">
        <v>169</v>
      </c>
      <c r="D32" s="2" t="s">
        <v>170</v>
      </c>
      <c r="E32" s="2" t="s">
        <v>171</v>
      </c>
      <c r="F32" s="2" t="s">
        <v>147</v>
      </c>
      <c r="G32" s="2" t="s">
        <v>26</v>
      </c>
      <c r="H32" s="2" t="s">
        <v>20</v>
      </c>
      <c r="I32" s="2" t="s">
        <v>20</v>
      </c>
      <c r="J32" s="3">
        <f>VLOOKUP(B32,[1]Điểm!$B$2:$G$68,5,0)</f>
        <v>10</v>
      </c>
      <c r="K32" s="3">
        <f>VLOOKUP(B32,[1]Điểm!$B$2:$G$68,6,0)</f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172</v>
      </c>
      <c r="B33" s="2" t="s">
        <v>173</v>
      </c>
      <c r="C33" s="2" t="s">
        <v>174</v>
      </c>
      <c r="D33" s="2" t="s">
        <v>175</v>
      </c>
      <c r="E33" s="2" t="s">
        <v>176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f>VLOOKUP(B33,[1]Điểm!$B$2:$G$68,5,0)</f>
        <v>10</v>
      </c>
      <c r="K33" s="3">
        <f>VLOOKUP(B33,[1]Điểm!$B$2:$G$68,6,0)</f>
        <v>7.5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177</v>
      </c>
      <c r="B34" s="2" t="s">
        <v>178</v>
      </c>
      <c r="C34" s="2" t="s">
        <v>179</v>
      </c>
      <c r="D34" s="2" t="s">
        <v>180</v>
      </c>
      <c r="E34" s="2" t="s">
        <v>181</v>
      </c>
      <c r="F34" s="2" t="s">
        <v>84</v>
      </c>
      <c r="G34" s="2" t="s">
        <v>26</v>
      </c>
      <c r="H34" s="2" t="s">
        <v>20</v>
      </c>
      <c r="I34" s="2" t="s">
        <v>20</v>
      </c>
      <c r="J34" s="3">
        <f>VLOOKUP(B34,[1]Điểm!$B$2:$G$68,5,0)</f>
        <v>9.5</v>
      </c>
      <c r="K34" s="3">
        <f>VLOOKUP(B34,[1]Điểm!$B$2:$G$68,6,0)</f>
        <v>7.5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182</v>
      </c>
      <c r="B35" s="2" t="s">
        <v>183</v>
      </c>
      <c r="C35" s="2" t="s">
        <v>184</v>
      </c>
      <c r="D35" s="2" t="s">
        <v>185</v>
      </c>
      <c r="E35" s="2" t="s">
        <v>186</v>
      </c>
      <c r="F35" s="2" t="s">
        <v>147</v>
      </c>
      <c r="G35" s="2" t="s">
        <v>26</v>
      </c>
      <c r="H35" s="2" t="s">
        <v>20</v>
      </c>
      <c r="I35" s="2" t="s">
        <v>20</v>
      </c>
      <c r="J35" s="3">
        <f>VLOOKUP(B35,[1]Điểm!$B$2:$G$68,5,0)</f>
        <v>9</v>
      </c>
      <c r="K35" s="3">
        <f>VLOOKUP(B35,[1]Điểm!$B$2:$G$68,6,0)</f>
        <v>6.5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187</v>
      </c>
      <c r="B36" s="2" t="s">
        <v>188</v>
      </c>
      <c r="C36" s="2" t="s">
        <v>189</v>
      </c>
      <c r="D36" s="2" t="s">
        <v>190</v>
      </c>
      <c r="E36" s="2" t="s">
        <v>191</v>
      </c>
      <c r="F36" s="2" t="s">
        <v>84</v>
      </c>
      <c r="G36" s="2" t="s">
        <v>26</v>
      </c>
      <c r="H36" s="2" t="s">
        <v>20</v>
      </c>
      <c r="I36" s="2" t="s">
        <v>20</v>
      </c>
      <c r="J36" s="3">
        <f>VLOOKUP(B36,[1]Điểm!$B$2:$G$68,5,0)</f>
        <v>7</v>
      </c>
      <c r="K36" s="3">
        <f>VLOOKUP(B36,[1]Điểm!$B$2:$G$68,6,0)</f>
        <v>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192</v>
      </c>
      <c r="B37" s="2" t="s">
        <v>193</v>
      </c>
      <c r="C37" s="2" t="s">
        <v>194</v>
      </c>
      <c r="D37" s="2" t="s">
        <v>190</v>
      </c>
      <c r="E37" s="2" t="s">
        <v>195</v>
      </c>
      <c r="F37" s="2" t="s">
        <v>118</v>
      </c>
      <c r="G37" s="2" t="s">
        <v>26</v>
      </c>
      <c r="H37" s="2" t="s">
        <v>20</v>
      </c>
      <c r="I37" s="2" t="s">
        <v>20</v>
      </c>
      <c r="J37" s="3">
        <f>VLOOKUP(B37,[1]Điểm!$B$2:$G$68,5,0)</f>
        <v>9</v>
      </c>
      <c r="K37" s="3">
        <f>VLOOKUP(B37,[1]Điểm!$B$2:$G$68,6,0)</f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196</v>
      </c>
      <c r="B38" s="2" t="s">
        <v>197</v>
      </c>
      <c r="C38" s="2" t="s">
        <v>198</v>
      </c>
      <c r="D38" s="2" t="s">
        <v>190</v>
      </c>
      <c r="E38" s="2" t="s">
        <v>92</v>
      </c>
      <c r="F38" s="2" t="s">
        <v>199</v>
      </c>
      <c r="G38" s="2" t="s">
        <v>26</v>
      </c>
      <c r="H38" s="2" t="s">
        <v>20</v>
      </c>
      <c r="I38" s="2" t="s">
        <v>20</v>
      </c>
      <c r="J38" s="3">
        <f>VLOOKUP(B38,[1]Điểm!$B$2:$G$68,5,0)</f>
        <v>8.5</v>
      </c>
      <c r="K38" s="3">
        <f>VLOOKUP(B38,[1]Điểm!$B$2:$G$68,6,0)</f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200</v>
      </c>
      <c r="B39" s="2" t="s">
        <v>201</v>
      </c>
      <c r="C39" s="2" t="s">
        <v>202</v>
      </c>
      <c r="D39" s="2" t="s">
        <v>190</v>
      </c>
      <c r="E39" s="2" t="s">
        <v>203</v>
      </c>
      <c r="F39" s="2" t="s">
        <v>118</v>
      </c>
      <c r="G39" s="2" t="s">
        <v>26</v>
      </c>
      <c r="H39" s="2" t="s">
        <v>20</v>
      </c>
      <c r="I39" s="2" t="s">
        <v>20</v>
      </c>
      <c r="J39" s="3">
        <f>VLOOKUP(B39,[1]Điểm!$B$2:$G$68,5,0)</f>
        <v>9</v>
      </c>
      <c r="K39" s="3">
        <f>VLOOKUP(B39,[1]Điểm!$B$2:$G$68,6,0)</f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204</v>
      </c>
      <c r="B40" s="2" t="s">
        <v>205</v>
      </c>
      <c r="C40" s="2" t="s">
        <v>206</v>
      </c>
      <c r="D40" s="2" t="s">
        <v>207</v>
      </c>
      <c r="E40" s="2" t="s">
        <v>208</v>
      </c>
      <c r="F40" s="2" t="s">
        <v>74</v>
      </c>
      <c r="G40" s="2" t="s">
        <v>26</v>
      </c>
      <c r="H40" s="2" t="s">
        <v>20</v>
      </c>
      <c r="I40" s="2" t="s">
        <v>20</v>
      </c>
      <c r="J40" s="3">
        <f>VLOOKUP(B40,[1]Điểm!$B$2:$G$68,5,0)</f>
        <v>8.5</v>
      </c>
      <c r="K40" s="3">
        <f>VLOOKUP(B40,[1]Điểm!$B$2:$G$68,6,0)</f>
        <v>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209</v>
      </c>
      <c r="B41" s="2" t="s">
        <v>210</v>
      </c>
      <c r="C41" s="2" t="s">
        <v>211</v>
      </c>
      <c r="D41" s="2" t="s">
        <v>212</v>
      </c>
      <c r="E41" s="2" t="s">
        <v>213</v>
      </c>
      <c r="F41" s="2" t="s">
        <v>84</v>
      </c>
      <c r="G41" s="2" t="s">
        <v>26</v>
      </c>
      <c r="H41" s="2" t="s">
        <v>20</v>
      </c>
      <c r="I41" s="2" t="s">
        <v>20</v>
      </c>
      <c r="J41" s="3">
        <f>VLOOKUP(B41,[1]Điểm!$B$2:$G$68,5,0)</f>
        <v>10</v>
      </c>
      <c r="K41" s="3">
        <f>VLOOKUP(B41,[1]Điểm!$B$2:$G$68,6,0)</f>
        <v>8.5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214</v>
      </c>
      <c r="B42" s="2" t="s">
        <v>215</v>
      </c>
      <c r="C42" s="2" t="s">
        <v>216</v>
      </c>
      <c r="D42" s="2" t="s">
        <v>217</v>
      </c>
      <c r="E42" s="2" t="s">
        <v>218</v>
      </c>
      <c r="F42" s="2" t="s">
        <v>74</v>
      </c>
      <c r="G42" s="2" t="s">
        <v>26</v>
      </c>
      <c r="H42" s="2" t="s">
        <v>20</v>
      </c>
      <c r="I42" s="2" t="s">
        <v>20</v>
      </c>
      <c r="J42" s="3">
        <f>VLOOKUP(B42,[1]Điểm!$B$2:$G$68,5,0)</f>
        <v>9</v>
      </c>
      <c r="K42" s="3">
        <f>VLOOKUP(B42,[1]Điểm!$B$2:$G$68,6,0)</f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219</v>
      </c>
      <c r="B43" s="2" t="s">
        <v>220</v>
      </c>
      <c r="C43" s="2" t="s">
        <v>221</v>
      </c>
      <c r="D43" s="2" t="s">
        <v>217</v>
      </c>
      <c r="E43" s="2" t="s">
        <v>78</v>
      </c>
      <c r="F43" s="2" t="s">
        <v>43</v>
      </c>
      <c r="G43" s="2" t="s">
        <v>26</v>
      </c>
      <c r="H43" s="2" t="s">
        <v>20</v>
      </c>
      <c r="I43" s="2" t="s">
        <v>20</v>
      </c>
      <c r="J43" s="3">
        <f>VLOOKUP(B43,[1]Điểm!$B$2:$G$68,5,0)</f>
        <v>9.5</v>
      </c>
      <c r="K43" s="3">
        <f>VLOOKUP(B43,[1]Điểm!$B$2:$G$68,6,0)</f>
        <v>7.5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222</v>
      </c>
      <c r="B44" s="2" t="s">
        <v>223</v>
      </c>
      <c r="C44" s="2" t="s">
        <v>224</v>
      </c>
      <c r="D44" s="2" t="s">
        <v>217</v>
      </c>
      <c r="E44" s="2" t="s">
        <v>141</v>
      </c>
      <c r="F44" s="2" t="s">
        <v>74</v>
      </c>
      <c r="G44" s="2" t="s">
        <v>26</v>
      </c>
      <c r="H44" s="2" t="s">
        <v>20</v>
      </c>
      <c r="I44" s="2" t="s">
        <v>20</v>
      </c>
      <c r="J44" s="3">
        <f>VLOOKUP(B44,[1]Điểm!$B$2:$G$68,5,0)</f>
        <v>9</v>
      </c>
      <c r="K44" s="3">
        <f>VLOOKUP(B44,[1]Điểm!$B$2:$G$68,6,0)</f>
        <v>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225</v>
      </c>
      <c r="B45" s="2" t="s">
        <v>226</v>
      </c>
      <c r="C45" s="2" t="s">
        <v>71</v>
      </c>
      <c r="D45" s="2" t="s">
        <v>227</v>
      </c>
      <c r="E45" s="2" t="s">
        <v>228</v>
      </c>
      <c r="F45" s="2" t="s">
        <v>147</v>
      </c>
      <c r="G45" s="2" t="s">
        <v>26</v>
      </c>
      <c r="H45" s="2" t="s">
        <v>20</v>
      </c>
      <c r="I45" s="2" t="s">
        <v>20</v>
      </c>
      <c r="J45" s="3">
        <f>VLOOKUP(B45,[1]Điểm!$B$2:$G$68,5,0)</f>
        <v>9</v>
      </c>
      <c r="K45" s="3">
        <f>VLOOKUP(B45,[1]Điểm!$B$2:$G$68,6,0)</f>
        <v>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229</v>
      </c>
      <c r="B46" s="2" t="s">
        <v>230</v>
      </c>
      <c r="C46" s="2" t="s">
        <v>231</v>
      </c>
      <c r="D46" s="2" t="s">
        <v>227</v>
      </c>
      <c r="E46" s="2" t="s">
        <v>232</v>
      </c>
      <c r="F46" s="2" t="s">
        <v>74</v>
      </c>
      <c r="G46" s="2" t="s">
        <v>26</v>
      </c>
      <c r="H46" s="2" t="s">
        <v>20</v>
      </c>
      <c r="I46" s="2" t="s">
        <v>20</v>
      </c>
      <c r="J46" s="3">
        <f>VLOOKUP(B46,[1]Điểm!$B$2:$G$68,5,0)</f>
        <v>10</v>
      </c>
      <c r="K46" s="3">
        <f>VLOOKUP(B46,[1]Điểm!$B$2:$G$68,6,0)</f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237</v>
      </c>
      <c r="F47" s="2" t="s">
        <v>74</v>
      </c>
      <c r="G47" s="2" t="s">
        <v>26</v>
      </c>
      <c r="H47" s="2" t="s">
        <v>20</v>
      </c>
      <c r="I47" s="2" t="s">
        <v>20</v>
      </c>
      <c r="J47" s="3">
        <f>VLOOKUP(B47,[1]Điểm!$B$2:$G$68,5,0)</f>
        <v>9.5</v>
      </c>
      <c r="K47" s="3">
        <f>VLOOKUP(B47,[1]Điểm!$B$2:$G$68,6,0)</f>
        <v>7.5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238</v>
      </c>
      <c r="B48" s="2" t="s">
        <v>239</v>
      </c>
      <c r="C48" s="2" t="s">
        <v>240</v>
      </c>
      <c r="D48" s="2" t="s">
        <v>236</v>
      </c>
      <c r="E48" s="2" t="s">
        <v>241</v>
      </c>
      <c r="F48" s="2" t="s">
        <v>48</v>
      </c>
      <c r="G48" s="2" t="s">
        <v>26</v>
      </c>
      <c r="H48" s="2" t="s">
        <v>20</v>
      </c>
      <c r="I48" s="2" t="s">
        <v>20</v>
      </c>
      <c r="J48" s="3">
        <f>VLOOKUP(B48,[1]Điểm!$B$2:$G$68,5,0)</f>
        <v>9</v>
      </c>
      <c r="K48" s="3">
        <f>VLOOKUP(B48,[1]Điểm!$B$2:$G$68,6,0)</f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242</v>
      </c>
      <c r="B49" s="2" t="s">
        <v>243</v>
      </c>
      <c r="C49" s="2" t="s">
        <v>198</v>
      </c>
      <c r="D49" s="2" t="s">
        <v>236</v>
      </c>
      <c r="E49" s="2" t="s">
        <v>244</v>
      </c>
      <c r="F49" s="2" t="s">
        <v>74</v>
      </c>
      <c r="G49" s="2" t="s">
        <v>26</v>
      </c>
      <c r="H49" s="2" t="s">
        <v>20</v>
      </c>
      <c r="I49" s="2" t="s">
        <v>20</v>
      </c>
      <c r="J49" s="3">
        <f>VLOOKUP(B49,[1]Điểm!$B$2:$G$68,5,0)</f>
        <v>8.5</v>
      </c>
      <c r="K49" s="3">
        <f>VLOOKUP(B49,[1]Điểm!$B$2:$G$68,6,0)</f>
        <v>9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245</v>
      </c>
      <c r="B50" s="2" t="s">
        <v>246</v>
      </c>
      <c r="C50" s="2" t="s">
        <v>77</v>
      </c>
      <c r="D50" s="2" t="s">
        <v>236</v>
      </c>
      <c r="E50" s="2" t="s">
        <v>247</v>
      </c>
      <c r="F50" s="2" t="s">
        <v>68</v>
      </c>
      <c r="G50" s="2" t="s">
        <v>26</v>
      </c>
      <c r="H50" s="2" t="s">
        <v>20</v>
      </c>
      <c r="I50" s="2" t="s">
        <v>20</v>
      </c>
      <c r="J50" s="3">
        <f>VLOOKUP(B50,[1]Điểm!$B$2:$G$68,5,0)</f>
        <v>9</v>
      </c>
      <c r="K50" s="3">
        <f>VLOOKUP(B50,[1]Điểm!$B$2:$G$68,6,0)</f>
        <v>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248</v>
      </c>
      <c r="B51" s="2" t="s">
        <v>249</v>
      </c>
      <c r="C51" s="2" t="s">
        <v>250</v>
      </c>
      <c r="D51" s="2" t="s">
        <v>251</v>
      </c>
      <c r="E51" s="2" t="s">
        <v>252</v>
      </c>
      <c r="F51" s="2" t="s">
        <v>48</v>
      </c>
      <c r="G51" s="2" t="s">
        <v>26</v>
      </c>
      <c r="H51" s="2" t="s">
        <v>20</v>
      </c>
      <c r="I51" s="2" t="s">
        <v>20</v>
      </c>
      <c r="J51" s="3">
        <f>VLOOKUP(B51,[1]Điểm!$B$2:$G$68,5,0)</f>
        <v>10</v>
      </c>
      <c r="K51" s="3">
        <f>VLOOKUP(B51,[1]Điểm!$B$2:$G$68,6,0)</f>
        <v>7.5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253</v>
      </c>
      <c r="B52" s="2" t="s">
        <v>254</v>
      </c>
      <c r="C52" s="2" t="s">
        <v>255</v>
      </c>
      <c r="D52" s="2" t="s">
        <v>256</v>
      </c>
      <c r="E52" s="2" t="s">
        <v>257</v>
      </c>
      <c r="F52" s="2" t="s">
        <v>68</v>
      </c>
      <c r="G52" s="2" t="s">
        <v>26</v>
      </c>
      <c r="H52" s="2" t="s">
        <v>20</v>
      </c>
      <c r="I52" s="2" t="s">
        <v>20</v>
      </c>
      <c r="J52" s="3">
        <f>VLOOKUP(B52,[1]Điểm!$B$2:$G$68,5,0)</f>
        <v>10</v>
      </c>
      <c r="K52" s="3">
        <f>VLOOKUP(B52,[1]Điểm!$B$2:$G$68,6,0)</f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84</v>
      </c>
      <c r="G53" s="2" t="s">
        <v>26</v>
      </c>
      <c r="H53" s="2" t="s">
        <v>20</v>
      </c>
      <c r="I53" s="2" t="s">
        <v>20</v>
      </c>
      <c r="J53" s="3">
        <f>VLOOKUP(B53,[1]Điểm!$B$2:$G$68,5,0)</f>
        <v>9.5</v>
      </c>
      <c r="K53" s="3">
        <f>VLOOKUP(B53,[1]Điểm!$B$2:$G$68,6,0)</f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263</v>
      </c>
      <c r="B54" s="2" t="s">
        <v>264</v>
      </c>
      <c r="C54" s="2" t="s">
        <v>265</v>
      </c>
      <c r="D54" s="2" t="s">
        <v>261</v>
      </c>
      <c r="E54" s="2" t="s">
        <v>102</v>
      </c>
      <c r="F54" s="2" t="s">
        <v>74</v>
      </c>
      <c r="G54" s="2" t="s">
        <v>26</v>
      </c>
      <c r="H54" s="2" t="s">
        <v>20</v>
      </c>
      <c r="I54" s="2" t="s">
        <v>20</v>
      </c>
      <c r="J54" s="3">
        <f>VLOOKUP(B54,[1]Điểm!$B$2:$G$68,5,0)</f>
        <v>9</v>
      </c>
      <c r="K54" s="3">
        <f>VLOOKUP(B54,[1]Điểm!$B$2:$G$68,6,0)</f>
        <v>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118</v>
      </c>
      <c r="G55" s="2" t="s">
        <v>26</v>
      </c>
      <c r="H55" s="2" t="s">
        <v>20</v>
      </c>
      <c r="I55" s="2" t="s">
        <v>20</v>
      </c>
      <c r="J55" s="3">
        <f>VLOOKUP(B55,[1]Điểm!$B$2:$G$68,5,0)</f>
        <v>9</v>
      </c>
      <c r="K55" s="3">
        <f>VLOOKUP(B55,[1]Điểm!$B$2:$G$68,6,0)</f>
        <v>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271</v>
      </c>
      <c r="B56" s="2" t="s">
        <v>272</v>
      </c>
      <c r="C56" s="2" t="s">
        <v>273</v>
      </c>
      <c r="D56" s="2" t="s">
        <v>274</v>
      </c>
      <c r="E56" s="2" t="s">
        <v>257</v>
      </c>
      <c r="F56" s="2" t="s">
        <v>48</v>
      </c>
      <c r="G56" s="2" t="s">
        <v>26</v>
      </c>
      <c r="H56" s="2" t="s">
        <v>20</v>
      </c>
      <c r="I56" s="2" t="s">
        <v>20</v>
      </c>
      <c r="J56" s="3">
        <f>VLOOKUP(B56,[1]Điểm!$B$2:$G$68,5,0)</f>
        <v>10</v>
      </c>
      <c r="K56" s="3">
        <f>VLOOKUP(B56,[1]Điểm!$B$2:$G$68,6,0)</f>
        <v>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275</v>
      </c>
      <c r="B57" s="2" t="s">
        <v>276</v>
      </c>
      <c r="C57" s="2" t="s">
        <v>277</v>
      </c>
      <c r="D57" s="2" t="s">
        <v>278</v>
      </c>
      <c r="E57" s="2" t="s">
        <v>279</v>
      </c>
      <c r="F57" s="2" t="s">
        <v>48</v>
      </c>
      <c r="G57" s="2" t="s">
        <v>26</v>
      </c>
      <c r="H57" s="2" t="s">
        <v>20</v>
      </c>
      <c r="I57" s="2" t="s">
        <v>20</v>
      </c>
      <c r="J57" s="3">
        <f>VLOOKUP(B57,[1]Điểm!$B$2:$G$68,5,0)</f>
        <v>10</v>
      </c>
      <c r="K57" s="3">
        <f>VLOOKUP(B57,[1]Điểm!$B$2:$G$68,6,0)</f>
        <v>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280</v>
      </c>
      <c r="B58" s="2" t="s">
        <v>281</v>
      </c>
      <c r="C58" s="2" t="s">
        <v>282</v>
      </c>
      <c r="D58" s="2" t="s">
        <v>283</v>
      </c>
      <c r="E58" s="2" t="s">
        <v>284</v>
      </c>
      <c r="F58" s="2" t="s">
        <v>84</v>
      </c>
      <c r="G58" s="2" t="s">
        <v>26</v>
      </c>
      <c r="H58" s="2" t="s">
        <v>20</v>
      </c>
      <c r="I58" s="2" t="s">
        <v>20</v>
      </c>
      <c r="J58" s="3">
        <f>VLOOKUP(B58,[1]Điểm!$B$2:$G$68,5,0)</f>
        <v>7</v>
      </c>
      <c r="K58" s="3">
        <f>VLOOKUP(B58,[1]Điểm!$B$2:$G$68,6,0)</f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285</v>
      </c>
      <c r="B59" s="2" t="s">
        <v>286</v>
      </c>
      <c r="C59" s="2" t="s">
        <v>287</v>
      </c>
      <c r="D59" s="2" t="s">
        <v>288</v>
      </c>
      <c r="E59" s="2" t="s">
        <v>289</v>
      </c>
      <c r="F59" s="2" t="s">
        <v>68</v>
      </c>
      <c r="G59" s="2" t="s">
        <v>26</v>
      </c>
      <c r="H59" s="2" t="s">
        <v>20</v>
      </c>
      <c r="I59" s="2" t="s">
        <v>20</v>
      </c>
      <c r="J59" s="3">
        <f>VLOOKUP(B59,[1]Điểm!$B$2:$G$68,5,0)</f>
        <v>9</v>
      </c>
      <c r="K59" s="3">
        <f>VLOOKUP(B59,[1]Điểm!$B$2:$G$68,6,0)</f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290</v>
      </c>
      <c r="B60" s="2" t="s">
        <v>291</v>
      </c>
      <c r="C60" s="2" t="s">
        <v>292</v>
      </c>
      <c r="D60" s="2" t="s">
        <v>293</v>
      </c>
      <c r="E60" s="2" t="s">
        <v>294</v>
      </c>
      <c r="F60" s="2" t="s">
        <v>84</v>
      </c>
      <c r="G60" s="2" t="s">
        <v>26</v>
      </c>
      <c r="H60" s="2" t="s">
        <v>20</v>
      </c>
      <c r="I60" s="2" t="s">
        <v>20</v>
      </c>
      <c r="J60" s="3">
        <f>VLOOKUP(B60,[1]Điểm!$B$2:$G$68,5,0)</f>
        <v>10</v>
      </c>
      <c r="K60" s="3">
        <f>VLOOKUP(B60,[1]Điểm!$B$2:$G$68,6,0)</f>
        <v>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118</v>
      </c>
      <c r="G61" s="2" t="s">
        <v>26</v>
      </c>
      <c r="H61" s="2" t="s">
        <v>20</v>
      </c>
      <c r="I61" s="2" t="s">
        <v>20</v>
      </c>
      <c r="J61" s="3">
        <f>VLOOKUP(B61,[1]Điểm!$B$2:$G$68,5,0)</f>
        <v>9</v>
      </c>
      <c r="K61" s="3">
        <f>VLOOKUP(B61,[1]Điểm!$B$2:$G$68,6,0)</f>
        <v>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300</v>
      </c>
      <c r="B62" s="2" t="s">
        <v>301</v>
      </c>
      <c r="C62" s="2" t="s">
        <v>302</v>
      </c>
      <c r="D62" s="2" t="s">
        <v>298</v>
      </c>
      <c r="E62" s="2" t="s">
        <v>303</v>
      </c>
      <c r="F62" s="2" t="s">
        <v>118</v>
      </c>
      <c r="G62" s="2" t="s">
        <v>26</v>
      </c>
      <c r="H62" s="2" t="s">
        <v>20</v>
      </c>
      <c r="I62" s="2" t="s">
        <v>20</v>
      </c>
      <c r="J62" s="3">
        <f>VLOOKUP(B62,[1]Điểm!$B$2:$G$68,5,0)</f>
        <v>10</v>
      </c>
      <c r="K62" s="3">
        <f>VLOOKUP(B62,[1]Điểm!$B$2:$G$68,6,0)</f>
        <v>7.5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43.5" x14ac:dyDescent="0.35">
      <c r="A63" s="2" t="s">
        <v>304</v>
      </c>
      <c r="B63" s="2" t="s">
        <v>305</v>
      </c>
      <c r="C63" s="2" t="s">
        <v>306</v>
      </c>
      <c r="D63" s="2" t="s">
        <v>298</v>
      </c>
      <c r="E63" s="2" t="s">
        <v>307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f>VLOOKUP(B63,[1]Điểm!$B$2:$G$68,5,0)</f>
        <v>9</v>
      </c>
      <c r="K63" s="3">
        <f>VLOOKUP(B63,[1]Điểm!$B$2:$G$68,6,0)</f>
        <v>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308</v>
      </c>
      <c r="B64" s="2" t="s">
        <v>309</v>
      </c>
      <c r="C64" s="2" t="s">
        <v>310</v>
      </c>
      <c r="D64" s="2" t="s">
        <v>311</v>
      </c>
      <c r="E64" s="2" t="s">
        <v>312</v>
      </c>
      <c r="F64" s="2" t="s">
        <v>32</v>
      </c>
      <c r="G64" s="2" t="s">
        <v>26</v>
      </c>
      <c r="H64" s="2" t="s">
        <v>20</v>
      </c>
      <c r="I64" s="2" t="s">
        <v>20</v>
      </c>
      <c r="J64" s="3">
        <f>VLOOKUP(B64,[1]Điểm!$B$2:$G$68,5,0)</f>
        <v>9</v>
      </c>
      <c r="K64" s="3">
        <f>VLOOKUP(B64,[1]Điểm!$B$2:$G$68,6,0)</f>
        <v>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313</v>
      </c>
      <c r="B65" s="2" t="s">
        <v>314</v>
      </c>
      <c r="C65" s="2" t="s">
        <v>255</v>
      </c>
      <c r="D65" s="2" t="s">
        <v>315</v>
      </c>
      <c r="E65" s="2" t="s">
        <v>316</v>
      </c>
      <c r="F65" s="2" t="s">
        <v>74</v>
      </c>
      <c r="G65" s="2" t="s">
        <v>26</v>
      </c>
      <c r="H65" s="2" t="s">
        <v>20</v>
      </c>
      <c r="I65" s="2" t="s">
        <v>20</v>
      </c>
      <c r="J65" s="3">
        <f>VLOOKUP(B65,[1]Điểm!$B$2:$G$68,5,0)</f>
        <v>8.5</v>
      </c>
      <c r="K65" s="3">
        <f>VLOOKUP(B65,[1]Điểm!$B$2:$G$68,6,0)</f>
        <v>7.5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317</v>
      </c>
      <c r="B66" s="2" t="s">
        <v>318</v>
      </c>
      <c r="C66" s="2" t="s">
        <v>319</v>
      </c>
      <c r="D66" s="2" t="s">
        <v>315</v>
      </c>
      <c r="E66" s="2" t="s">
        <v>320</v>
      </c>
      <c r="F66" s="2" t="s">
        <v>74</v>
      </c>
      <c r="G66" s="2" t="s">
        <v>26</v>
      </c>
      <c r="H66" s="2" t="s">
        <v>20</v>
      </c>
      <c r="I66" s="2" t="s">
        <v>20</v>
      </c>
      <c r="J66" s="3">
        <f>VLOOKUP(B66,[1]Điểm!$B$2:$G$68,5,0)</f>
        <v>10</v>
      </c>
      <c r="K66" s="3">
        <f>VLOOKUP(B66,[1]Điểm!$B$2:$G$68,6,0)</f>
        <v>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321</v>
      </c>
      <c r="B67" s="2" t="s">
        <v>322</v>
      </c>
      <c r="C67" s="2" t="s">
        <v>130</v>
      </c>
      <c r="D67" s="2" t="s">
        <v>323</v>
      </c>
      <c r="E67" s="2" t="s">
        <v>324</v>
      </c>
      <c r="F67" s="2" t="s">
        <v>43</v>
      </c>
      <c r="G67" s="2" t="s">
        <v>26</v>
      </c>
      <c r="H67" s="2" t="s">
        <v>20</v>
      </c>
      <c r="I67" s="2" t="s">
        <v>20</v>
      </c>
      <c r="J67" s="3">
        <f>VLOOKUP(B67,[1]Điểm!$B$2:$G$68,5,0)</f>
        <v>8.5</v>
      </c>
      <c r="K67" s="3">
        <f>VLOOKUP(B67,[1]Điểm!$B$2:$G$68,6,0)</f>
        <v>7.5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325</v>
      </c>
      <c r="B68" s="2" t="s">
        <v>326</v>
      </c>
      <c r="C68" s="2" t="s">
        <v>77</v>
      </c>
      <c r="D68" s="2" t="s">
        <v>327</v>
      </c>
      <c r="E68" s="2" t="s">
        <v>328</v>
      </c>
      <c r="F68" s="2" t="s">
        <v>74</v>
      </c>
      <c r="G68" s="2" t="s">
        <v>26</v>
      </c>
      <c r="H68" s="2" t="s">
        <v>20</v>
      </c>
      <c r="I68" s="2" t="s">
        <v>20</v>
      </c>
      <c r="J68" s="3">
        <f>VLOOKUP(B68,[1]Điểm!$B$2:$G$68,5,0)</f>
        <v>9.5</v>
      </c>
      <c r="K68" s="3">
        <f>VLOOKUP(B68,[1]Điểm!$B$2:$G$68,6,0)</f>
        <v>8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329</v>
      </c>
      <c r="B69" s="2" t="s">
        <v>330</v>
      </c>
      <c r="C69" s="2" t="s">
        <v>331</v>
      </c>
      <c r="D69" s="2" t="s">
        <v>332</v>
      </c>
      <c r="E69" s="2" t="s">
        <v>247</v>
      </c>
      <c r="F69" s="2" t="s">
        <v>25</v>
      </c>
      <c r="G69" s="2" t="s">
        <v>26</v>
      </c>
      <c r="H69" s="2" t="s">
        <v>20</v>
      </c>
      <c r="I69" s="2" t="s">
        <v>20</v>
      </c>
      <c r="J69" s="3">
        <f>VLOOKUP(B69,[1]Điểm!$B$2:$G$68,5,0)</f>
        <v>9.5</v>
      </c>
      <c r="K69" s="3">
        <f>VLOOKUP(B69,[1]Điểm!$B$2:$G$68,6,0)</f>
        <v>6.5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</sheetData>
  <mergeCells count="17">
    <mergeCell ref="J1:L1"/>
    <mergeCell ref="N1:N2"/>
    <mergeCell ref="P1:P2"/>
    <mergeCell ref="M1:M2"/>
    <mergeCell ref="O1:O2"/>
    <mergeCell ref="Q1:Q2"/>
    <mergeCell ref="R1:R2"/>
    <mergeCell ref="S1:S2"/>
    <mergeCell ref="A1:A2"/>
    <mergeCell ref="C1:C2"/>
    <mergeCell ref="E1:E2"/>
    <mergeCell ref="G1:G2"/>
    <mergeCell ref="I1:I2"/>
    <mergeCell ref="B1:B2"/>
    <mergeCell ref="D1:D2"/>
    <mergeCell ref="F1:F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2026-04-25T10:46:07Z</dcterms:modified>
</cp:coreProperties>
</file>