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13_ncr:1_{3E663207-645D-44B8-BC21-DB63955A0669}" xr6:coauthVersionLast="47" xr6:coauthVersionMax="47" xr10:uidLastSave="{00000000-0000-0000-0000-000000000000}"/>
  <bookViews>
    <workbookView xWindow="-50" yWindow="-50" windowWidth="19300" windowHeight="10440" xr2:uid="{00000000-000D-0000-FFFF-FFFF00000000}"/>
  </bookViews>
  <sheets>
    <sheet name="tblNhapDiem_0_0_66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963003cedd2b4f67ad5f03e712a119ea</t>
        </r>
      </text>
    </comment>
  </commentList>
</comments>
</file>

<file path=xl/sharedStrings.xml><?xml version="1.0" encoding="utf-8"?>
<sst xmlns="http://schemas.openxmlformats.org/spreadsheetml/2006/main" count="1060" uniqueCount="259">
  <si>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</si>
  <si>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</si>
  <si>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</si>
  <si>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</si>
  <si>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</si>
  <si>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</si>
  <si>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</si>
  <si>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</si>
  <si>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</si>
  <si>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KNĐP.12.K15.02.LH.C02.1_LT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</si>
  <si>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</si>
  <si>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</si>
  <si>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</si>
  <si>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</si>
  <si>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</si>
  <si>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</si>
  <si>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</si>
  <si>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</si>
  <si>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</si>
  <si>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</si>
  <si>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</si>
  <si>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Bùi Thị Diệp</t>
  </si>
  <si>
    <t>Anh</t>
  </si>
  <si>
    <t>23/10/2006</t>
  </si>
  <si>
    <t>DCQT.15.2</t>
  </si>
  <si>
    <t/>
  </si>
  <si>
    <t>2</t>
  </si>
  <si>
    <t>Nguyễn Huyền</t>
  </si>
  <si>
    <t>09/05/2006</t>
  </si>
  <si>
    <t>3</t>
  </si>
  <si>
    <t>Phan Tuấn</t>
  </si>
  <si>
    <t>15/10/2006</t>
  </si>
  <si>
    <t>4</t>
  </si>
  <si>
    <t>Nguyễn Thị</t>
  </si>
  <si>
    <t>Ánh</t>
  </si>
  <si>
    <t>17/04/2006</t>
  </si>
  <si>
    <t>5</t>
  </si>
  <si>
    <t>Hà Huy</t>
  </si>
  <si>
    <t>Bách</t>
  </si>
  <si>
    <t>26/03/2006</t>
  </si>
  <si>
    <t>DCQT.15.4</t>
  </si>
  <si>
    <t>6</t>
  </si>
  <si>
    <t>Nguyễn Đỗ Gia</t>
  </si>
  <si>
    <t>Bảo</t>
  </si>
  <si>
    <t>13/10/2006</t>
  </si>
  <si>
    <t>7</t>
  </si>
  <si>
    <t>Bính</t>
  </si>
  <si>
    <t>03/04/2006</t>
  </si>
  <si>
    <t>8</t>
  </si>
  <si>
    <t>Vũ Đức</t>
  </si>
  <si>
    <t>Cảnh</t>
  </si>
  <si>
    <t>14/02/2006</t>
  </si>
  <si>
    <t>9</t>
  </si>
  <si>
    <t>Nguyễn Thị Thùy</t>
  </si>
  <si>
    <t>Chi</t>
  </si>
  <si>
    <t>09/07/2006</t>
  </si>
  <si>
    <t>10</t>
  </si>
  <si>
    <t>Trương Thị Mai</t>
  </si>
  <si>
    <t>27/01/2006</t>
  </si>
  <si>
    <t>11</t>
  </si>
  <si>
    <t>Nguyễn Công</t>
  </si>
  <si>
    <t>Chiến</t>
  </si>
  <si>
    <t>12/10/2006</t>
  </si>
  <si>
    <t>12</t>
  </si>
  <si>
    <t>Đặng Quốc</t>
  </si>
  <si>
    <t>Cường</t>
  </si>
  <si>
    <t>08/07/2006</t>
  </si>
  <si>
    <t>13</t>
  </si>
  <si>
    <t>Đỗ Thị Ngọc</t>
  </si>
  <si>
    <t>Diệp</t>
  </si>
  <si>
    <t>22/02/2006</t>
  </si>
  <si>
    <t>14</t>
  </si>
  <si>
    <t>Đặng Thị Kim</t>
  </si>
  <si>
    <t>Dung</t>
  </si>
  <si>
    <t>23/06/2006</t>
  </si>
  <si>
    <t>15</t>
  </si>
  <si>
    <t>Lê Anh</t>
  </si>
  <si>
    <t>Duy</t>
  </si>
  <si>
    <t>06/11/2005</t>
  </si>
  <si>
    <t>16</t>
  </si>
  <si>
    <t>Vũ Huy</t>
  </si>
  <si>
    <t>16/06/2006</t>
  </si>
  <si>
    <t>17</t>
  </si>
  <si>
    <t>Nguyễn Đăng</t>
  </si>
  <si>
    <t>Dương</t>
  </si>
  <si>
    <t>29/12/2004</t>
  </si>
  <si>
    <t>18</t>
  </si>
  <si>
    <t>Đinh Quang</t>
  </si>
  <si>
    <t>Đại</t>
  </si>
  <si>
    <t>17/02/2006</t>
  </si>
  <si>
    <t>19</t>
  </si>
  <si>
    <t>Nguyễn Trọng</t>
  </si>
  <si>
    <t>Đạo</t>
  </si>
  <si>
    <t>11/08/2006</t>
  </si>
  <si>
    <t>20</t>
  </si>
  <si>
    <t>Nguyễn Long</t>
  </si>
  <si>
    <t>Đạt</t>
  </si>
  <si>
    <t>22/09/2006</t>
  </si>
  <si>
    <t>21</t>
  </si>
  <si>
    <t>Dương Thanh</t>
  </si>
  <si>
    <t>Hà</t>
  </si>
  <si>
    <t>16/08/2006</t>
  </si>
  <si>
    <t>22</t>
  </si>
  <si>
    <t>Nguyễn Thị Thu</t>
  </si>
  <si>
    <t>30/10/2006</t>
  </si>
  <si>
    <t>23</t>
  </si>
  <si>
    <t>Hoàng Lê</t>
  </si>
  <si>
    <t>Hải</t>
  </si>
  <si>
    <t>17/08/2005</t>
  </si>
  <si>
    <t>24</t>
  </si>
  <si>
    <t>Thân Trung</t>
  </si>
  <si>
    <t>Hiếu</t>
  </si>
  <si>
    <t>08/02/2006</t>
  </si>
  <si>
    <t>25</t>
  </si>
  <si>
    <t>Phạm Vương Gia</t>
  </si>
  <si>
    <t>Hội</t>
  </si>
  <si>
    <t>17/06/2006</t>
  </si>
  <si>
    <t>26</t>
  </si>
  <si>
    <t>Nguyễn Phi</t>
  </si>
  <si>
    <t>Hùng</t>
  </si>
  <si>
    <t>05/12/2006</t>
  </si>
  <si>
    <t>27</t>
  </si>
  <si>
    <t>Vàng A</t>
  </si>
  <si>
    <t>25/10/2005</t>
  </si>
  <si>
    <t>28</t>
  </si>
  <si>
    <t>Bế Quốc</t>
  </si>
  <si>
    <t>Huy</t>
  </si>
  <si>
    <t>01/09/2006</t>
  </si>
  <si>
    <t>29</t>
  </si>
  <si>
    <t>Phan Thị</t>
  </si>
  <si>
    <t>Huyên</t>
  </si>
  <si>
    <t>29/01/2006</t>
  </si>
  <si>
    <t>30</t>
  </si>
  <si>
    <t>Huyền</t>
  </si>
  <si>
    <t>31/07/2006</t>
  </si>
  <si>
    <t>31</t>
  </si>
  <si>
    <t>Đinh Công</t>
  </si>
  <si>
    <t>Hưng</t>
  </si>
  <si>
    <t>32</t>
  </si>
  <si>
    <t>Hoàng Vũ</t>
  </si>
  <si>
    <t>20/06/2006</t>
  </si>
  <si>
    <t>33</t>
  </si>
  <si>
    <t>Nguyễn Tự Trung</t>
  </si>
  <si>
    <t>Kiên</t>
  </si>
  <si>
    <t>05/02/2006</t>
  </si>
  <si>
    <t>34</t>
  </si>
  <si>
    <t>Nguyễn Thúy</t>
  </si>
  <si>
    <t>Kiều</t>
  </si>
  <si>
    <t>25/04/2006</t>
  </si>
  <si>
    <t>35</t>
  </si>
  <si>
    <t>Đặng Mai</t>
  </si>
  <si>
    <t>Linh</t>
  </si>
  <si>
    <t>13/12/2006</t>
  </si>
  <si>
    <t>36</t>
  </si>
  <si>
    <t>18/10/2006</t>
  </si>
  <si>
    <t>37</t>
  </si>
  <si>
    <t>Nguyễn Thùy</t>
  </si>
  <si>
    <t>02/04/2006</t>
  </si>
  <si>
    <t>38</t>
  </si>
  <si>
    <t>Đào Ngọc</t>
  </si>
  <si>
    <t>Long</t>
  </si>
  <si>
    <t>06/04/2006</t>
  </si>
  <si>
    <t>39</t>
  </si>
  <si>
    <t>Đồng Quang</t>
  </si>
  <si>
    <t>Minh</t>
  </si>
  <si>
    <t>05/10/2006</t>
  </si>
  <si>
    <t>40</t>
  </si>
  <si>
    <t>Lê Thị Trà</t>
  </si>
  <si>
    <t>My</t>
  </si>
  <si>
    <t>21/09/2006</t>
  </si>
  <si>
    <t>41</t>
  </si>
  <si>
    <t>Trần Thị Trà</t>
  </si>
  <si>
    <t>26/09/2006</t>
  </si>
  <si>
    <t>42</t>
  </si>
  <si>
    <t>Mai Văn</t>
  </si>
  <si>
    <t>Nam</t>
  </si>
  <si>
    <t>04/08/2006</t>
  </si>
  <si>
    <t>43</t>
  </si>
  <si>
    <t>Phan Hải</t>
  </si>
  <si>
    <t>07/11/2005</t>
  </si>
  <si>
    <t>44</t>
  </si>
  <si>
    <t>Ngân</t>
  </si>
  <si>
    <t>22/05/2006</t>
  </si>
  <si>
    <t>45</t>
  </si>
  <si>
    <t>Đặng Ánh</t>
  </si>
  <si>
    <t>Ngọc</t>
  </si>
  <si>
    <t>12/06/2006</t>
  </si>
  <si>
    <t>46</t>
  </si>
  <si>
    <t>Lương Văn</t>
  </si>
  <si>
    <t>26/06/2006</t>
  </si>
  <si>
    <t>47</t>
  </si>
  <si>
    <t>Nguyễn Minh</t>
  </si>
  <si>
    <t>29/06/2006</t>
  </si>
  <si>
    <t>48</t>
  </si>
  <si>
    <t>Trương Thị Tuyết</t>
  </si>
  <si>
    <t>Như</t>
  </si>
  <si>
    <t>20/02/2006</t>
  </si>
  <si>
    <t>49</t>
  </si>
  <si>
    <t>Ngô Thị Hà</t>
  </si>
  <si>
    <t>Phương</t>
  </si>
  <si>
    <t>08/11/2006</t>
  </si>
  <si>
    <t>50</t>
  </si>
  <si>
    <t>Trần Anh</t>
  </si>
  <si>
    <t>Quân</t>
  </si>
  <si>
    <t>11/01/2006</t>
  </si>
  <si>
    <t>51</t>
  </si>
  <si>
    <t>Nguyễn Thị Hương</t>
  </si>
  <si>
    <t>Quỳnh</t>
  </si>
  <si>
    <t>12/08/2006</t>
  </si>
  <si>
    <t>52</t>
  </si>
  <si>
    <t>Nguyễn Văn</t>
  </si>
  <si>
    <t>Tài</t>
  </si>
  <si>
    <t>01/06/2006</t>
  </si>
  <si>
    <t>53</t>
  </si>
  <si>
    <t>Trịnh Minh</t>
  </si>
  <si>
    <t>Thành</t>
  </si>
  <si>
    <t>27/08/2006</t>
  </si>
  <si>
    <t>54</t>
  </si>
  <si>
    <t>Trương Phương</t>
  </si>
  <si>
    <t>Thảo</t>
  </si>
  <si>
    <t>55</t>
  </si>
  <si>
    <t>Thuận</t>
  </si>
  <si>
    <t>56</t>
  </si>
  <si>
    <t>Phạm Lê Ngọc</t>
  </si>
  <si>
    <t>Thủy</t>
  </si>
  <si>
    <t>28/04/2006</t>
  </si>
  <si>
    <t>57</t>
  </si>
  <si>
    <t>Vũ Thị Minh</t>
  </si>
  <si>
    <t>Thư</t>
  </si>
  <si>
    <t>21/10/2006</t>
  </si>
  <si>
    <t>58</t>
  </si>
  <si>
    <t>Thân Thanh</t>
  </si>
  <si>
    <t>Trúc</t>
  </si>
  <si>
    <t>02/06/2006</t>
  </si>
  <si>
    <t>59</t>
  </si>
  <si>
    <t>Nguyễn Lê</t>
  </si>
  <si>
    <t>Trung</t>
  </si>
  <si>
    <t>09/01/2006</t>
  </si>
  <si>
    <t>60</t>
  </si>
  <si>
    <t>Phạm Văn</t>
  </si>
  <si>
    <t>Trường</t>
  </si>
  <si>
    <t>61</t>
  </si>
  <si>
    <t>Vi Mạnh</t>
  </si>
  <si>
    <t>Tuấn</t>
  </si>
  <si>
    <t>62</t>
  </si>
  <si>
    <t>Nguyễn Hà Ánh</t>
  </si>
  <si>
    <t>Tuyết</t>
  </si>
  <si>
    <t>15/02/2006</t>
  </si>
  <si>
    <t>63</t>
  </si>
  <si>
    <t>Phùng Quang</t>
  </si>
  <si>
    <t>Vinh</t>
  </si>
  <si>
    <t>02/11/2006</t>
  </si>
  <si>
    <t>64</t>
  </si>
  <si>
    <t>Trần</t>
  </si>
  <si>
    <t>Vũ</t>
  </si>
  <si>
    <t>08/03/2006</t>
  </si>
  <si>
    <t>65</t>
  </si>
  <si>
    <t>Lô Thị Hải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</si>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</sst>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&#432;&#7901;ng%20C&#244;ng%20ngh&#7879;%20&#272;&#244;ng%20&#193;\C&#225;c%20M&#244;n%20h&#7885;c%20Gi&#7843;ng%20d&#7841;y\K&#7929;%20n&#259;ng%20&#273;&#224;m%20ph&#225;n\&#272;i&#7875;m\&#272;i&#7875;m%20QT%203%20l&#7899;p.xlsx" TargetMode="External"/><Relationship Id="rId1" Type="http://schemas.openxmlformats.org/officeDocument/2006/relationships/externalLinkPath" Target="&#272;i&#7875;m%20QT%203%20l&#7899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1"/>
      <sheetName val="ca 2"/>
      <sheetName val="ca3"/>
      <sheetName val="Ca 3- Nhóm"/>
      <sheetName val="Ca 2- Nhóm"/>
      <sheetName val="Ca 1- Nhóm"/>
    </sheetNames>
    <sheetDataSet>
      <sheetData sheetId="0"/>
      <sheetData sheetId="1">
        <row r="2">
          <cell r="E2">
            <v>24002326</v>
          </cell>
          <cell r="F2" t="str">
            <v>Bùi Thị Diệp Anh</v>
          </cell>
          <cell r="G2">
            <v>1</v>
          </cell>
          <cell r="I2">
            <v>3.5999999999999996</v>
          </cell>
          <cell r="J2">
            <v>7.5</v>
          </cell>
          <cell r="K2">
            <v>1</v>
          </cell>
          <cell r="L2">
            <v>8.5</v>
          </cell>
          <cell r="N2">
            <v>6.5517241379310347</v>
          </cell>
          <cell r="O2">
            <v>10</v>
          </cell>
          <cell r="P2">
            <v>1</v>
          </cell>
          <cell r="Q2">
            <v>8.9</v>
          </cell>
          <cell r="R2">
            <v>9.9</v>
          </cell>
          <cell r="V2">
            <v>8.6270557029177706</v>
          </cell>
          <cell r="W2">
            <v>10</v>
          </cell>
        </row>
        <row r="3">
          <cell r="E3">
            <v>24002020</v>
          </cell>
          <cell r="F3" t="str">
            <v>Nguyễn Thúy Kiều</v>
          </cell>
          <cell r="I3">
            <v>3.5999999999999996</v>
          </cell>
          <cell r="J3">
            <v>7.5</v>
          </cell>
          <cell r="K3">
            <v>1</v>
          </cell>
          <cell r="L3">
            <v>8.5</v>
          </cell>
          <cell r="N3">
            <v>6.5517241379310347</v>
          </cell>
          <cell r="O3">
            <v>10</v>
          </cell>
          <cell r="Q3">
            <v>8.9</v>
          </cell>
          <cell r="R3">
            <v>8.9</v>
          </cell>
          <cell r="V3">
            <v>8.2424403183023873</v>
          </cell>
          <cell r="W3">
            <v>9</v>
          </cell>
        </row>
        <row r="4">
          <cell r="E4">
            <v>24002093</v>
          </cell>
          <cell r="F4" t="str">
            <v>Phan Tuấn Anh</v>
          </cell>
          <cell r="I4">
            <v>3.5999999999999996</v>
          </cell>
          <cell r="J4">
            <v>7.5</v>
          </cell>
          <cell r="L4">
            <v>7.5</v>
          </cell>
          <cell r="N4">
            <v>6.5517241379310347</v>
          </cell>
          <cell r="O4">
            <v>10</v>
          </cell>
          <cell r="Q4">
            <v>7.9111111111111114</v>
          </cell>
          <cell r="R4">
            <v>7.9111111111111114</v>
          </cell>
          <cell r="V4">
            <v>7.4774830533451215</v>
          </cell>
          <cell r="W4">
            <v>10</v>
          </cell>
        </row>
        <row r="5">
          <cell r="E5">
            <v>24001547</v>
          </cell>
          <cell r="F5" t="str">
            <v>Nguyễn Thị Ánh</v>
          </cell>
          <cell r="I5">
            <v>3.5999999999999996</v>
          </cell>
          <cell r="J5">
            <v>7.5</v>
          </cell>
          <cell r="L5">
            <v>7.5</v>
          </cell>
          <cell r="N5">
            <v>6.5517241379310347</v>
          </cell>
          <cell r="O5">
            <v>10</v>
          </cell>
          <cell r="Q5">
            <v>8.9</v>
          </cell>
          <cell r="R5">
            <v>8.9</v>
          </cell>
          <cell r="V5">
            <v>7.8578249336870023</v>
          </cell>
          <cell r="W5">
            <v>10</v>
          </cell>
        </row>
        <row r="6">
          <cell r="E6">
            <v>24003955</v>
          </cell>
          <cell r="F6" t="str">
            <v>Hà Huy Bách</v>
          </cell>
          <cell r="I6">
            <v>3.5999999999999996</v>
          </cell>
          <cell r="J6">
            <v>7.5</v>
          </cell>
          <cell r="L6">
            <v>7.5</v>
          </cell>
          <cell r="N6">
            <v>6.5517241379310347</v>
          </cell>
          <cell r="O6">
            <v>10</v>
          </cell>
          <cell r="Q6">
            <v>8.9</v>
          </cell>
          <cell r="R6">
            <v>8.9</v>
          </cell>
          <cell r="T6">
            <v>9</v>
          </cell>
          <cell r="V6">
            <v>7.8578249336870023</v>
          </cell>
          <cell r="W6">
            <v>10</v>
          </cell>
        </row>
        <row r="7">
          <cell r="E7">
            <v>24002143</v>
          </cell>
          <cell r="F7" t="str">
            <v>Nguyễn Đỗ Gia Bảo</v>
          </cell>
          <cell r="I7">
            <v>3.5999999999999996</v>
          </cell>
          <cell r="J7">
            <v>5.833333333333333</v>
          </cell>
          <cell r="K7">
            <v>1</v>
          </cell>
          <cell r="L7">
            <v>6.833333333333333</v>
          </cell>
          <cell r="N7">
            <v>6.5517241379310347</v>
          </cell>
          <cell r="O7">
            <v>10</v>
          </cell>
          <cell r="Q7">
            <v>3.9555555555555557</v>
          </cell>
          <cell r="R7">
            <v>6</v>
          </cell>
          <cell r="V7">
            <v>6.4860300618921292</v>
          </cell>
          <cell r="W7">
            <v>5.5</v>
          </cell>
        </row>
        <row r="8">
          <cell r="E8">
            <v>24002332</v>
          </cell>
          <cell r="F8" t="str">
            <v>Nguyễn Thị Bính</v>
          </cell>
          <cell r="I8">
            <v>3.5999999999999996</v>
          </cell>
          <cell r="J8">
            <v>5.833333333333333</v>
          </cell>
          <cell r="L8">
            <v>6.5</v>
          </cell>
          <cell r="N8">
            <v>6.5517241379310347</v>
          </cell>
          <cell r="O8">
            <v>10</v>
          </cell>
          <cell r="Q8">
            <v>7.9111111111111114</v>
          </cell>
          <cell r="R8">
            <v>7.9111111111111114</v>
          </cell>
          <cell r="V8">
            <v>7.0928676687297374</v>
          </cell>
          <cell r="W8">
            <v>10</v>
          </cell>
        </row>
        <row r="9">
          <cell r="E9">
            <v>24002450</v>
          </cell>
          <cell r="F9" t="str">
            <v>Vũ Đức Cảnh</v>
          </cell>
          <cell r="I9">
            <v>3.5999999999999996</v>
          </cell>
          <cell r="J9">
            <v>7.5</v>
          </cell>
          <cell r="L9">
            <v>7.5</v>
          </cell>
          <cell r="N9">
            <v>6.5517241379310347</v>
          </cell>
          <cell r="O9">
            <v>10</v>
          </cell>
          <cell r="Q9">
            <v>8.9</v>
          </cell>
          <cell r="R9">
            <v>8.9</v>
          </cell>
          <cell r="V9">
            <v>7.8578249336870023</v>
          </cell>
          <cell r="W9">
            <v>9.5</v>
          </cell>
        </row>
        <row r="10">
          <cell r="E10">
            <v>24003994</v>
          </cell>
          <cell r="F10" t="str">
            <v>Nguyễn Thị Thùy Chi</v>
          </cell>
          <cell r="I10">
            <v>3.5999999999999996</v>
          </cell>
          <cell r="J10">
            <v>7.5</v>
          </cell>
          <cell r="L10">
            <v>7.5</v>
          </cell>
          <cell r="N10">
            <v>6.5517241379310347</v>
          </cell>
          <cell r="O10">
            <v>10</v>
          </cell>
          <cell r="Q10">
            <v>8.9</v>
          </cell>
          <cell r="R10">
            <v>8.9</v>
          </cell>
          <cell r="V10">
            <v>7.8578249336870023</v>
          </cell>
          <cell r="W10">
            <v>9</v>
          </cell>
        </row>
        <row r="11">
          <cell r="E11">
            <v>24001741</v>
          </cell>
          <cell r="F11" t="str">
            <v>Trương Thị Mai Chi</v>
          </cell>
          <cell r="I11">
            <v>3.5999999999999996</v>
          </cell>
          <cell r="J11">
            <v>6.666666666666667</v>
          </cell>
          <cell r="L11">
            <v>6.666666666666667</v>
          </cell>
          <cell r="N11">
            <v>6.5517241379310347</v>
          </cell>
          <cell r="O11">
            <v>10</v>
          </cell>
          <cell r="Q11">
            <v>7.9111111111111114</v>
          </cell>
          <cell r="R11">
            <v>7.9111111111111114</v>
          </cell>
          <cell r="V11">
            <v>7.1569702328323013</v>
          </cell>
          <cell r="W11">
            <v>10</v>
          </cell>
        </row>
        <row r="12">
          <cell r="E12">
            <v>24003770</v>
          </cell>
          <cell r="F12" t="str">
            <v>Nguyễn Công Chiến</v>
          </cell>
          <cell r="I12">
            <v>3.5999999999999996</v>
          </cell>
          <cell r="J12">
            <v>7.5</v>
          </cell>
          <cell r="L12">
            <v>7.5</v>
          </cell>
          <cell r="N12">
            <v>6.5517241379310347</v>
          </cell>
          <cell r="O12">
            <v>10</v>
          </cell>
          <cell r="Q12">
            <v>8.9</v>
          </cell>
          <cell r="R12">
            <v>8.9</v>
          </cell>
          <cell r="V12">
            <v>7.8578249336870023</v>
          </cell>
          <cell r="W12">
            <v>8</v>
          </cell>
        </row>
        <row r="13">
          <cell r="E13">
            <v>24002468</v>
          </cell>
          <cell r="F13" t="str">
            <v>Đặng Quốc Cường</v>
          </cell>
          <cell r="G13">
            <v>2</v>
          </cell>
          <cell r="I13">
            <v>8.8000000000000007</v>
          </cell>
          <cell r="J13">
            <v>7</v>
          </cell>
          <cell r="L13">
            <v>7</v>
          </cell>
          <cell r="N13">
            <v>4.4827586206896548</v>
          </cell>
          <cell r="O13">
            <v>9</v>
          </cell>
          <cell r="Q13">
            <v>6.9925925925925929</v>
          </cell>
          <cell r="R13">
            <v>6.9925925925925929</v>
          </cell>
          <cell r="V13">
            <v>7.0958247372040466</v>
          </cell>
          <cell r="W13">
            <v>10</v>
          </cell>
        </row>
        <row r="14">
          <cell r="E14">
            <v>24001808</v>
          </cell>
          <cell r="F14" t="str">
            <v>Đỗ Thị Ngọc Diệp</v>
          </cell>
          <cell r="I14">
            <v>8.8000000000000007</v>
          </cell>
          <cell r="J14">
            <v>7</v>
          </cell>
          <cell r="L14">
            <v>7</v>
          </cell>
          <cell r="N14">
            <v>4.4827586206896548</v>
          </cell>
          <cell r="O14">
            <v>9</v>
          </cell>
          <cell r="Q14">
            <v>5.2444444444444445</v>
          </cell>
          <cell r="R14">
            <v>5.2444444444444445</v>
          </cell>
          <cell r="T14">
            <v>8</v>
          </cell>
          <cell r="V14">
            <v>6.4234600648393751</v>
          </cell>
          <cell r="W14">
            <v>10</v>
          </cell>
        </row>
        <row r="15">
          <cell r="E15">
            <v>24002353</v>
          </cell>
          <cell r="F15" t="str">
            <v>Đặng Thị Kim Dung</v>
          </cell>
          <cell r="I15">
            <v>8.8000000000000007</v>
          </cell>
          <cell r="J15">
            <v>7</v>
          </cell>
          <cell r="L15">
            <v>7</v>
          </cell>
          <cell r="N15">
            <v>5</v>
          </cell>
          <cell r="O15">
            <v>9</v>
          </cell>
          <cell r="Q15">
            <v>7.866666666666668</v>
          </cell>
          <cell r="R15">
            <v>7.866666666666668</v>
          </cell>
          <cell r="V15">
            <v>7.4717948717948719</v>
          </cell>
          <cell r="W15">
            <v>10</v>
          </cell>
        </row>
        <row r="16">
          <cell r="E16">
            <v>24000790</v>
          </cell>
          <cell r="F16" t="str">
            <v>Lê Anh Duy</v>
          </cell>
          <cell r="I16">
            <v>8.8000000000000007</v>
          </cell>
          <cell r="J16">
            <v>0</v>
          </cell>
          <cell r="L16">
            <v>5</v>
          </cell>
          <cell r="N16">
            <v>5</v>
          </cell>
          <cell r="O16">
            <v>9</v>
          </cell>
          <cell r="Q16">
            <v>0</v>
          </cell>
          <cell r="R16">
            <v>3</v>
          </cell>
          <cell r="V16">
            <v>4.8307692307692305</v>
          </cell>
          <cell r="W16">
            <v>6.5</v>
          </cell>
        </row>
        <row r="17">
          <cell r="E17">
            <v>24000137</v>
          </cell>
          <cell r="F17" t="str">
            <v>Vũ Huy Duy</v>
          </cell>
          <cell r="I17">
            <v>8.8000000000000007</v>
          </cell>
          <cell r="J17">
            <v>7</v>
          </cell>
          <cell r="L17">
            <v>7</v>
          </cell>
          <cell r="N17">
            <v>5</v>
          </cell>
          <cell r="O17">
            <v>9</v>
          </cell>
          <cell r="Q17">
            <v>7.866666666666668</v>
          </cell>
          <cell r="R17">
            <v>7.866666666666668</v>
          </cell>
          <cell r="V17">
            <v>7.4717948717948719</v>
          </cell>
          <cell r="W17">
            <v>8</v>
          </cell>
        </row>
        <row r="18">
          <cell r="E18">
            <v>24003940</v>
          </cell>
          <cell r="F18" t="str">
            <v>Nguyễn Đăng Dương</v>
          </cell>
          <cell r="I18">
            <v>8.8000000000000007</v>
          </cell>
          <cell r="J18">
            <v>7</v>
          </cell>
          <cell r="L18">
            <v>7</v>
          </cell>
          <cell r="N18">
            <v>5</v>
          </cell>
          <cell r="O18">
            <v>9</v>
          </cell>
          <cell r="Q18">
            <v>7.866666666666668</v>
          </cell>
          <cell r="R18">
            <v>7.866666666666668</v>
          </cell>
          <cell r="V18">
            <v>7.4717948717948719</v>
          </cell>
          <cell r="W18">
            <v>8.5</v>
          </cell>
        </row>
        <row r="19">
          <cell r="E19">
            <v>24002451</v>
          </cell>
          <cell r="F19" t="str">
            <v>Đinh Quang Đại</v>
          </cell>
          <cell r="I19">
            <v>8.8000000000000007</v>
          </cell>
          <cell r="J19">
            <v>6.2222222222222223</v>
          </cell>
          <cell r="L19">
            <v>6.2222222222222223</v>
          </cell>
          <cell r="N19">
            <v>5</v>
          </cell>
          <cell r="O19">
            <v>9</v>
          </cell>
          <cell r="Q19">
            <v>5.2444444444444445</v>
          </cell>
          <cell r="R19">
            <v>5.2444444444444445</v>
          </cell>
          <cell r="V19">
            <v>6.1641025641025635</v>
          </cell>
          <cell r="W19">
            <v>8.5</v>
          </cell>
        </row>
        <row r="20">
          <cell r="E20">
            <v>24001573</v>
          </cell>
          <cell r="F20" t="str">
            <v>Nguyễn Trọng Đạo</v>
          </cell>
          <cell r="I20">
            <v>8.8000000000000007</v>
          </cell>
          <cell r="J20">
            <v>7</v>
          </cell>
          <cell r="L20">
            <v>7</v>
          </cell>
          <cell r="N20">
            <v>5</v>
          </cell>
          <cell r="O20">
            <v>9</v>
          </cell>
          <cell r="Q20">
            <v>7.866666666666668</v>
          </cell>
          <cell r="R20">
            <v>7.866666666666668</v>
          </cell>
          <cell r="V20">
            <v>7.4717948717948719</v>
          </cell>
          <cell r="W20">
            <v>8</v>
          </cell>
        </row>
        <row r="21">
          <cell r="E21">
            <v>24001826</v>
          </cell>
          <cell r="F21" t="str">
            <v>Nguyễn Long Đạt</v>
          </cell>
          <cell r="I21">
            <v>8.8000000000000007</v>
          </cell>
          <cell r="J21">
            <v>0</v>
          </cell>
          <cell r="L21">
            <v>0</v>
          </cell>
          <cell r="N21">
            <v>5</v>
          </cell>
          <cell r="O21">
            <v>9</v>
          </cell>
          <cell r="Q21">
            <v>0</v>
          </cell>
          <cell r="R21">
            <v>0</v>
          </cell>
          <cell r="V21">
            <v>0</v>
          </cell>
          <cell r="W21">
            <v>0</v>
          </cell>
        </row>
        <row r="22">
          <cell r="E22">
            <v>24002390</v>
          </cell>
          <cell r="F22" t="str">
            <v>Dương Thanh Hà</v>
          </cell>
          <cell r="I22">
            <v>8.8000000000000007</v>
          </cell>
          <cell r="J22">
            <v>7</v>
          </cell>
          <cell r="L22">
            <v>7</v>
          </cell>
          <cell r="N22">
            <v>5</v>
          </cell>
          <cell r="O22">
            <v>9</v>
          </cell>
          <cell r="Q22">
            <v>5.2444444444444445</v>
          </cell>
          <cell r="R22">
            <v>5.2444444444444445</v>
          </cell>
          <cell r="V22">
            <v>6.4632478632478634</v>
          </cell>
          <cell r="W22">
            <v>9</v>
          </cell>
        </row>
        <row r="23">
          <cell r="E23">
            <v>24002205</v>
          </cell>
          <cell r="F23" t="str">
            <v>Nguyễn Thị Thu Hà</v>
          </cell>
          <cell r="I23">
            <v>8.8000000000000007</v>
          </cell>
          <cell r="J23">
            <v>7</v>
          </cell>
          <cell r="L23">
            <v>7</v>
          </cell>
          <cell r="N23">
            <v>5</v>
          </cell>
          <cell r="O23">
            <v>9</v>
          </cell>
          <cell r="Q23">
            <v>7.866666666666668</v>
          </cell>
          <cell r="R23">
            <v>7.866666666666668</v>
          </cell>
          <cell r="V23">
            <v>7.4717948717948719</v>
          </cell>
          <cell r="W23">
            <v>10</v>
          </cell>
        </row>
        <row r="24">
          <cell r="E24">
            <v>24001907</v>
          </cell>
          <cell r="F24" t="str">
            <v>Hoàng Lê Hải</v>
          </cell>
          <cell r="G24">
            <v>3</v>
          </cell>
          <cell r="I24">
            <v>3.5999999999999996</v>
          </cell>
          <cell r="J24">
            <v>5.65</v>
          </cell>
          <cell r="L24">
            <v>5.65</v>
          </cell>
          <cell r="N24">
            <v>4.1379310344827589</v>
          </cell>
          <cell r="O24">
            <v>6</v>
          </cell>
          <cell r="P24">
            <v>1</v>
          </cell>
          <cell r="Q24">
            <v>8.5</v>
          </cell>
          <cell r="R24">
            <v>9.5</v>
          </cell>
          <cell r="V24">
            <v>6.8836870026525201</v>
          </cell>
          <cell r="W24">
            <v>10</v>
          </cell>
        </row>
        <row r="25">
          <cell r="E25">
            <v>24002437</v>
          </cell>
          <cell r="F25" t="str">
            <v>Thân Trung Hiếu</v>
          </cell>
          <cell r="I25">
            <v>3.5999999999999996</v>
          </cell>
          <cell r="J25">
            <v>5.65</v>
          </cell>
          <cell r="L25">
            <v>5.65</v>
          </cell>
          <cell r="N25">
            <v>4.1379310344827589</v>
          </cell>
          <cell r="O25">
            <v>6</v>
          </cell>
          <cell r="Q25">
            <v>0</v>
          </cell>
          <cell r="R25">
            <v>0</v>
          </cell>
          <cell r="V25">
            <v>3.2298408488063663</v>
          </cell>
          <cell r="W25">
            <v>5.5</v>
          </cell>
        </row>
        <row r="26">
          <cell r="E26">
            <v>24001809</v>
          </cell>
          <cell r="F26" t="str">
            <v>Phạm Vương Gia Hội</v>
          </cell>
          <cell r="H26" t="str">
            <v>nghỉ hẳn</v>
          </cell>
          <cell r="I26">
            <v>0</v>
          </cell>
          <cell r="J26" t="e">
            <v>#N/A</v>
          </cell>
          <cell r="L26">
            <v>0</v>
          </cell>
          <cell r="N26">
            <v>0</v>
          </cell>
          <cell r="O26">
            <v>0</v>
          </cell>
          <cell r="Q26" t="e">
            <v>#N/A</v>
          </cell>
          <cell r="R26">
            <v>0</v>
          </cell>
          <cell r="V26">
            <v>0</v>
          </cell>
          <cell r="W26">
            <v>0</v>
          </cell>
        </row>
        <row r="27">
          <cell r="E27">
            <v>24001731</v>
          </cell>
          <cell r="F27" t="str">
            <v>Nguyễn Phi Hùng</v>
          </cell>
          <cell r="I27">
            <v>3.5999999999999996</v>
          </cell>
          <cell r="J27">
            <v>5.65</v>
          </cell>
          <cell r="L27">
            <v>5.65</v>
          </cell>
          <cell r="N27">
            <v>4.1379310344827589</v>
          </cell>
          <cell r="O27">
            <v>6</v>
          </cell>
          <cell r="Q27">
            <v>7.5555555555555554</v>
          </cell>
          <cell r="R27">
            <v>7.5555555555555554</v>
          </cell>
          <cell r="V27">
            <v>6.1358237547892713</v>
          </cell>
          <cell r="W27">
            <v>9.5</v>
          </cell>
        </row>
        <row r="28">
          <cell r="E28">
            <v>24001232</v>
          </cell>
          <cell r="F28" t="str">
            <v>Vàng A Hùng</v>
          </cell>
          <cell r="I28">
            <v>3.5999999999999996</v>
          </cell>
          <cell r="J28">
            <v>5.65</v>
          </cell>
          <cell r="L28">
            <v>5.65</v>
          </cell>
          <cell r="N28">
            <v>4.1379310344827589</v>
          </cell>
          <cell r="O28">
            <v>6</v>
          </cell>
          <cell r="Q28">
            <v>5.666666666666667</v>
          </cell>
          <cell r="R28">
            <v>5.666666666666667</v>
          </cell>
          <cell r="V28">
            <v>5.4093280282935456</v>
          </cell>
          <cell r="W28">
            <v>6</v>
          </cell>
        </row>
        <row r="29">
          <cell r="E29">
            <v>24001878</v>
          </cell>
          <cell r="F29" t="str">
            <v>Bế Quốc Huy</v>
          </cell>
          <cell r="I29">
            <v>3.5999999999999996</v>
          </cell>
          <cell r="J29">
            <v>5.65</v>
          </cell>
          <cell r="L29">
            <v>5.65</v>
          </cell>
          <cell r="N29">
            <v>4.1379310344827589</v>
          </cell>
          <cell r="O29">
            <v>6</v>
          </cell>
          <cell r="Q29">
            <v>7.5555555555555554</v>
          </cell>
          <cell r="R29">
            <v>7.5555555555555554</v>
          </cell>
          <cell r="V29">
            <v>6.1358237547892713</v>
          </cell>
          <cell r="W29">
            <v>8</v>
          </cell>
        </row>
        <row r="30">
          <cell r="E30">
            <v>24003258</v>
          </cell>
          <cell r="F30" t="str">
            <v>Phan Thị Huyên</v>
          </cell>
          <cell r="I30">
            <v>5</v>
          </cell>
          <cell r="J30">
            <v>5.65</v>
          </cell>
          <cell r="L30">
            <v>5.65</v>
          </cell>
          <cell r="N30">
            <v>5</v>
          </cell>
          <cell r="O30">
            <v>6</v>
          </cell>
          <cell r="P30">
            <v>0.5</v>
          </cell>
          <cell r="Q30">
            <v>8.5</v>
          </cell>
          <cell r="R30">
            <v>9</v>
          </cell>
          <cell r="V30">
            <v>6.865384615384615</v>
          </cell>
          <cell r="W30">
            <v>10</v>
          </cell>
        </row>
        <row r="31">
          <cell r="E31">
            <v>24002233</v>
          </cell>
          <cell r="F31" t="str">
            <v>Nguyễn Thị Thu Huyền</v>
          </cell>
          <cell r="I31">
            <v>3.5999999999999996</v>
          </cell>
          <cell r="J31">
            <v>5.65</v>
          </cell>
          <cell r="L31">
            <v>5.65</v>
          </cell>
          <cell r="N31">
            <v>4.1379310344827589</v>
          </cell>
          <cell r="O31">
            <v>6</v>
          </cell>
          <cell r="Q31">
            <v>8.5</v>
          </cell>
          <cell r="R31">
            <v>8.5</v>
          </cell>
          <cell r="V31">
            <v>6.4990716180371351</v>
          </cell>
          <cell r="W31">
            <v>10</v>
          </cell>
        </row>
        <row r="32">
          <cell r="E32">
            <v>24002543</v>
          </cell>
          <cell r="F32" t="str">
            <v>Đinh Công Hưng</v>
          </cell>
          <cell r="I32">
            <v>3.5999999999999996</v>
          </cell>
          <cell r="J32">
            <v>5.0222222222222221</v>
          </cell>
          <cell r="L32">
            <v>5.0222222222222221</v>
          </cell>
          <cell r="N32">
            <v>4.1379310344827589</v>
          </cell>
          <cell r="O32">
            <v>6</v>
          </cell>
          <cell r="Q32">
            <v>7.5555555555555554</v>
          </cell>
          <cell r="R32">
            <v>7.5555555555555554</v>
          </cell>
          <cell r="V32">
            <v>5.8943707633362799</v>
          </cell>
          <cell r="W32">
            <v>10</v>
          </cell>
        </row>
        <row r="33">
          <cell r="E33">
            <v>24001788</v>
          </cell>
          <cell r="F33" t="str">
            <v>Hoàng Vũ Hưng</v>
          </cell>
          <cell r="I33">
            <v>3.5999999999999996</v>
          </cell>
          <cell r="J33">
            <v>5.65</v>
          </cell>
          <cell r="L33">
            <v>5.65</v>
          </cell>
          <cell r="N33">
            <v>4.1379310344827589</v>
          </cell>
          <cell r="O33">
            <v>6</v>
          </cell>
          <cell r="Q33">
            <v>0</v>
          </cell>
          <cell r="R33">
            <v>0</v>
          </cell>
          <cell r="V33">
            <v>3.2298408488063663</v>
          </cell>
          <cell r="W33">
            <v>3.5</v>
          </cell>
        </row>
        <row r="34">
          <cell r="E34">
            <v>24001966</v>
          </cell>
          <cell r="F34" t="str">
            <v>Nguyễn Tự Trung Kiên</v>
          </cell>
          <cell r="I34">
            <v>3.5999999999999996</v>
          </cell>
          <cell r="J34">
            <v>5.65</v>
          </cell>
          <cell r="L34">
            <v>5.65</v>
          </cell>
          <cell r="N34">
            <v>4.1379310344827589</v>
          </cell>
          <cell r="O34">
            <v>6</v>
          </cell>
          <cell r="Q34">
            <v>4.7222222222222223</v>
          </cell>
          <cell r="R34">
            <v>4.7222222222222223</v>
          </cell>
          <cell r="V34">
            <v>5.0460801650456819</v>
          </cell>
          <cell r="W34">
            <v>8</v>
          </cell>
        </row>
        <row r="35">
          <cell r="E35">
            <v>24001563</v>
          </cell>
          <cell r="F35" t="str">
            <v>Nguyễn Huyền Anh</v>
          </cell>
          <cell r="G35">
            <v>4</v>
          </cell>
          <cell r="I35">
            <v>9.6</v>
          </cell>
          <cell r="J35">
            <v>7.4000000000000012</v>
          </cell>
          <cell r="K35">
            <v>2</v>
          </cell>
          <cell r="L35">
            <v>9.4000000000000021</v>
          </cell>
          <cell r="N35">
            <v>6.5517241379310347</v>
          </cell>
          <cell r="O35">
            <v>10</v>
          </cell>
          <cell r="Q35">
            <v>7.75</v>
          </cell>
          <cell r="R35">
            <v>8.9</v>
          </cell>
          <cell r="V35">
            <v>9.0501326259946957</v>
          </cell>
          <cell r="W35">
            <v>10</v>
          </cell>
        </row>
        <row r="36">
          <cell r="E36">
            <v>24002452</v>
          </cell>
          <cell r="F36" t="str">
            <v>Đặng Mai Linh</v>
          </cell>
          <cell r="I36">
            <v>9.6</v>
          </cell>
          <cell r="J36">
            <v>7.4000000000000012</v>
          </cell>
          <cell r="L36">
            <v>7.4000000000000012</v>
          </cell>
          <cell r="N36">
            <v>6.5517241379310347</v>
          </cell>
          <cell r="O36">
            <v>10</v>
          </cell>
          <cell r="Q36">
            <v>7.75</v>
          </cell>
          <cell r="R36">
            <v>7.75</v>
          </cell>
          <cell r="V36">
            <v>7.8385941644562331</v>
          </cell>
          <cell r="W36">
            <v>10</v>
          </cell>
        </row>
        <row r="37">
          <cell r="E37">
            <v>24002507</v>
          </cell>
          <cell r="F37" t="str">
            <v>Nguyễn Thị Thùy Linh</v>
          </cell>
          <cell r="I37">
            <v>9.6</v>
          </cell>
          <cell r="J37">
            <v>7.4000000000000012</v>
          </cell>
          <cell r="L37">
            <v>7.4000000000000012</v>
          </cell>
          <cell r="N37">
            <v>6.5517241379310347</v>
          </cell>
          <cell r="O37">
            <v>10</v>
          </cell>
          <cell r="Q37">
            <v>7.75</v>
          </cell>
          <cell r="R37">
            <v>7.75</v>
          </cell>
          <cell r="V37">
            <v>7.8385941644562331</v>
          </cell>
          <cell r="W37">
            <v>10</v>
          </cell>
        </row>
        <row r="38">
          <cell r="E38">
            <v>24002035</v>
          </cell>
          <cell r="F38" t="str">
            <v>Nguyễn Thùy Linh</v>
          </cell>
          <cell r="I38">
            <v>9.6</v>
          </cell>
          <cell r="J38">
            <v>7.4000000000000012</v>
          </cell>
          <cell r="L38">
            <v>7.4000000000000012</v>
          </cell>
          <cell r="N38">
            <v>6.5517241379310347</v>
          </cell>
          <cell r="O38">
            <v>10</v>
          </cell>
          <cell r="Q38">
            <v>7.75</v>
          </cell>
          <cell r="R38">
            <v>7.75</v>
          </cell>
          <cell r="V38">
            <v>7.8385941644562331</v>
          </cell>
          <cell r="W38">
            <v>10</v>
          </cell>
        </row>
        <row r="39">
          <cell r="E39">
            <v>24001639</v>
          </cell>
          <cell r="F39" t="str">
            <v>Đào Ngọc Long</v>
          </cell>
          <cell r="I39">
            <v>9.6</v>
          </cell>
          <cell r="J39">
            <v>7.4000000000000012</v>
          </cell>
          <cell r="L39">
            <v>7.4000000000000012</v>
          </cell>
          <cell r="N39">
            <v>6.5517241379310347</v>
          </cell>
          <cell r="O39">
            <v>10</v>
          </cell>
          <cell r="Q39">
            <v>7.75</v>
          </cell>
          <cell r="R39">
            <v>7.75</v>
          </cell>
          <cell r="V39">
            <v>7.8385941644562331</v>
          </cell>
          <cell r="W39">
            <v>7.5</v>
          </cell>
        </row>
        <row r="40">
          <cell r="E40">
            <v>24001989</v>
          </cell>
          <cell r="F40" t="str">
            <v>Đồng Quang Minh</v>
          </cell>
          <cell r="I40">
            <v>9.6</v>
          </cell>
          <cell r="J40">
            <v>7.4000000000000012</v>
          </cell>
          <cell r="L40">
            <v>7.4000000000000012</v>
          </cell>
          <cell r="N40">
            <v>6.5517241379310347</v>
          </cell>
          <cell r="O40">
            <v>10</v>
          </cell>
          <cell r="Q40">
            <v>7.75</v>
          </cell>
          <cell r="R40">
            <v>7.75</v>
          </cell>
          <cell r="V40">
            <v>7.8385941644562331</v>
          </cell>
          <cell r="W40">
            <v>9</v>
          </cell>
        </row>
        <row r="41">
          <cell r="E41">
            <v>24000661</v>
          </cell>
          <cell r="F41" t="str">
            <v>Lê Thị Trà My</v>
          </cell>
          <cell r="I41">
            <v>9.6</v>
          </cell>
          <cell r="J41">
            <v>7.4000000000000012</v>
          </cell>
          <cell r="K41">
            <v>2</v>
          </cell>
          <cell r="L41">
            <v>9.4000000000000021</v>
          </cell>
          <cell r="N41">
            <v>6.5517241379310347</v>
          </cell>
          <cell r="O41">
            <v>10</v>
          </cell>
          <cell r="P41">
            <v>1</v>
          </cell>
          <cell r="Q41">
            <v>7.75</v>
          </cell>
          <cell r="R41">
            <v>8.75</v>
          </cell>
          <cell r="V41">
            <v>8.9924403183023873</v>
          </cell>
          <cell r="W41">
            <v>10</v>
          </cell>
        </row>
        <row r="42">
          <cell r="E42">
            <v>24002038</v>
          </cell>
          <cell r="F42" t="str">
            <v>Trần Thị Trà My</v>
          </cell>
          <cell r="I42">
            <v>9.6</v>
          </cell>
          <cell r="J42">
            <v>6.5777777777777784</v>
          </cell>
          <cell r="L42">
            <v>6.5777777777777784</v>
          </cell>
          <cell r="N42">
            <v>6.5517241379310347</v>
          </cell>
          <cell r="O42">
            <v>10</v>
          </cell>
          <cell r="Q42">
            <v>6.8888888888888893</v>
          </cell>
          <cell r="R42">
            <v>6.8888888888888893</v>
          </cell>
          <cell r="V42">
            <v>7.1911582670203362</v>
          </cell>
          <cell r="W42">
            <v>10</v>
          </cell>
        </row>
        <row r="43">
          <cell r="E43">
            <v>24002081</v>
          </cell>
          <cell r="F43" t="str">
            <v>Mai Văn Nam</v>
          </cell>
          <cell r="I43">
            <v>9.6</v>
          </cell>
          <cell r="J43">
            <v>5.7555555555555564</v>
          </cell>
          <cell r="L43">
            <v>5.7555555555555564</v>
          </cell>
          <cell r="N43">
            <v>6.5517241379310347</v>
          </cell>
          <cell r="O43">
            <v>10</v>
          </cell>
          <cell r="Q43">
            <v>7.75</v>
          </cell>
          <cell r="R43">
            <v>7.75</v>
          </cell>
          <cell r="V43">
            <v>7.2061155319776011</v>
          </cell>
          <cell r="W43">
            <v>8.5</v>
          </cell>
        </row>
        <row r="44">
          <cell r="E44">
            <v>24001951</v>
          </cell>
          <cell r="F44" t="str">
            <v>Phan Hải Nam</v>
          </cell>
          <cell r="I44">
            <v>9.6</v>
          </cell>
          <cell r="J44">
            <v>4.9333333333333336</v>
          </cell>
          <cell r="L44">
            <v>4.9333333333333336</v>
          </cell>
          <cell r="N44">
            <v>6.5517241379310347</v>
          </cell>
          <cell r="O44">
            <v>10</v>
          </cell>
          <cell r="Q44">
            <v>6.8888888888888893</v>
          </cell>
          <cell r="R44">
            <v>6.8888888888888893</v>
          </cell>
          <cell r="V44">
            <v>6.5586796345417033</v>
          </cell>
          <cell r="W44">
            <v>7</v>
          </cell>
        </row>
        <row r="45">
          <cell r="E45">
            <v>24003262</v>
          </cell>
          <cell r="F45" t="str">
            <v>Nguyễn Thị Ngân</v>
          </cell>
          <cell r="I45">
            <v>9.6</v>
          </cell>
          <cell r="J45">
            <v>7.4000000000000012</v>
          </cell>
          <cell r="L45">
            <v>7.4000000000000012</v>
          </cell>
          <cell r="N45">
            <v>6.5517241379310347</v>
          </cell>
          <cell r="O45">
            <v>10</v>
          </cell>
          <cell r="Q45">
            <v>7.75</v>
          </cell>
          <cell r="R45">
            <v>7.75</v>
          </cell>
          <cell r="V45">
            <v>7.8385941644562331</v>
          </cell>
          <cell r="W45">
            <v>9</v>
          </cell>
        </row>
        <row r="46">
          <cell r="E46">
            <v>24002476</v>
          </cell>
          <cell r="F46" t="str">
            <v>Đặng Ánh Ngọc</v>
          </cell>
          <cell r="G46">
            <v>5</v>
          </cell>
          <cell r="I46">
            <v>4.8</v>
          </cell>
          <cell r="J46">
            <v>4.5</v>
          </cell>
          <cell r="L46">
            <v>4.5</v>
          </cell>
          <cell r="N46">
            <v>4.4827586206896548</v>
          </cell>
          <cell r="O46">
            <v>7</v>
          </cell>
          <cell r="Q46">
            <v>7.666666666666667</v>
          </cell>
          <cell r="R46">
            <v>7.666666666666667</v>
          </cell>
          <cell r="V46">
            <v>5.9320070733863837</v>
          </cell>
          <cell r="W46">
            <v>10</v>
          </cell>
        </row>
        <row r="47">
          <cell r="E47">
            <v>24003621</v>
          </cell>
          <cell r="F47" t="str">
            <v>Lương Văn Ngọc</v>
          </cell>
          <cell r="I47">
            <v>4.8</v>
          </cell>
          <cell r="J47">
            <v>3.5</v>
          </cell>
          <cell r="L47">
            <v>5</v>
          </cell>
          <cell r="N47">
            <v>4.4827586206896548</v>
          </cell>
          <cell r="O47">
            <v>7</v>
          </cell>
          <cell r="Q47">
            <v>5.1111111111111107</v>
          </cell>
          <cell r="R47">
            <v>5.1111111111111107</v>
          </cell>
          <cell r="V47">
            <v>5.1414087827880923</v>
          </cell>
          <cell r="W47">
            <v>9</v>
          </cell>
        </row>
        <row r="48">
          <cell r="E48">
            <v>24000574</v>
          </cell>
          <cell r="F48" t="str">
            <v>Nguyễn Minh Ngọc</v>
          </cell>
          <cell r="I48">
            <v>4.8</v>
          </cell>
          <cell r="J48">
            <v>0</v>
          </cell>
          <cell r="L48">
            <v>5</v>
          </cell>
          <cell r="N48">
            <v>4.4827586206896548</v>
          </cell>
          <cell r="O48">
            <v>7</v>
          </cell>
          <cell r="Q48">
            <v>7.666666666666667</v>
          </cell>
          <cell r="R48">
            <v>7.666666666666667</v>
          </cell>
          <cell r="V48">
            <v>6.1243147656940762</v>
          </cell>
          <cell r="W48">
            <v>9</v>
          </cell>
        </row>
        <row r="49">
          <cell r="E49">
            <v>24001609</v>
          </cell>
          <cell r="F49" t="str">
            <v>Trương Thị Tuyết Như</v>
          </cell>
          <cell r="I49">
            <v>4.8</v>
          </cell>
          <cell r="J49">
            <v>4.5</v>
          </cell>
          <cell r="L49">
            <v>5</v>
          </cell>
          <cell r="N49">
            <v>4.4827586206896548</v>
          </cell>
          <cell r="O49">
            <v>7</v>
          </cell>
          <cell r="Q49">
            <v>5.9629629629629637</v>
          </cell>
          <cell r="R49">
            <v>5.9629629629629637</v>
          </cell>
          <cell r="V49">
            <v>5.4690441104234209</v>
          </cell>
          <cell r="W49">
            <v>9.5</v>
          </cell>
        </row>
        <row r="50">
          <cell r="E50">
            <v>24001660</v>
          </cell>
          <cell r="F50" t="str">
            <v>Ngô Thị Hà Phương</v>
          </cell>
          <cell r="I50">
            <v>4.8</v>
          </cell>
          <cell r="J50">
            <v>4.5</v>
          </cell>
          <cell r="L50">
            <v>5</v>
          </cell>
          <cell r="N50">
            <v>4.4827586206896548</v>
          </cell>
          <cell r="O50">
            <v>7</v>
          </cell>
          <cell r="Q50">
            <v>7.666666666666667</v>
          </cell>
          <cell r="R50">
            <v>7.666666666666667</v>
          </cell>
          <cell r="V50">
            <v>6.1243147656940762</v>
          </cell>
          <cell r="W50">
            <v>10</v>
          </cell>
        </row>
        <row r="51">
          <cell r="E51">
            <v>24002230</v>
          </cell>
          <cell r="F51" t="str">
            <v>Trần Anh Quân</v>
          </cell>
          <cell r="I51">
            <v>4.8</v>
          </cell>
          <cell r="J51">
            <v>4</v>
          </cell>
          <cell r="L51">
            <v>5</v>
          </cell>
          <cell r="N51">
            <v>4.4827586206896548</v>
          </cell>
          <cell r="O51">
            <v>7</v>
          </cell>
          <cell r="Q51">
            <v>7.666666666666667</v>
          </cell>
          <cell r="R51">
            <v>7.666666666666667</v>
          </cell>
          <cell r="V51">
            <v>6.1243147656940762</v>
          </cell>
          <cell r="W51">
            <v>10</v>
          </cell>
        </row>
        <row r="52">
          <cell r="E52">
            <v>24001955</v>
          </cell>
          <cell r="F52" t="str">
            <v>Nguyễn Thị Hương Quỳnh</v>
          </cell>
          <cell r="I52">
            <v>4.8</v>
          </cell>
          <cell r="J52">
            <v>4.5</v>
          </cell>
          <cell r="L52">
            <v>4.5</v>
          </cell>
          <cell r="N52">
            <v>4.4827586206896548</v>
          </cell>
          <cell r="O52">
            <v>7</v>
          </cell>
          <cell r="Q52">
            <v>7.666666666666667</v>
          </cell>
          <cell r="R52">
            <v>7.666666666666667</v>
          </cell>
          <cell r="V52">
            <v>5.9320070733863837</v>
          </cell>
          <cell r="W52">
            <v>9</v>
          </cell>
        </row>
        <row r="53">
          <cell r="E53">
            <v>24001796</v>
          </cell>
          <cell r="F53" t="str">
            <v>Nguyễn Văn Tài</v>
          </cell>
          <cell r="I53">
            <v>4.8</v>
          </cell>
          <cell r="J53">
            <v>4.5</v>
          </cell>
          <cell r="L53">
            <v>4.5</v>
          </cell>
          <cell r="N53">
            <v>4.4827586206896548</v>
          </cell>
          <cell r="O53">
            <v>7</v>
          </cell>
          <cell r="Q53">
            <v>1.7037037037037037</v>
          </cell>
          <cell r="R53">
            <v>1.7037037037037037</v>
          </cell>
          <cell r="V53">
            <v>3.6385597799390896</v>
          </cell>
          <cell r="W53">
            <v>4.5</v>
          </cell>
        </row>
        <row r="54">
          <cell r="E54">
            <v>24002519</v>
          </cell>
          <cell r="F54" t="str">
            <v>Trịnh Minh Thành</v>
          </cell>
          <cell r="I54">
            <v>4.8</v>
          </cell>
          <cell r="J54">
            <v>4.5</v>
          </cell>
          <cell r="L54">
            <v>4.5</v>
          </cell>
          <cell r="N54">
            <v>4.4827586206896548</v>
          </cell>
          <cell r="O54">
            <v>7</v>
          </cell>
          <cell r="Q54">
            <v>0</v>
          </cell>
          <cell r="R54">
            <v>5</v>
          </cell>
          <cell r="V54">
            <v>4.9063660477453572</v>
          </cell>
          <cell r="W54">
            <v>9</v>
          </cell>
        </row>
        <row r="55">
          <cell r="E55">
            <v>24002547</v>
          </cell>
          <cell r="F55" t="str">
            <v>Trương Phương Thảo</v>
          </cell>
          <cell r="I55">
            <v>4.8</v>
          </cell>
          <cell r="J55">
            <v>4.5</v>
          </cell>
          <cell r="L55">
            <v>4.5</v>
          </cell>
          <cell r="N55">
            <v>4.4827586206896548</v>
          </cell>
          <cell r="O55">
            <v>7</v>
          </cell>
          <cell r="Q55">
            <v>7.666666666666667</v>
          </cell>
          <cell r="R55">
            <v>7.666666666666667</v>
          </cell>
          <cell r="V55">
            <v>5.9320070733863837</v>
          </cell>
          <cell r="W55">
            <v>9</v>
          </cell>
        </row>
        <row r="56">
          <cell r="E56">
            <v>24000846</v>
          </cell>
          <cell r="F56" t="str">
            <v>Trịnh Minh Thuận</v>
          </cell>
          <cell r="G56">
            <v>6</v>
          </cell>
          <cell r="I56">
            <v>9.6</v>
          </cell>
          <cell r="J56">
            <v>7</v>
          </cell>
          <cell r="L56">
            <v>7</v>
          </cell>
          <cell r="N56">
            <v>7.5862068965517242</v>
          </cell>
          <cell r="O56">
            <v>7</v>
          </cell>
          <cell r="Q56">
            <v>7.633333333333332</v>
          </cell>
          <cell r="R56">
            <v>7.633333333333332</v>
          </cell>
          <cell r="V56">
            <v>7.488682581786029</v>
          </cell>
          <cell r="W56">
            <v>9.5</v>
          </cell>
        </row>
        <row r="57">
          <cell r="E57">
            <v>24002258</v>
          </cell>
          <cell r="F57" t="str">
            <v>Phạm Lê Ngọc Thủy</v>
          </cell>
          <cell r="I57">
            <v>9.6</v>
          </cell>
          <cell r="J57">
            <v>7</v>
          </cell>
          <cell r="L57">
            <v>7</v>
          </cell>
          <cell r="N57">
            <v>7.5862068965517242</v>
          </cell>
          <cell r="O57">
            <v>7</v>
          </cell>
          <cell r="Q57">
            <v>7.633333333333332</v>
          </cell>
          <cell r="R57">
            <v>7.633333333333332</v>
          </cell>
          <cell r="V57">
            <v>7.488682581786029</v>
          </cell>
          <cell r="W57">
            <v>7.5</v>
          </cell>
        </row>
        <row r="58">
          <cell r="E58">
            <v>24002448</v>
          </cell>
          <cell r="F58" t="str">
            <v>Vũ Thị Minh Thư</v>
          </cell>
          <cell r="I58">
            <v>9.6</v>
          </cell>
          <cell r="J58">
            <v>7</v>
          </cell>
          <cell r="L58">
            <v>7</v>
          </cell>
          <cell r="N58">
            <v>7.5862068965517242</v>
          </cell>
          <cell r="O58">
            <v>7</v>
          </cell>
          <cell r="Q58">
            <v>7.633333333333332</v>
          </cell>
          <cell r="R58">
            <v>7.633333333333332</v>
          </cell>
          <cell r="V58">
            <v>7.488682581786029</v>
          </cell>
          <cell r="W58">
            <v>10</v>
          </cell>
        </row>
        <row r="59">
          <cell r="E59">
            <v>24001669</v>
          </cell>
          <cell r="F59" t="str">
            <v>Thân Thanh Trúc</v>
          </cell>
          <cell r="I59">
            <v>9.6</v>
          </cell>
          <cell r="J59">
            <v>7</v>
          </cell>
          <cell r="L59">
            <v>7</v>
          </cell>
          <cell r="N59">
            <v>7.5862068965517242</v>
          </cell>
          <cell r="O59">
            <v>7</v>
          </cell>
          <cell r="Q59">
            <v>7.633333333333332</v>
          </cell>
          <cell r="R59">
            <v>7.633333333333332</v>
          </cell>
          <cell r="V59">
            <v>7.488682581786029</v>
          </cell>
          <cell r="W59">
            <v>8</v>
          </cell>
        </row>
        <row r="60">
          <cell r="E60">
            <v>24002117</v>
          </cell>
          <cell r="F60" t="str">
            <v>Nguyễn Lê Trung</v>
          </cell>
          <cell r="I60">
            <v>9.6</v>
          </cell>
          <cell r="J60">
            <v>4.666666666666667</v>
          </cell>
          <cell r="L60">
            <v>4.666666666666667</v>
          </cell>
          <cell r="N60">
            <v>7.5862068965517242</v>
          </cell>
          <cell r="O60">
            <v>7</v>
          </cell>
          <cell r="Q60">
            <v>7.633333333333332</v>
          </cell>
          <cell r="R60">
            <v>7.633333333333332</v>
          </cell>
          <cell r="V60">
            <v>6.5912466843501329</v>
          </cell>
          <cell r="W60">
            <v>7</v>
          </cell>
        </row>
        <row r="61">
          <cell r="E61">
            <v>24000666</v>
          </cell>
          <cell r="F61" t="str">
            <v>Phạm Văn Trường</v>
          </cell>
          <cell r="I61">
            <v>9.6</v>
          </cell>
          <cell r="J61">
            <v>7</v>
          </cell>
          <cell r="L61">
            <v>7</v>
          </cell>
          <cell r="N61">
            <v>7.5862068965517242</v>
          </cell>
          <cell r="O61">
            <v>7</v>
          </cell>
          <cell r="Q61">
            <v>7.633333333333332</v>
          </cell>
          <cell r="R61">
            <v>7.633333333333332</v>
          </cell>
          <cell r="V61">
            <v>7.488682581786029</v>
          </cell>
          <cell r="W61">
            <v>10</v>
          </cell>
        </row>
        <row r="62">
          <cell r="E62">
            <v>24001957</v>
          </cell>
          <cell r="F62" t="str">
            <v>Vi Mạnh Tuấn</v>
          </cell>
          <cell r="I62">
            <v>9.6</v>
          </cell>
          <cell r="J62">
            <v>7</v>
          </cell>
          <cell r="L62">
            <v>7</v>
          </cell>
          <cell r="N62">
            <v>7.5862068965517242</v>
          </cell>
          <cell r="O62">
            <v>7</v>
          </cell>
          <cell r="Q62">
            <v>5.0888888888888886</v>
          </cell>
          <cell r="R62">
            <v>5.0888888888888886</v>
          </cell>
          <cell r="V62">
            <v>6.5100501031535511</v>
          </cell>
          <cell r="W62">
            <v>9.5</v>
          </cell>
        </row>
        <row r="63">
          <cell r="E63">
            <v>24002504</v>
          </cell>
          <cell r="F63" t="str">
            <v>Nguyễn Hà Ánh Tuyết</v>
          </cell>
          <cell r="I63">
            <v>9.6</v>
          </cell>
          <cell r="J63">
            <v>7</v>
          </cell>
          <cell r="L63">
            <v>7</v>
          </cell>
          <cell r="N63">
            <v>7.5862068965517242</v>
          </cell>
          <cell r="O63">
            <v>7</v>
          </cell>
          <cell r="Q63">
            <v>7.633333333333332</v>
          </cell>
          <cell r="R63">
            <v>7.633333333333332</v>
          </cell>
          <cell r="V63">
            <v>7.488682581786029</v>
          </cell>
          <cell r="W63">
            <v>10</v>
          </cell>
        </row>
        <row r="64">
          <cell r="E64">
            <v>24002551</v>
          </cell>
          <cell r="F64" t="str">
            <v>Phùng Quang Vinh</v>
          </cell>
          <cell r="I64">
            <v>9.6</v>
          </cell>
          <cell r="J64">
            <v>7</v>
          </cell>
          <cell r="L64">
            <v>7</v>
          </cell>
          <cell r="N64">
            <v>7.5862068965517242</v>
          </cell>
          <cell r="O64">
            <v>7</v>
          </cell>
          <cell r="Q64">
            <v>7.633333333333332</v>
          </cell>
          <cell r="R64">
            <v>7.633333333333332</v>
          </cell>
          <cell r="V64">
            <v>7.488682581786029</v>
          </cell>
          <cell r="W64">
            <v>10</v>
          </cell>
        </row>
        <row r="65">
          <cell r="E65">
            <v>24001577</v>
          </cell>
          <cell r="F65" t="str">
            <v xml:space="preserve">Trần Vũ </v>
          </cell>
          <cell r="I65">
            <v>9.6</v>
          </cell>
          <cell r="J65">
            <v>4.666666666666667</v>
          </cell>
          <cell r="L65">
            <v>4.666666666666667</v>
          </cell>
          <cell r="N65">
            <v>7.5862068965517242</v>
          </cell>
          <cell r="O65">
            <v>7</v>
          </cell>
          <cell r="Q65">
            <v>5.0888888888888886</v>
          </cell>
          <cell r="R65">
            <v>5.0888888888888886</v>
          </cell>
          <cell r="V65">
            <v>5.6126142057176542</v>
          </cell>
          <cell r="W65">
            <v>6</v>
          </cell>
        </row>
        <row r="66">
          <cell r="E66">
            <v>24002109</v>
          </cell>
          <cell r="F66" t="str">
            <v>Lô Thị Hải Yến</v>
          </cell>
          <cell r="I66">
            <v>9.6</v>
          </cell>
          <cell r="J66">
            <v>7</v>
          </cell>
          <cell r="L66">
            <v>7</v>
          </cell>
          <cell r="N66">
            <v>7.5862068965517242</v>
          </cell>
          <cell r="O66">
            <v>7</v>
          </cell>
          <cell r="Q66">
            <v>7.633333333333332</v>
          </cell>
          <cell r="R66">
            <v>7.633333333333332</v>
          </cell>
          <cell r="V66">
            <v>7.488682581786029</v>
          </cell>
          <cell r="W66">
            <v>9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topLeftCell="A13" zoomScaleNormal="100" workbookViewId="0">
      <selection activeCell="L7" sqref="L7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9">
        <v>24002326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>
        <f>VLOOKUP(B3,'[1]ca 2'!$E$2:$W$66,19,FALSE)</f>
        <v>10</v>
      </c>
      <c r="K3" s="3">
        <f>ROUND(VLOOKUP(B3,'[1]ca 2'!$E$2:$W$66,18,FALSE),1)</f>
        <v>8.6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9" x14ac:dyDescent="0.35">
      <c r="A4" s="2" t="s">
        <v>26</v>
      </c>
      <c r="B4" s="9">
        <v>24001563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3">
        <f>VLOOKUP(B4,'[1]ca 2'!$E$2:$W$66,19,FALSE)</f>
        <v>10</v>
      </c>
      <c r="K4" s="3">
        <f>ROUND(VLOOKUP(B4,'[1]ca 2'!$E$2:$W$66,18,FALSE),1)</f>
        <v>9.1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9" x14ac:dyDescent="0.35">
      <c r="A5" s="2" t="s">
        <v>29</v>
      </c>
      <c r="B5" s="9">
        <v>24002093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3">
        <f>VLOOKUP(B5,'[1]ca 2'!$E$2:$W$66,19,FALSE)</f>
        <v>10</v>
      </c>
      <c r="K5" s="3">
        <f>ROUND(VLOOKUP(B5,'[1]ca 2'!$E$2:$W$66,18,FALSE),1)</f>
        <v>7.5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9" x14ac:dyDescent="0.35">
      <c r="A6" s="2" t="s">
        <v>32</v>
      </c>
      <c r="B6" s="9">
        <v>24001547</v>
      </c>
      <c r="C6" s="2" t="s">
        <v>33</v>
      </c>
      <c r="D6" s="2" t="s">
        <v>34</v>
      </c>
      <c r="E6" s="2" t="s">
        <v>35</v>
      </c>
      <c r="F6" s="2" t="s">
        <v>24</v>
      </c>
      <c r="G6" s="2" t="s">
        <v>25</v>
      </c>
      <c r="H6" s="2" t="s">
        <v>20</v>
      </c>
      <c r="I6" s="2" t="s">
        <v>20</v>
      </c>
      <c r="J6" s="3">
        <f>VLOOKUP(B6,'[1]ca 2'!$E$2:$W$66,19,FALSE)</f>
        <v>10</v>
      </c>
      <c r="K6" s="3">
        <f>ROUND(VLOOKUP(B6,'[1]ca 2'!$E$2:$W$66,18,FALSE),1)</f>
        <v>7.9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9" x14ac:dyDescent="0.35">
      <c r="A7" s="2" t="s">
        <v>36</v>
      </c>
      <c r="B7" s="9">
        <v>24003955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25</v>
      </c>
      <c r="H7" s="2" t="s">
        <v>20</v>
      </c>
      <c r="I7" s="2" t="s">
        <v>20</v>
      </c>
      <c r="J7" s="3">
        <f>VLOOKUP(B7,'[1]ca 2'!$E$2:$W$66,19,FALSE)</f>
        <v>10</v>
      </c>
      <c r="K7" s="3">
        <f>ROUND(VLOOKUP(B7,'[1]ca 2'!$E$2:$W$66,18,FALSE),1)</f>
        <v>7.9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9" x14ac:dyDescent="0.35">
      <c r="A8" s="2" t="s">
        <v>41</v>
      </c>
      <c r="B8" s="9">
        <v>24002143</v>
      </c>
      <c r="C8" s="2" t="s">
        <v>42</v>
      </c>
      <c r="D8" s="2" t="s">
        <v>43</v>
      </c>
      <c r="E8" s="2" t="s">
        <v>44</v>
      </c>
      <c r="F8" s="2" t="s">
        <v>24</v>
      </c>
      <c r="G8" s="2" t="s">
        <v>25</v>
      </c>
      <c r="H8" s="2" t="s">
        <v>20</v>
      </c>
      <c r="I8" s="2" t="s">
        <v>20</v>
      </c>
      <c r="J8" s="3">
        <f>VLOOKUP(B8,'[1]ca 2'!$E$2:$W$66,19,FALSE)</f>
        <v>5.5</v>
      </c>
      <c r="K8" s="3">
        <f>ROUND(VLOOKUP(B8,'[1]ca 2'!$E$2:$W$66,18,FALSE),1)</f>
        <v>6.5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9" x14ac:dyDescent="0.35">
      <c r="A9" s="2" t="s">
        <v>45</v>
      </c>
      <c r="B9" s="9">
        <v>24002332</v>
      </c>
      <c r="C9" s="2" t="s">
        <v>33</v>
      </c>
      <c r="D9" s="2" t="s">
        <v>46</v>
      </c>
      <c r="E9" s="2" t="s">
        <v>47</v>
      </c>
      <c r="F9" s="2" t="s">
        <v>24</v>
      </c>
      <c r="G9" s="2" t="s">
        <v>25</v>
      </c>
      <c r="H9" s="2" t="s">
        <v>20</v>
      </c>
      <c r="I9" s="2" t="s">
        <v>20</v>
      </c>
      <c r="J9" s="3">
        <f>VLOOKUP(B9,'[1]ca 2'!$E$2:$W$66,19,FALSE)</f>
        <v>10</v>
      </c>
      <c r="K9" s="3">
        <f>ROUND(VLOOKUP(B9,'[1]ca 2'!$E$2:$W$66,18,FALSE),1)</f>
        <v>7.1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9" x14ac:dyDescent="0.35">
      <c r="A10" s="2" t="s">
        <v>48</v>
      </c>
      <c r="B10" s="9">
        <v>24002450</v>
      </c>
      <c r="C10" s="2" t="s">
        <v>49</v>
      </c>
      <c r="D10" s="2" t="s">
        <v>50</v>
      </c>
      <c r="E10" s="2" t="s">
        <v>51</v>
      </c>
      <c r="F10" s="2" t="s">
        <v>24</v>
      </c>
      <c r="G10" s="2" t="s">
        <v>25</v>
      </c>
      <c r="H10" s="2" t="s">
        <v>20</v>
      </c>
      <c r="I10" s="2" t="s">
        <v>20</v>
      </c>
      <c r="J10" s="3">
        <f>VLOOKUP(B10,'[1]ca 2'!$E$2:$W$66,19,FALSE)</f>
        <v>9.5</v>
      </c>
      <c r="K10" s="3">
        <f>ROUND(VLOOKUP(B10,'[1]ca 2'!$E$2:$W$66,18,FALSE),1)</f>
        <v>7.9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9" x14ac:dyDescent="0.35">
      <c r="A11" s="2" t="s">
        <v>52</v>
      </c>
      <c r="B11" s="9">
        <v>24003994</v>
      </c>
      <c r="C11" s="2" t="s">
        <v>53</v>
      </c>
      <c r="D11" s="2" t="s">
        <v>54</v>
      </c>
      <c r="E11" s="2" t="s">
        <v>55</v>
      </c>
      <c r="F11" s="2" t="s">
        <v>40</v>
      </c>
      <c r="G11" s="2" t="s">
        <v>25</v>
      </c>
      <c r="H11" s="2" t="s">
        <v>20</v>
      </c>
      <c r="I11" s="2" t="s">
        <v>20</v>
      </c>
      <c r="J11" s="3">
        <f>VLOOKUP(B11,'[1]ca 2'!$E$2:$W$66,19,FALSE)</f>
        <v>9</v>
      </c>
      <c r="K11" s="3">
        <f>ROUND(VLOOKUP(B11,'[1]ca 2'!$E$2:$W$66,18,FALSE),1)</f>
        <v>7.9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9" x14ac:dyDescent="0.35">
      <c r="A12" s="2" t="s">
        <v>56</v>
      </c>
      <c r="B12" s="9">
        <v>24001741</v>
      </c>
      <c r="C12" s="2" t="s">
        <v>57</v>
      </c>
      <c r="D12" s="2" t="s">
        <v>54</v>
      </c>
      <c r="E12" s="2" t="s">
        <v>58</v>
      </c>
      <c r="F12" s="2" t="s">
        <v>24</v>
      </c>
      <c r="G12" s="2" t="s">
        <v>25</v>
      </c>
      <c r="H12" s="2" t="s">
        <v>20</v>
      </c>
      <c r="I12" s="2" t="s">
        <v>20</v>
      </c>
      <c r="J12" s="3">
        <f>VLOOKUP(B12,'[1]ca 2'!$E$2:$W$66,19,FALSE)</f>
        <v>10</v>
      </c>
      <c r="K12" s="3">
        <f>ROUND(VLOOKUP(B12,'[1]ca 2'!$E$2:$W$66,18,FALSE),1)</f>
        <v>7.2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9" x14ac:dyDescent="0.35">
      <c r="A13" s="2" t="s">
        <v>59</v>
      </c>
      <c r="B13" s="9">
        <v>24003770</v>
      </c>
      <c r="C13" s="2" t="s">
        <v>60</v>
      </c>
      <c r="D13" s="2" t="s">
        <v>61</v>
      </c>
      <c r="E13" s="2" t="s">
        <v>62</v>
      </c>
      <c r="F13" s="2" t="s">
        <v>40</v>
      </c>
      <c r="G13" s="2" t="s">
        <v>25</v>
      </c>
      <c r="H13" s="2" t="s">
        <v>20</v>
      </c>
      <c r="I13" s="2" t="s">
        <v>20</v>
      </c>
      <c r="J13" s="3">
        <f>VLOOKUP(B13,'[1]ca 2'!$E$2:$W$66,19,FALSE)</f>
        <v>8</v>
      </c>
      <c r="K13" s="3">
        <f>ROUND(VLOOKUP(B13,'[1]ca 2'!$E$2:$W$66,18,FALSE),1)</f>
        <v>7.9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9" x14ac:dyDescent="0.35">
      <c r="A14" s="2" t="s">
        <v>63</v>
      </c>
      <c r="B14" s="9">
        <v>24002468</v>
      </c>
      <c r="C14" s="2" t="s">
        <v>64</v>
      </c>
      <c r="D14" s="2" t="s">
        <v>65</v>
      </c>
      <c r="E14" s="2" t="s">
        <v>66</v>
      </c>
      <c r="F14" s="2" t="s">
        <v>24</v>
      </c>
      <c r="G14" s="2" t="s">
        <v>25</v>
      </c>
      <c r="H14" s="2" t="s">
        <v>20</v>
      </c>
      <c r="I14" s="2" t="s">
        <v>20</v>
      </c>
      <c r="J14" s="3">
        <f>VLOOKUP(B14,'[1]ca 2'!$E$2:$W$66,19,FALSE)</f>
        <v>10</v>
      </c>
      <c r="K14" s="3">
        <f>ROUND(VLOOKUP(B14,'[1]ca 2'!$E$2:$W$66,18,FALSE),1)</f>
        <v>7.1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9" x14ac:dyDescent="0.35">
      <c r="A15" s="2" t="s">
        <v>67</v>
      </c>
      <c r="B15" s="9">
        <v>24001808</v>
      </c>
      <c r="C15" s="2" t="s">
        <v>68</v>
      </c>
      <c r="D15" s="2" t="s">
        <v>69</v>
      </c>
      <c r="E15" s="2" t="s">
        <v>70</v>
      </c>
      <c r="F15" s="2" t="s">
        <v>24</v>
      </c>
      <c r="G15" s="2" t="s">
        <v>25</v>
      </c>
      <c r="H15" s="2" t="s">
        <v>20</v>
      </c>
      <c r="I15" s="2" t="s">
        <v>20</v>
      </c>
      <c r="J15" s="3">
        <f>VLOOKUP(B15,'[1]ca 2'!$E$2:$W$66,19,FALSE)</f>
        <v>10</v>
      </c>
      <c r="K15" s="3">
        <f>ROUND(VLOOKUP(B15,'[1]ca 2'!$E$2:$W$66,18,FALSE),1)</f>
        <v>6.4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9" x14ac:dyDescent="0.35">
      <c r="A16" s="2" t="s">
        <v>71</v>
      </c>
      <c r="B16" s="9">
        <v>24002353</v>
      </c>
      <c r="C16" s="2" t="s">
        <v>72</v>
      </c>
      <c r="D16" s="2" t="s">
        <v>73</v>
      </c>
      <c r="E16" s="2" t="s">
        <v>74</v>
      </c>
      <c r="F16" s="2" t="s">
        <v>24</v>
      </c>
      <c r="G16" s="2" t="s">
        <v>25</v>
      </c>
      <c r="H16" s="2" t="s">
        <v>20</v>
      </c>
      <c r="I16" s="2" t="s">
        <v>20</v>
      </c>
      <c r="J16" s="3">
        <f>VLOOKUP(B16,'[1]ca 2'!$E$2:$W$66,19,FALSE)</f>
        <v>10</v>
      </c>
      <c r="K16" s="3">
        <f>ROUND(VLOOKUP(B16,'[1]ca 2'!$E$2:$W$66,18,FALSE),1)</f>
        <v>7.5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9" x14ac:dyDescent="0.35">
      <c r="A17" s="2" t="s">
        <v>75</v>
      </c>
      <c r="B17" s="9">
        <v>24000790</v>
      </c>
      <c r="C17" s="2" t="s">
        <v>76</v>
      </c>
      <c r="D17" s="2" t="s">
        <v>77</v>
      </c>
      <c r="E17" s="2" t="s">
        <v>78</v>
      </c>
      <c r="F17" s="2" t="s">
        <v>24</v>
      </c>
      <c r="G17" s="2" t="s">
        <v>25</v>
      </c>
      <c r="H17" s="2" t="s">
        <v>20</v>
      </c>
      <c r="I17" s="2" t="s">
        <v>20</v>
      </c>
      <c r="J17" s="3">
        <f>VLOOKUP(B17,'[1]ca 2'!$E$2:$W$66,19,FALSE)</f>
        <v>6.5</v>
      </c>
      <c r="K17" s="3">
        <f>ROUND(VLOOKUP(B17,'[1]ca 2'!$E$2:$W$66,18,FALSE),1)</f>
        <v>4.8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9" x14ac:dyDescent="0.35">
      <c r="A18" s="2" t="s">
        <v>79</v>
      </c>
      <c r="B18" s="9">
        <v>24000137</v>
      </c>
      <c r="C18" s="2" t="s">
        <v>80</v>
      </c>
      <c r="D18" s="2" t="s">
        <v>77</v>
      </c>
      <c r="E18" s="2" t="s">
        <v>81</v>
      </c>
      <c r="F18" s="2" t="s">
        <v>40</v>
      </c>
      <c r="G18" s="2" t="s">
        <v>25</v>
      </c>
      <c r="H18" s="2" t="s">
        <v>20</v>
      </c>
      <c r="I18" s="2" t="s">
        <v>20</v>
      </c>
      <c r="J18" s="3">
        <f>VLOOKUP(B18,'[1]ca 2'!$E$2:$W$66,19,FALSE)</f>
        <v>8</v>
      </c>
      <c r="K18" s="3">
        <f>ROUND(VLOOKUP(B18,'[1]ca 2'!$E$2:$W$66,18,FALSE),1)</f>
        <v>7.5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9" x14ac:dyDescent="0.35">
      <c r="A19" s="2" t="s">
        <v>82</v>
      </c>
      <c r="B19" s="9">
        <v>24003940</v>
      </c>
      <c r="C19" s="2" t="s">
        <v>83</v>
      </c>
      <c r="D19" s="2" t="s">
        <v>84</v>
      </c>
      <c r="E19" s="2" t="s">
        <v>85</v>
      </c>
      <c r="F19" s="2" t="s">
        <v>40</v>
      </c>
      <c r="G19" s="2" t="s">
        <v>25</v>
      </c>
      <c r="H19" s="2" t="s">
        <v>20</v>
      </c>
      <c r="I19" s="2" t="s">
        <v>20</v>
      </c>
      <c r="J19" s="3">
        <f>VLOOKUP(B19,'[1]ca 2'!$E$2:$W$66,19,FALSE)</f>
        <v>8.5</v>
      </c>
      <c r="K19" s="3">
        <f>ROUND(VLOOKUP(B19,'[1]ca 2'!$E$2:$W$66,18,FALSE),1)</f>
        <v>7.5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9" x14ac:dyDescent="0.35">
      <c r="A20" s="2" t="s">
        <v>86</v>
      </c>
      <c r="B20" s="9">
        <v>24002451</v>
      </c>
      <c r="C20" s="2" t="s">
        <v>87</v>
      </c>
      <c r="D20" s="2" t="s">
        <v>88</v>
      </c>
      <c r="E20" s="2" t="s">
        <v>89</v>
      </c>
      <c r="F20" s="2" t="s">
        <v>24</v>
      </c>
      <c r="G20" s="2" t="s">
        <v>25</v>
      </c>
      <c r="H20" s="2" t="s">
        <v>20</v>
      </c>
      <c r="I20" s="2" t="s">
        <v>20</v>
      </c>
      <c r="J20" s="3">
        <f>VLOOKUP(B20,'[1]ca 2'!$E$2:$W$66,19,FALSE)</f>
        <v>8.5</v>
      </c>
      <c r="K20" s="3">
        <f>ROUND(VLOOKUP(B20,'[1]ca 2'!$E$2:$W$66,18,FALSE),1)</f>
        <v>6.2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9" x14ac:dyDescent="0.35">
      <c r="A21" s="2" t="s">
        <v>90</v>
      </c>
      <c r="B21" s="9">
        <v>24001573</v>
      </c>
      <c r="C21" s="2" t="s">
        <v>91</v>
      </c>
      <c r="D21" s="2" t="s">
        <v>92</v>
      </c>
      <c r="E21" s="2" t="s">
        <v>93</v>
      </c>
      <c r="F21" s="2" t="s">
        <v>24</v>
      </c>
      <c r="G21" s="2" t="s">
        <v>25</v>
      </c>
      <c r="H21" s="2" t="s">
        <v>20</v>
      </c>
      <c r="I21" s="2" t="s">
        <v>20</v>
      </c>
      <c r="J21" s="3">
        <f>VLOOKUP(B21,'[1]ca 2'!$E$2:$W$66,19,FALSE)</f>
        <v>8</v>
      </c>
      <c r="K21" s="3">
        <f>ROUND(VLOOKUP(B21,'[1]ca 2'!$E$2:$W$66,18,FALSE),1)</f>
        <v>7.5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9" x14ac:dyDescent="0.35">
      <c r="A22" s="2" t="s">
        <v>94</v>
      </c>
      <c r="B22" s="9">
        <v>24001826</v>
      </c>
      <c r="C22" s="2" t="s">
        <v>95</v>
      </c>
      <c r="D22" s="2" t="s">
        <v>96</v>
      </c>
      <c r="E22" s="2" t="s">
        <v>97</v>
      </c>
      <c r="F22" s="2" t="s">
        <v>24</v>
      </c>
      <c r="G22" s="2" t="s">
        <v>25</v>
      </c>
      <c r="H22" s="2" t="s">
        <v>20</v>
      </c>
      <c r="I22" s="2" t="s">
        <v>20</v>
      </c>
      <c r="J22" s="3">
        <f>VLOOKUP(B22,'[1]ca 2'!$E$2:$W$66,19,FALSE)</f>
        <v>0</v>
      </c>
      <c r="K22" s="3">
        <f>ROUND(VLOOKUP(B22,'[1]ca 2'!$E$2:$W$66,18,FALSE),1)</f>
        <v>0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9" x14ac:dyDescent="0.35">
      <c r="A23" s="2" t="s">
        <v>98</v>
      </c>
      <c r="B23" s="9">
        <v>24002390</v>
      </c>
      <c r="C23" s="2" t="s">
        <v>99</v>
      </c>
      <c r="D23" s="2" t="s">
        <v>100</v>
      </c>
      <c r="E23" s="2" t="s">
        <v>101</v>
      </c>
      <c r="F23" s="2" t="s">
        <v>24</v>
      </c>
      <c r="G23" s="2" t="s">
        <v>25</v>
      </c>
      <c r="H23" s="2" t="s">
        <v>20</v>
      </c>
      <c r="I23" s="2" t="s">
        <v>20</v>
      </c>
      <c r="J23" s="3">
        <f>VLOOKUP(B23,'[1]ca 2'!$E$2:$W$66,19,FALSE)</f>
        <v>9</v>
      </c>
      <c r="K23" s="3">
        <f>ROUND(VLOOKUP(B23,'[1]ca 2'!$E$2:$W$66,18,FALSE),1)</f>
        <v>6.5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9" x14ac:dyDescent="0.35">
      <c r="A24" s="2" t="s">
        <v>102</v>
      </c>
      <c r="B24" s="9">
        <v>24002205</v>
      </c>
      <c r="C24" s="2" t="s">
        <v>103</v>
      </c>
      <c r="D24" s="2" t="s">
        <v>100</v>
      </c>
      <c r="E24" s="2" t="s">
        <v>104</v>
      </c>
      <c r="F24" s="2" t="s">
        <v>24</v>
      </c>
      <c r="G24" s="2" t="s">
        <v>25</v>
      </c>
      <c r="H24" s="2" t="s">
        <v>20</v>
      </c>
      <c r="I24" s="2" t="s">
        <v>20</v>
      </c>
      <c r="J24" s="3">
        <f>VLOOKUP(B24,'[1]ca 2'!$E$2:$W$66,19,FALSE)</f>
        <v>10</v>
      </c>
      <c r="K24" s="3">
        <f>ROUND(VLOOKUP(B24,'[1]ca 2'!$E$2:$W$66,18,FALSE),1)</f>
        <v>7.5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9" x14ac:dyDescent="0.35">
      <c r="A25" s="2" t="s">
        <v>105</v>
      </c>
      <c r="B25" s="9">
        <v>24001907</v>
      </c>
      <c r="C25" s="2" t="s">
        <v>106</v>
      </c>
      <c r="D25" s="2" t="s">
        <v>107</v>
      </c>
      <c r="E25" s="2" t="s">
        <v>108</v>
      </c>
      <c r="F25" s="2" t="s">
        <v>24</v>
      </c>
      <c r="G25" s="2" t="s">
        <v>25</v>
      </c>
      <c r="H25" s="2" t="s">
        <v>20</v>
      </c>
      <c r="I25" s="2" t="s">
        <v>20</v>
      </c>
      <c r="J25" s="3">
        <f>VLOOKUP(B25,'[1]ca 2'!$E$2:$W$66,19,FALSE)</f>
        <v>10</v>
      </c>
      <c r="K25" s="3">
        <f>ROUND(VLOOKUP(B25,'[1]ca 2'!$E$2:$W$66,18,FALSE),1)</f>
        <v>6.9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9" x14ac:dyDescent="0.35">
      <c r="A26" s="2" t="s">
        <v>109</v>
      </c>
      <c r="B26" s="9">
        <v>24002437</v>
      </c>
      <c r="C26" s="2" t="s">
        <v>110</v>
      </c>
      <c r="D26" s="2" t="s">
        <v>111</v>
      </c>
      <c r="E26" s="2" t="s">
        <v>112</v>
      </c>
      <c r="F26" s="2" t="s">
        <v>24</v>
      </c>
      <c r="G26" s="2" t="s">
        <v>25</v>
      </c>
      <c r="H26" s="2" t="s">
        <v>20</v>
      </c>
      <c r="I26" s="2" t="s">
        <v>20</v>
      </c>
      <c r="J26" s="3">
        <f>VLOOKUP(B26,'[1]ca 2'!$E$2:$W$66,19,FALSE)</f>
        <v>5.5</v>
      </c>
      <c r="K26" s="3">
        <f>ROUND(VLOOKUP(B26,'[1]ca 2'!$E$2:$W$66,18,FALSE),1)</f>
        <v>3.2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43.5" x14ac:dyDescent="0.35">
      <c r="A27" s="2" t="s">
        <v>113</v>
      </c>
      <c r="B27" s="9">
        <v>24001809</v>
      </c>
      <c r="C27" s="2" t="s">
        <v>114</v>
      </c>
      <c r="D27" s="2" t="s">
        <v>115</v>
      </c>
      <c r="E27" s="2" t="s">
        <v>116</v>
      </c>
      <c r="F27" s="2" t="s">
        <v>24</v>
      </c>
      <c r="G27" s="2" t="s">
        <v>25</v>
      </c>
      <c r="H27" s="2" t="s">
        <v>20</v>
      </c>
      <c r="I27" s="2" t="s">
        <v>20</v>
      </c>
      <c r="J27" s="3">
        <f>VLOOKUP(B27,'[1]ca 2'!$E$2:$W$66,19,FALSE)</f>
        <v>0</v>
      </c>
      <c r="K27" s="3">
        <f>ROUND(VLOOKUP(B27,'[1]ca 2'!$E$2:$W$66,18,FALSE),1)</f>
        <v>0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9" x14ac:dyDescent="0.35">
      <c r="A28" s="2" t="s">
        <v>117</v>
      </c>
      <c r="B28" s="9">
        <v>24001731</v>
      </c>
      <c r="C28" s="2" t="s">
        <v>118</v>
      </c>
      <c r="D28" s="2" t="s">
        <v>119</v>
      </c>
      <c r="E28" s="2" t="s">
        <v>120</v>
      </c>
      <c r="F28" s="2" t="s">
        <v>24</v>
      </c>
      <c r="G28" s="2" t="s">
        <v>25</v>
      </c>
      <c r="H28" s="2" t="s">
        <v>20</v>
      </c>
      <c r="I28" s="2" t="s">
        <v>20</v>
      </c>
      <c r="J28" s="3">
        <f>VLOOKUP(B28,'[1]ca 2'!$E$2:$W$66,19,FALSE)</f>
        <v>9.5</v>
      </c>
      <c r="K28" s="3">
        <f>ROUND(VLOOKUP(B28,'[1]ca 2'!$E$2:$W$66,18,FALSE),1)</f>
        <v>6.1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9" x14ac:dyDescent="0.35">
      <c r="A29" s="2" t="s">
        <v>121</v>
      </c>
      <c r="B29" s="9">
        <v>24001232</v>
      </c>
      <c r="C29" s="2" t="s">
        <v>122</v>
      </c>
      <c r="D29" s="2" t="s">
        <v>119</v>
      </c>
      <c r="E29" s="2" t="s">
        <v>123</v>
      </c>
      <c r="F29" s="2" t="s">
        <v>40</v>
      </c>
      <c r="G29" s="2" t="s">
        <v>25</v>
      </c>
      <c r="H29" s="2" t="s">
        <v>20</v>
      </c>
      <c r="I29" s="2" t="s">
        <v>20</v>
      </c>
      <c r="J29" s="3">
        <f>VLOOKUP(B29,'[1]ca 2'!$E$2:$W$66,19,FALSE)</f>
        <v>6</v>
      </c>
      <c r="K29" s="3">
        <f>ROUND(VLOOKUP(B29,'[1]ca 2'!$E$2:$W$66,18,FALSE),1)</f>
        <v>5.4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9" x14ac:dyDescent="0.35">
      <c r="A30" s="2" t="s">
        <v>124</v>
      </c>
      <c r="B30" s="9">
        <v>24001878</v>
      </c>
      <c r="C30" s="2" t="s">
        <v>125</v>
      </c>
      <c r="D30" s="2" t="s">
        <v>126</v>
      </c>
      <c r="E30" s="2" t="s">
        <v>127</v>
      </c>
      <c r="F30" s="2" t="s">
        <v>24</v>
      </c>
      <c r="G30" s="2" t="s">
        <v>25</v>
      </c>
      <c r="H30" s="2" t="s">
        <v>20</v>
      </c>
      <c r="I30" s="2" t="s">
        <v>20</v>
      </c>
      <c r="J30" s="3">
        <f>VLOOKUP(B30,'[1]ca 2'!$E$2:$W$66,19,FALSE)</f>
        <v>8</v>
      </c>
      <c r="K30" s="3">
        <f>ROUND(VLOOKUP(B30,'[1]ca 2'!$E$2:$W$66,18,FALSE),1)</f>
        <v>6.1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9" x14ac:dyDescent="0.35">
      <c r="A31" s="2" t="s">
        <v>128</v>
      </c>
      <c r="B31" s="9">
        <v>24003258</v>
      </c>
      <c r="C31" s="2" t="s">
        <v>129</v>
      </c>
      <c r="D31" s="2" t="s">
        <v>130</v>
      </c>
      <c r="E31" s="2" t="s">
        <v>131</v>
      </c>
      <c r="F31" s="2" t="s">
        <v>40</v>
      </c>
      <c r="G31" s="2" t="s">
        <v>25</v>
      </c>
      <c r="H31" s="2" t="s">
        <v>20</v>
      </c>
      <c r="I31" s="2" t="s">
        <v>20</v>
      </c>
      <c r="J31" s="3">
        <f>VLOOKUP(B31,'[1]ca 2'!$E$2:$W$66,19,FALSE)</f>
        <v>10</v>
      </c>
      <c r="K31" s="3">
        <f>ROUND(VLOOKUP(B31,'[1]ca 2'!$E$2:$W$66,18,FALSE),1)</f>
        <v>6.9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9" x14ac:dyDescent="0.35">
      <c r="A32" s="2" t="s">
        <v>132</v>
      </c>
      <c r="B32" s="9">
        <v>24002233</v>
      </c>
      <c r="C32" s="2" t="s">
        <v>103</v>
      </c>
      <c r="D32" s="2" t="s">
        <v>133</v>
      </c>
      <c r="E32" s="2" t="s">
        <v>134</v>
      </c>
      <c r="F32" s="2" t="s">
        <v>24</v>
      </c>
      <c r="G32" s="2" t="s">
        <v>25</v>
      </c>
      <c r="H32" s="2" t="s">
        <v>20</v>
      </c>
      <c r="I32" s="2" t="s">
        <v>20</v>
      </c>
      <c r="J32" s="3">
        <f>VLOOKUP(B32,'[1]ca 2'!$E$2:$W$66,19,FALSE)</f>
        <v>10</v>
      </c>
      <c r="K32" s="3">
        <f>ROUND(VLOOKUP(B32,'[1]ca 2'!$E$2:$W$66,18,FALSE),1)</f>
        <v>6.5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9" x14ac:dyDescent="0.35">
      <c r="A33" s="2" t="s">
        <v>135</v>
      </c>
      <c r="B33" s="9">
        <v>24002543</v>
      </c>
      <c r="C33" s="2" t="s">
        <v>136</v>
      </c>
      <c r="D33" s="2" t="s">
        <v>137</v>
      </c>
      <c r="E33" s="2" t="s">
        <v>55</v>
      </c>
      <c r="F33" s="2" t="s">
        <v>24</v>
      </c>
      <c r="G33" s="2" t="s">
        <v>25</v>
      </c>
      <c r="H33" s="2" t="s">
        <v>20</v>
      </c>
      <c r="I33" s="2" t="s">
        <v>20</v>
      </c>
      <c r="J33" s="3">
        <f>VLOOKUP(B33,'[1]ca 2'!$E$2:$W$66,19,FALSE)</f>
        <v>10</v>
      </c>
      <c r="K33" s="3">
        <f>ROUND(VLOOKUP(B33,'[1]ca 2'!$E$2:$W$66,18,FALSE),1)</f>
        <v>5.9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9" x14ac:dyDescent="0.35">
      <c r="A34" s="2" t="s">
        <v>138</v>
      </c>
      <c r="B34" s="9">
        <v>24001788</v>
      </c>
      <c r="C34" s="2" t="s">
        <v>139</v>
      </c>
      <c r="D34" s="2" t="s">
        <v>137</v>
      </c>
      <c r="E34" s="2" t="s">
        <v>140</v>
      </c>
      <c r="F34" s="2" t="s">
        <v>24</v>
      </c>
      <c r="G34" s="2" t="s">
        <v>25</v>
      </c>
      <c r="H34" s="2" t="s">
        <v>20</v>
      </c>
      <c r="I34" s="2" t="s">
        <v>20</v>
      </c>
      <c r="J34" s="3">
        <f>VLOOKUP(B34,'[1]ca 2'!$E$2:$W$66,19,FALSE)</f>
        <v>3.5</v>
      </c>
      <c r="K34" s="3">
        <f>ROUND(VLOOKUP(B34,'[1]ca 2'!$E$2:$W$66,18,FALSE),1)</f>
        <v>3.2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9" x14ac:dyDescent="0.35">
      <c r="A35" s="2" t="s">
        <v>141</v>
      </c>
      <c r="B35" s="9">
        <v>24001966</v>
      </c>
      <c r="C35" s="2" t="s">
        <v>142</v>
      </c>
      <c r="D35" s="2" t="s">
        <v>143</v>
      </c>
      <c r="E35" s="2" t="s">
        <v>144</v>
      </c>
      <c r="F35" s="2" t="s">
        <v>24</v>
      </c>
      <c r="G35" s="2" t="s">
        <v>25</v>
      </c>
      <c r="H35" s="2" t="s">
        <v>20</v>
      </c>
      <c r="I35" s="2" t="s">
        <v>20</v>
      </c>
      <c r="J35" s="3">
        <f>VLOOKUP(B35,'[1]ca 2'!$E$2:$W$66,19,FALSE)</f>
        <v>8</v>
      </c>
      <c r="K35" s="3">
        <f>ROUND(VLOOKUP(B35,'[1]ca 2'!$E$2:$W$66,18,FALSE),1)</f>
        <v>5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9" x14ac:dyDescent="0.35">
      <c r="A36" s="2" t="s">
        <v>145</v>
      </c>
      <c r="B36" s="9">
        <v>24002020</v>
      </c>
      <c r="C36" s="2" t="s">
        <v>146</v>
      </c>
      <c r="D36" s="2" t="s">
        <v>147</v>
      </c>
      <c r="E36" s="2" t="s">
        <v>148</v>
      </c>
      <c r="F36" s="2" t="s">
        <v>24</v>
      </c>
      <c r="G36" s="2" t="s">
        <v>25</v>
      </c>
      <c r="H36" s="2" t="s">
        <v>20</v>
      </c>
      <c r="I36" s="2" t="s">
        <v>20</v>
      </c>
      <c r="J36" s="3">
        <f>VLOOKUP(B36,'[1]ca 2'!$E$2:$W$66,19,FALSE)</f>
        <v>9</v>
      </c>
      <c r="K36" s="3">
        <f>ROUND(VLOOKUP(B36,'[1]ca 2'!$E$2:$W$66,18,FALSE),1)</f>
        <v>8.1999999999999993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9" x14ac:dyDescent="0.35">
      <c r="A37" s="2" t="s">
        <v>149</v>
      </c>
      <c r="B37" s="9">
        <v>24002452</v>
      </c>
      <c r="C37" s="2" t="s">
        <v>150</v>
      </c>
      <c r="D37" s="2" t="s">
        <v>151</v>
      </c>
      <c r="E37" s="2" t="s">
        <v>152</v>
      </c>
      <c r="F37" s="2" t="s">
        <v>24</v>
      </c>
      <c r="G37" s="2" t="s">
        <v>25</v>
      </c>
      <c r="H37" s="2" t="s">
        <v>20</v>
      </c>
      <c r="I37" s="2" t="s">
        <v>20</v>
      </c>
      <c r="J37" s="3">
        <f>VLOOKUP(B37,'[1]ca 2'!$E$2:$W$66,19,FALSE)</f>
        <v>10</v>
      </c>
      <c r="K37" s="3">
        <f>ROUND(VLOOKUP(B37,'[1]ca 2'!$E$2:$W$66,18,FALSE),1)</f>
        <v>7.8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9" x14ac:dyDescent="0.35">
      <c r="A38" s="2" t="s">
        <v>153</v>
      </c>
      <c r="B38" s="9">
        <v>24002507</v>
      </c>
      <c r="C38" s="2" t="s">
        <v>53</v>
      </c>
      <c r="D38" s="2" t="s">
        <v>151</v>
      </c>
      <c r="E38" s="2" t="s">
        <v>154</v>
      </c>
      <c r="F38" s="2" t="s">
        <v>24</v>
      </c>
      <c r="G38" s="2" t="s">
        <v>25</v>
      </c>
      <c r="H38" s="2" t="s">
        <v>20</v>
      </c>
      <c r="I38" s="2" t="s">
        <v>20</v>
      </c>
      <c r="J38" s="3">
        <f>VLOOKUP(B38,'[1]ca 2'!$E$2:$W$66,19,FALSE)</f>
        <v>10</v>
      </c>
      <c r="K38" s="3">
        <f>ROUND(VLOOKUP(B38,'[1]ca 2'!$E$2:$W$66,18,FALSE),1)</f>
        <v>7.8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9" x14ac:dyDescent="0.35">
      <c r="A39" s="2" t="s">
        <v>155</v>
      </c>
      <c r="B39" s="9">
        <v>24002035</v>
      </c>
      <c r="C39" s="2" t="s">
        <v>156</v>
      </c>
      <c r="D39" s="2" t="s">
        <v>151</v>
      </c>
      <c r="E39" s="2" t="s">
        <v>157</v>
      </c>
      <c r="F39" s="2" t="s">
        <v>24</v>
      </c>
      <c r="G39" s="2" t="s">
        <v>25</v>
      </c>
      <c r="H39" s="2" t="s">
        <v>20</v>
      </c>
      <c r="I39" s="2" t="s">
        <v>20</v>
      </c>
      <c r="J39" s="3">
        <f>VLOOKUP(B39,'[1]ca 2'!$E$2:$W$66,19,FALSE)</f>
        <v>10</v>
      </c>
      <c r="K39" s="3">
        <f>ROUND(VLOOKUP(B39,'[1]ca 2'!$E$2:$W$66,18,FALSE),1)</f>
        <v>7.8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9" x14ac:dyDescent="0.35">
      <c r="A40" s="2" t="s">
        <v>158</v>
      </c>
      <c r="B40" s="9">
        <v>24001639</v>
      </c>
      <c r="C40" s="2" t="s">
        <v>159</v>
      </c>
      <c r="D40" s="2" t="s">
        <v>160</v>
      </c>
      <c r="E40" s="2" t="s">
        <v>161</v>
      </c>
      <c r="F40" s="2" t="s">
        <v>24</v>
      </c>
      <c r="G40" s="2" t="s">
        <v>25</v>
      </c>
      <c r="H40" s="2" t="s">
        <v>20</v>
      </c>
      <c r="I40" s="2" t="s">
        <v>20</v>
      </c>
      <c r="J40" s="3">
        <f>VLOOKUP(B40,'[1]ca 2'!$E$2:$W$66,19,FALSE)</f>
        <v>7.5</v>
      </c>
      <c r="K40" s="3">
        <f>ROUND(VLOOKUP(B40,'[1]ca 2'!$E$2:$W$66,18,FALSE),1)</f>
        <v>7.8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9" x14ac:dyDescent="0.35">
      <c r="A41" s="2" t="s">
        <v>162</v>
      </c>
      <c r="B41" s="9">
        <v>24001989</v>
      </c>
      <c r="C41" s="2" t="s">
        <v>163</v>
      </c>
      <c r="D41" s="2" t="s">
        <v>164</v>
      </c>
      <c r="E41" s="2" t="s">
        <v>165</v>
      </c>
      <c r="F41" s="2" t="s">
        <v>24</v>
      </c>
      <c r="G41" s="2" t="s">
        <v>25</v>
      </c>
      <c r="H41" s="2" t="s">
        <v>20</v>
      </c>
      <c r="I41" s="2" t="s">
        <v>20</v>
      </c>
      <c r="J41" s="3">
        <f>VLOOKUP(B41,'[1]ca 2'!$E$2:$W$66,19,FALSE)</f>
        <v>9</v>
      </c>
      <c r="K41" s="3">
        <f>ROUND(VLOOKUP(B41,'[1]ca 2'!$E$2:$W$66,18,FALSE),1)</f>
        <v>7.8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9" x14ac:dyDescent="0.35">
      <c r="A42" s="2" t="s">
        <v>166</v>
      </c>
      <c r="B42" s="9">
        <v>24000661</v>
      </c>
      <c r="C42" s="2" t="s">
        <v>167</v>
      </c>
      <c r="D42" s="2" t="s">
        <v>168</v>
      </c>
      <c r="E42" s="2" t="s">
        <v>169</v>
      </c>
      <c r="F42" s="2" t="s">
        <v>24</v>
      </c>
      <c r="G42" s="2" t="s">
        <v>25</v>
      </c>
      <c r="H42" s="2" t="s">
        <v>20</v>
      </c>
      <c r="I42" s="2" t="s">
        <v>20</v>
      </c>
      <c r="J42" s="3">
        <f>VLOOKUP(B42,'[1]ca 2'!$E$2:$W$66,19,FALSE)</f>
        <v>10</v>
      </c>
      <c r="K42" s="3">
        <f>ROUND(VLOOKUP(B42,'[1]ca 2'!$E$2:$W$66,18,FALSE),1)</f>
        <v>9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9" x14ac:dyDescent="0.35">
      <c r="A43" s="2" t="s">
        <v>170</v>
      </c>
      <c r="B43" s="9">
        <v>24002038</v>
      </c>
      <c r="C43" s="2" t="s">
        <v>171</v>
      </c>
      <c r="D43" s="2" t="s">
        <v>168</v>
      </c>
      <c r="E43" s="2" t="s">
        <v>172</v>
      </c>
      <c r="F43" s="2" t="s">
        <v>24</v>
      </c>
      <c r="G43" s="2" t="s">
        <v>25</v>
      </c>
      <c r="H43" s="2" t="s">
        <v>20</v>
      </c>
      <c r="I43" s="2" t="s">
        <v>20</v>
      </c>
      <c r="J43" s="3">
        <f>VLOOKUP(B43,'[1]ca 2'!$E$2:$W$66,19,FALSE)</f>
        <v>10</v>
      </c>
      <c r="K43" s="3">
        <f>ROUND(VLOOKUP(B43,'[1]ca 2'!$E$2:$W$66,18,FALSE),1)</f>
        <v>7.2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9" x14ac:dyDescent="0.35">
      <c r="A44" s="2" t="s">
        <v>173</v>
      </c>
      <c r="B44" s="9">
        <v>24002081</v>
      </c>
      <c r="C44" s="2" t="s">
        <v>174</v>
      </c>
      <c r="D44" s="2" t="s">
        <v>175</v>
      </c>
      <c r="E44" s="2" t="s">
        <v>176</v>
      </c>
      <c r="F44" s="2" t="s">
        <v>24</v>
      </c>
      <c r="G44" s="2" t="s">
        <v>25</v>
      </c>
      <c r="H44" s="2" t="s">
        <v>20</v>
      </c>
      <c r="I44" s="2" t="s">
        <v>20</v>
      </c>
      <c r="J44" s="3">
        <f>VLOOKUP(B44,'[1]ca 2'!$E$2:$W$66,19,FALSE)</f>
        <v>8.5</v>
      </c>
      <c r="K44" s="3">
        <f>ROUND(VLOOKUP(B44,'[1]ca 2'!$E$2:$W$66,18,FALSE),1)</f>
        <v>7.2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9" x14ac:dyDescent="0.35">
      <c r="A45" s="2" t="s">
        <v>177</v>
      </c>
      <c r="B45" s="9">
        <v>24001951</v>
      </c>
      <c r="C45" s="2" t="s">
        <v>178</v>
      </c>
      <c r="D45" s="2" t="s">
        <v>175</v>
      </c>
      <c r="E45" s="2" t="s">
        <v>179</v>
      </c>
      <c r="F45" s="2" t="s">
        <v>24</v>
      </c>
      <c r="G45" s="2" t="s">
        <v>25</v>
      </c>
      <c r="H45" s="2" t="s">
        <v>20</v>
      </c>
      <c r="I45" s="2" t="s">
        <v>20</v>
      </c>
      <c r="J45" s="3">
        <f>VLOOKUP(B45,'[1]ca 2'!$E$2:$W$66,19,FALSE)</f>
        <v>7</v>
      </c>
      <c r="K45" s="3">
        <f>ROUND(VLOOKUP(B45,'[1]ca 2'!$E$2:$W$66,18,FALSE),1)</f>
        <v>6.6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9" x14ac:dyDescent="0.35">
      <c r="A46" s="2" t="s">
        <v>180</v>
      </c>
      <c r="B46" s="9">
        <v>24003262</v>
      </c>
      <c r="C46" s="2" t="s">
        <v>33</v>
      </c>
      <c r="D46" s="2" t="s">
        <v>181</v>
      </c>
      <c r="E46" s="2" t="s">
        <v>182</v>
      </c>
      <c r="F46" s="2" t="s">
        <v>40</v>
      </c>
      <c r="G46" s="2" t="s">
        <v>25</v>
      </c>
      <c r="H46" s="2" t="s">
        <v>20</v>
      </c>
      <c r="I46" s="2" t="s">
        <v>20</v>
      </c>
      <c r="J46" s="3">
        <f>VLOOKUP(B46,'[1]ca 2'!$E$2:$W$66,19,FALSE)</f>
        <v>9</v>
      </c>
      <c r="K46" s="3">
        <f>ROUND(VLOOKUP(B46,'[1]ca 2'!$E$2:$W$66,18,FALSE),1)</f>
        <v>7.8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9" x14ac:dyDescent="0.35">
      <c r="A47" s="2" t="s">
        <v>183</v>
      </c>
      <c r="B47" s="9">
        <v>24002476</v>
      </c>
      <c r="C47" s="2" t="s">
        <v>184</v>
      </c>
      <c r="D47" s="2" t="s">
        <v>185</v>
      </c>
      <c r="E47" s="2" t="s">
        <v>186</v>
      </c>
      <c r="F47" s="2" t="s">
        <v>24</v>
      </c>
      <c r="G47" s="2" t="s">
        <v>25</v>
      </c>
      <c r="H47" s="2" t="s">
        <v>20</v>
      </c>
      <c r="I47" s="2" t="s">
        <v>20</v>
      </c>
      <c r="J47" s="3">
        <f>VLOOKUP(B47,'[1]ca 2'!$E$2:$W$66,19,FALSE)</f>
        <v>10</v>
      </c>
      <c r="K47" s="3">
        <f>ROUND(VLOOKUP(B47,'[1]ca 2'!$E$2:$W$66,18,FALSE),1)</f>
        <v>5.9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9" x14ac:dyDescent="0.35">
      <c r="A48" s="2" t="s">
        <v>187</v>
      </c>
      <c r="B48" s="9">
        <v>24003621</v>
      </c>
      <c r="C48" s="2" t="s">
        <v>188</v>
      </c>
      <c r="D48" s="2" t="s">
        <v>185</v>
      </c>
      <c r="E48" s="2" t="s">
        <v>189</v>
      </c>
      <c r="F48" s="2" t="s">
        <v>40</v>
      </c>
      <c r="G48" s="2" t="s">
        <v>25</v>
      </c>
      <c r="H48" s="2" t="s">
        <v>20</v>
      </c>
      <c r="I48" s="2" t="s">
        <v>20</v>
      </c>
      <c r="J48" s="3">
        <f>VLOOKUP(B48,'[1]ca 2'!$E$2:$W$66,19,FALSE)</f>
        <v>9</v>
      </c>
      <c r="K48" s="3">
        <f>ROUND(VLOOKUP(B48,'[1]ca 2'!$E$2:$W$66,18,FALSE),1)</f>
        <v>5.0999999999999996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9" x14ac:dyDescent="0.35">
      <c r="A49" s="2" t="s">
        <v>190</v>
      </c>
      <c r="B49" s="9">
        <v>24000574</v>
      </c>
      <c r="C49" s="2" t="s">
        <v>191</v>
      </c>
      <c r="D49" s="2" t="s">
        <v>185</v>
      </c>
      <c r="E49" s="2" t="s">
        <v>192</v>
      </c>
      <c r="F49" s="2" t="s">
        <v>24</v>
      </c>
      <c r="G49" s="2" t="s">
        <v>25</v>
      </c>
      <c r="H49" s="2" t="s">
        <v>20</v>
      </c>
      <c r="I49" s="2" t="s">
        <v>20</v>
      </c>
      <c r="J49" s="3">
        <f>VLOOKUP(B49,'[1]ca 2'!$E$2:$W$66,19,FALSE)</f>
        <v>9</v>
      </c>
      <c r="K49" s="3">
        <f>ROUND(VLOOKUP(B49,'[1]ca 2'!$E$2:$W$66,18,FALSE),1)</f>
        <v>6.1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9" x14ac:dyDescent="0.35">
      <c r="A50" s="2" t="s">
        <v>193</v>
      </c>
      <c r="B50" s="9">
        <v>24001609</v>
      </c>
      <c r="C50" s="2" t="s">
        <v>194</v>
      </c>
      <c r="D50" s="2" t="s">
        <v>195</v>
      </c>
      <c r="E50" s="2" t="s">
        <v>196</v>
      </c>
      <c r="F50" s="2" t="s">
        <v>24</v>
      </c>
      <c r="G50" s="2" t="s">
        <v>25</v>
      </c>
      <c r="H50" s="2" t="s">
        <v>20</v>
      </c>
      <c r="I50" s="2" t="s">
        <v>20</v>
      </c>
      <c r="J50" s="3">
        <f>VLOOKUP(B50,'[1]ca 2'!$E$2:$W$66,19,FALSE)</f>
        <v>9.5</v>
      </c>
      <c r="K50" s="3">
        <f>ROUND(VLOOKUP(B50,'[1]ca 2'!$E$2:$W$66,18,FALSE),1)</f>
        <v>5.5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9" x14ac:dyDescent="0.35">
      <c r="A51" s="2" t="s">
        <v>197</v>
      </c>
      <c r="B51" s="9">
        <v>24001660</v>
      </c>
      <c r="C51" s="2" t="s">
        <v>198</v>
      </c>
      <c r="D51" s="2" t="s">
        <v>199</v>
      </c>
      <c r="E51" s="2" t="s">
        <v>200</v>
      </c>
      <c r="F51" s="2" t="s">
        <v>24</v>
      </c>
      <c r="G51" s="2" t="s">
        <v>25</v>
      </c>
      <c r="H51" s="2" t="s">
        <v>20</v>
      </c>
      <c r="I51" s="2" t="s">
        <v>20</v>
      </c>
      <c r="J51" s="3">
        <f>VLOOKUP(B51,'[1]ca 2'!$E$2:$W$66,19,FALSE)</f>
        <v>10</v>
      </c>
      <c r="K51" s="3">
        <f>ROUND(VLOOKUP(B51,'[1]ca 2'!$E$2:$W$66,18,FALSE),1)</f>
        <v>6.1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9" x14ac:dyDescent="0.35">
      <c r="A52" s="2" t="s">
        <v>201</v>
      </c>
      <c r="B52" s="9">
        <v>24002230</v>
      </c>
      <c r="C52" s="2" t="s">
        <v>202</v>
      </c>
      <c r="D52" s="2" t="s">
        <v>203</v>
      </c>
      <c r="E52" s="2" t="s">
        <v>204</v>
      </c>
      <c r="F52" s="2" t="s">
        <v>24</v>
      </c>
      <c r="G52" s="2" t="s">
        <v>25</v>
      </c>
      <c r="H52" s="2" t="s">
        <v>20</v>
      </c>
      <c r="I52" s="2" t="s">
        <v>20</v>
      </c>
      <c r="J52" s="3">
        <f>VLOOKUP(B52,'[1]ca 2'!$E$2:$W$66,19,FALSE)</f>
        <v>10</v>
      </c>
      <c r="K52" s="3">
        <f>ROUND(VLOOKUP(B52,'[1]ca 2'!$E$2:$W$66,18,FALSE),1)</f>
        <v>6.1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43.5" x14ac:dyDescent="0.35">
      <c r="A53" s="2" t="s">
        <v>205</v>
      </c>
      <c r="B53" s="9">
        <v>24001955</v>
      </c>
      <c r="C53" s="2" t="s">
        <v>206</v>
      </c>
      <c r="D53" s="2" t="s">
        <v>207</v>
      </c>
      <c r="E53" s="2" t="s">
        <v>208</v>
      </c>
      <c r="F53" s="2" t="s">
        <v>24</v>
      </c>
      <c r="G53" s="2" t="s">
        <v>25</v>
      </c>
      <c r="H53" s="2" t="s">
        <v>20</v>
      </c>
      <c r="I53" s="2" t="s">
        <v>20</v>
      </c>
      <c r="J53" s="3">
        <f>VLOOKUP(B53,'[1]ca 2'!$E$2:$W$66,19,FALSE)</f>
        <v>9</v>
      </c>
      <c r="K53" s="3">
        <f>ROUND(VLOOKUP(B53,'[1]ca 2'!$E$2:$W$66,18,FALSE),1)</f>
        <v>5.9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9" x14ac:dyDescent="0.35">
      <c r="A54" s="2" t="s">
        <v>209</v>
      </c>
      <c r="B54" s="9">
        <v>24001796</v>
      </c>
      <c r="C54" s="2" t="s">
        <v>210</v>
      </c>
      <c r="D54" s="2" t="s">
        <v>211</v>
      </c>
      <c r="E54" s="2" t="s">
        <v>212</v>
      </c>
      <c r="F54" s="2" t="s">
        <v>24</v>
      </c>
      <c r="G54" s="2" t="s">
        <v>25</v>
      </c>
      <c r="H54" s="2" t="s">
        <v>20</v>
      </c>
      <c r="I54" s="2" t="s">
        <v>20</v>
      </c>
      <c r="J54" s="3">
        <f>VLOOKUP(B54,'[1]ca 2'!$E$2:$W$66,19,FALSE)</f>
        <v>4.5</v>
      </c>
      <c r="K54" s="3">
        <f>ROUND(VLOOKUP(B54,'[1]ca 2'!$E$2:$W$66,18,FALSE),1)</f>
        <v>3.6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9" x14ac:dyDescent="0.35">
      <c r="A55" s="2" t="s">
        <v>213</v>
      </c>
      <c r="B55" s="9">
        <v>24002519</v>
      </c>
      <c r="C55" s="2" t="s">
        <v>214</v>
      </c>
      <c r="D55" s="2" t="s">
        <v>215</v>
      </c>
      <c r="E55" s="2" t="s">
        <v>216</v>
      </c>
      <c r="F55" s="2" t="s">
        <v>24</v>
      </c>
      <c r="G55" s="2" t="s">
        <v>25</v>
      </c>
      <c r="H55" s="2" t="s">
        <v>20</v>
      </c>
      <c r="I55" s="2" t="s">
        <v>20</v>
      </c>
      <c r="J55" s="3">
        <f>VLOOKUP(B55,'[1]ca 2'!$E$2:$W$66,19,FALSE)</f>
        <v>9</v>
      </c>
      <c r="K55" s="3">
        <f>ROUND(VLOOKUP(B55,'[1]ca 2'!$E$2:$W$66,18,FALSE),1)</f>
        <v>4.9000000000000004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9" x14ac:dyDescent="0.35">
      <c r="A56" s="2" t="s">
        <v>217</v>
      </c>
      <c r="B56" s="9">
        <v>24002547</v>
      </c>
      <c r="C56" s="2" t="s">
        <v>218</v>
      </c>
      <c r="D56" s="2" t="s">
        <v>219</v>
      </c>
      <c r="E56" s="2" t="s">
        <v>70</v>
      </c>
      <c r="F56" s="2" t="s">
        <v>24</v>
      </c>
      <c r="G56" s="2" t="s">
        <v>25</v>
      </c>
      <c r="H56" s="2" t="s">
        <v>20</v>
      </c>
      <c r="I56" s="2" t="s">
        <v>20</v>
      </c>
      <c r="J56" s="3">
        <f>VLOOKUP(B56,'[1]ca 2'!$E$2:$W$66,19,FALSE)</f>
        <v>9</v>
      </c>
      <c r="K56" s="3">
        <f>ROUND(VLOOKUP(B56,'[1]ca 2'!$E$2:$W$66,18,FALSE),1)</f>
        <v>5.9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9" x14ac:dyDescent="0.35">
      <c r="A57" s="2" t="s">
        <v>220</v>
      </c>
      <c r="B57" s="9">
        <v>24000846</v>
      </c>
      <c r="C57" s="2" t="s">
        <v>214</v>
      </c>
      <c r="D57" s="2" t="s">
        <v>221</v>
      </c>
      <c r="E57" s="2" t="s">
        <v>152</v>
      </c>
      <c r="F57" s="2" t="s">
        <v>24</v>
      </c>
      <c r="G57" s="2" t="s">
        <v>25</v>
      </c>
      <c r="H57" s="2" t="s">
        <v>20</v>
      </c>
      <c r="I57" s="2" t="s">
        <v>20</v>
      </c>
      <c r="J57" s="3">
        <f>VLOOKUP(B57,'[1]ca 2'!$E$2:$W$66,19,FALSE)</f>
        <v>9.5</v>
      </c>
      <c r="K57" s="3">
        <f>ROUND(VLOOKUP(B57,'[1]ca 2'!$E$2:$W$66,18,FALSE),1)</f>
        <v>7.5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9" x14ac:dyDescent="0.35">
      <c r="A58" s="2" t="s">
        <v>222</v>
      </c>
      <c r="B58" s="9">
        <v>24002258</v>
      </c>
      <c r="C58" s="2" t="s">
        <v>223</v>
      </c>
      <c r="D58" s="2" t="s">
        <v>224</v>
      </c>
      <c r="E58" s="2" t="s">
        <v>225</v>
      </c>
      <c r="F58" s="2" t="s">
        <v>24</v>
      </c>
      <c r="G58" s="2" t="s">
        <v>25</v>
      </c>
      <c r="H58" s="2" t="s">
        <v>20</v>
      </c>
      <c r="I58" s="2" t="s">
        <v>20</v>
      </c>
      <c r="J58" s="3">
        <f>VLOOKUP(B58,'[1]ca 2'!$E$2:$W$66,19,FALSE)</f>
        <v>7.5</v>
      </c>
      <c r="K58" s="3">
        <f>ROUND(VLOOKUP(B58,'[1]ca 2'!$E$2:$W$66,18,FALSE),1)</f>
        <v>7.5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9" x14ac:dyDescent="0.35">
      <c r="A59" s="2" t="s">
        <v>226</v>
      </c>
      <c r="B59" s="9">
        <v>24002448</v>
      </c>
      <c r="C59" s="2" t="s">
        <v>227</v>
      </c>
      <c r="D59" s="2" t="s">
        <v>228</v>
      </c>
      <c r="E59" s="2" t="s">
        <v>229</v>
      </c>
      <c r="F59" s="2" t="s">
        <v>24</v>
      </c>
      <c r="G59" s="2" t="s">
        <v>25</v>
      </c>
      <c r="H59" s="2" t="s">
        <v>20</v>
      </c>
      <c r="I59" s="2" t="s">
        <v>20</v>
      </c>
      <c r="J59" s="3">
        <f>VLOOKUP(B59,'[1]ca 2'!$E$2:$W$66,19,FALSE)</f>
        <v>10</v>
      </c>
      <c r="K59" s="3">
        <f>ROUND(VLOOKUP(B59,'[1]ca 2'!$E$2:$W$66,18,FALSE),1)</f>
        <v>7.5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9" x14ac:dyDescent="0.35">
      <c r="A60" s="2" t="s">
        <v>230</v>
      </c>
      <c r="B60" s="9">
        <v>24001669</v>
      </c>
      <c r="C60" s="2" t="s">
        <v>231</v>
      </c>
      <c r="D60" s="2" t="s">
        <v>232</v>
      </c>
      <c r="E60" s="2" t="s">
        <v>233</v>
      </c>
      <c r="F60" s="2" t="s">
        <v>24</v>
      </c>
      <c r="G60" s="2" t="s">
        <v>25</v>
      </c>
      <c r="H60" s="2" t="s">
        <v>20</v>
      </c>
      <c r="I60" s="2" t="s">
        <v>20</v>
      </c>
      <c r="J60" s="3">
        <f>VLOOKUP(B60,'[1]ca 2'!$E$2:$W$66,19,FALSE)</f>
        <v>8</v>
      </c>
      <c r="K60" s="3">
        <f>ROUND(VLOOKUP(B60,'[1]ca 2'!$E$2:$W$66,18,FALSE),1)</f>
        <v>7.5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9" x14ac:dyDescent="0.35">
      <c r="A61" s="2" t="s">
        <v>234</v>
      </c>
      <c r="B61" s="9">
        <v>24002117</v>
      </c>
      <c r="C61" s="2" t="s">
        <v>235</v>
      </c>
      <c r="D61" s="2" t="s">
        <v>236</v>
      </c>
      <c r="E61" s="2" t="s">
        <v>237</v>
      </c>
      <c r="F61" s="2" t="s">
        <v>24</v>
      </c>
      <c r="G61" s="2" t="s">
        <v>25</v>
      </c>
      <c r="H61" s="2" t="s">
        <v>20</v>
      </c>
      <c r="I61" s="2" t="s">
        <v>20</v>
      </c>
      <c r="J61" s="3">
        <f>VLOOKUP(B61,'[1]ca 2'!$E$2:$W$66,19,FALSE)</f>
        <v>7</v>
      </c>
      <c r="K61" s="3">
        <f>ROUND(VLOOKUP(B61,'[1]ca 2'!$E$2:$W$66,18,FALSE),1)</f>
        <v>6.6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9" x14ac:dyDescent="0.35">
      <c r="A62" s="2" t="s">
        <v>238</v>
      </c>
      <c r="B62" s="9">
        <v>24000666</v>
      </c>
      <c r="C62" s="2" t="s">
        <v>239</v>
      </c>
      <c r="D62" s="2" t="s">
        <v>240</v>
      </c>
      <c r="E62" s="2" t="s">
        <v>44</v>
      </c>
      <c r="F62" s="2" t="s">
        <v>24</v>
      </c>
      <c r="G62" s="2" t="s">
        <v>25</v>
      </c>
      <c r="H62" s="2" t="s">
        <v>20</v>
      </c>
      <c r="I62" s="2" t="s">
        <v>20</v>
      </c>
      <c r="J62" s="3">
        <f>VLOOKUP(B62,'[1]ca 2'!$E$2:$W$66,19,FALSE)</f>
        <v>10</v>
      </c>
      <c r="K62" s="3">
        <f>ROUND(VLOOKUP(B62,'[1]ca 2'!$E$2:$W$66,18,FALSE),1)</f>
        <v>7.5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9" x14ac:dyDescent="0.35">
      <c r="A63" s="2" t="s">
        <v>241</v>
      </c>
      <c r="B63" s="9">
        <v>24001957</v>
      </c>
      <c r="C63" s="2" t="s">
        <v>242</v>
      </c>
      <c r="D63" s="2" t="s">
        <v>243</v>
      </c>
      <c r="E63" s="2" t="s">
        <v>233</v>
      </c>
      <c r="F63" s="2" t="s">
        <v>24</v>
      </c>
      <c r="G63" s="2" t="s">
        <v>25</v>
      </c>
      <c r="H63" s="2" t="s">
        <v>20</v>
      </c>
      <c r="I63" s="2" t="s">
        <v>20</v>
      </c>
      <c r="J63" s="3">
        <f>VLOOKUP(B63,'[1]ca 2'!$E$2:$W$66,19,FALSE)</f>
        <v>9.5</v>
      </c>
      <c r="K63" s="3">
        <f>ROUND(VLOOKUP(B63,'[1]ca 2'!$E$2:$W$66,18,FALSE),1)</f>
        <v>6.5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9" x14ac:dyDescent="0.35">
      <c r="A64" s="2" t="s">
        <v>244</v>
      </c>
      <c r="B64" s="9">
        <v>24002504</v>
      </c>
      <c r="C64" s="2" t="s">
        <v>245</v>
      </c>
      <c r="D64" s="2" t="s">
        <v>246</v>
      </c>
      <c r="E64" s="2" t="s">
        <v>247</v>
      </c>
      <c r="F64" s="2" t="s">
        <v>24</v>
      </c>
      <c r="G64" s="2" t="s">
        <v>25</v>
      </c>
      <c r="H64" s="2" t="s">
        <v>20</v>
      </c>
      <c r="I64" s="2" t="s">
        <v>20</v>
      </c>
      <c r="J64" s="3">
        <f>VLOOKUP(B64,'[1]ca 2'!$E$2:$W$66,19,FALSE)</f>
        <v>10</v>
      </c>
      <c r="K64" s="3">
        <f>ROUND(VLOOKUP(B64,'[1]ca 2'!$E$2:$W$66,18,FALSE),1)</f>
        <v>7.5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9" x14ac:dyDescent="0.35">
      <c r="A65" s="2" t="s">
        <v>248</v>
      </c>
      <c r="B65" s="9">
        <v>24002551</v>
      </c>
      <c r="C65" s="2" t="s">
        <v>249</v>
      </c>
      <c r="D65" s="2" t="s">
        <v>250</v>
      </c>
      <c r="E65" s="2" t="s">
        <v>251</v>
      </c>
      <c r="F65" s="2" t="s">
        <v>24</v>
      </c>
      <c r="G65" s="2" t="s">
        <v>25</v>
      </c>
      <c r="H65" s="2" t="s">
        <v>20</v>
      </c>
      <c r="I65" s="2" t="s">
        <v>20</v>
      </c>
      <c r="J65" s="3">
        <f>VLOOKUP(B65,'[1]ca 2'!$E$2:$W$66,19,FALSE)</f>
        <v>10</v>
      </c>
      <c r="K65" s="3">
        <f>ROUND(VLOOKUP(B65,'[1]ca 2'!$E$2:$W$66,18,FALSE),1)</f>
        <v>7.5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9" x14ac:dyDescent="0.35">
      <c r="A66" s="2" t="s">
        <v>252</v>
      </c>
      <c r="B66" s="9">
        <v>24001577</v>
      </c>
      <c r="C66" s="2" t="s">
        <v>253</v>
      </c>
      <c r="D66" s="2" t="s">
        <v>254</v>
      </c>
      <c r="E66" s="2" t="s">
        <v>255</v>
      </c>
      <c r="F66" s="2" t="s">
        <v>24</v>
      </c>
      <c r="G66" s="2" t="s">
        <v>25</v>
      </c>
      <c r="H66" s="2" t="s">
        <v>20</v>
      </c>
      <c r="I66" s="2" t="s">
        <v>20</v>
      </c>
      <c r="J66" s="3">
        <f>VLOOKUP(B66,'[1]ca 2'!$E$2:$W$66,19,FALSE)</f>
        <v>6</v>
      </c>
      <c r="K66" s="3">
        <f>ROUND(VLOOKUP(B66,'[1]ca 2'!$E$2:$W$66,18,FALSE),1)</f>
        <v>5.6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9" x14ac:dyDescent="0.35">
      <c r="A67" s="2" t="s">
        <v>256</v>
      </c>
      <c r="B67" s="9">
        <v>24002109</v>
      </c>
      <c r="C67" s="2" t="s">
        <v>257</v>
      </c>
      <c r="D67" s="2" t="s">
        <v>258</v>
      </c>
      <c r="E67" s="2" t="s">
        <v>31</v>
      </c>
      <c r="F67" s="2" t="s">
        <v>24</v>
      </c>
      <c r="G67" s="2" t="s">
        <v>25</v>
      </c>
      <c r="H67" s="2" t="s">
        <v>20</v>
      </c>
      <c r="I67" s="2" t="s">
        <v>20</v>
      </c>
      <c r="J67" s="3">
        <f>VLOOKUP(B67,'[1]ca 2'!$E$2:$W$66,19,FALSE)</f>
        <v>9</v>
      </c>
      <c r="K67" s="3">
        <f>ROUND(VLOOKUP(B67,'[1]ca 2'!$E$2:$W$66,18,FALSE),1)</f>
        <v>7.5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S1:S2"/>
    <mergeCell ref="E1:E2"/>
    <mergeCell ref="J1:L1"/>
    <mergeCell ref="N1:N2"/>
    <mergeCell ref="P1:P2"/>
    <mergeCell ref="R1:R2"/>
    <mergeCell ref="B1:B2"/>
    <mergeCell ref="D1:D2"/>
    <mergeCell ref="F1:F2"/>
    <mergeCell ref="M1:M2"/>
    <mergeCell ref="O1:O2"/>
    <mergeCell ref="Q1:Q2"/>
    <mergeCell ref="A1:A2"/>
    <mergeCell ref="C1:C2"/>
    <mergeCell ref="G1:G2"/>
    <mergeCell ref="H1:H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Nhung Nguyen</cp:lastModifiedBy>
  <dcterms:modified xsi:type="dcterms:W3CDTF">2026-04-23T04:14:58Z</dcterms:modified>
</cp:coreProperties>
</file>