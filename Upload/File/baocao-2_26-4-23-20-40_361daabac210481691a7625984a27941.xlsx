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E88F8C80-A310-2A47-B166-27043997A0B1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tblNhapDiem_0_0_66_18_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3" i="1"/>
  <c r="J4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4" i="1"/>
  <c r="J35" i="1"/>
  <c r="J36" i="1"/>
  <c r="J37" i="1"/>
  <c r="J38" i="1"/>
  <c r="J39" i="1"/>
  <c r="J40" i="1"/>
  <c r="J41" i="1"/>
  <c r="J42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6" i="1"/>
  <c r="J67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2f3a498f475549debcd73f15b0870b9b</t>
        </r>
      </text>
    </comment>
  </commentList>
</comments>
</file>

<file path=xl/sharedStrings.xml><?xml version="1.0" encoding="utf-8"?>
<sst xmlns="http://schemas.openxmlformats.org/spreadsheetml/2006/main" count="1125" uniqueCount="313">
  <si>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</si>
  <si>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</si>
  <si>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</si>
  <si>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</si>
  <si>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</si>
  <si>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</si>
  <si>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</si>
  <si>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</si>
  <si>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</si>
  <si>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KNĐP.12.K16.01.LH.C37.1_LT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</si>
  <si>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</si>
  <si>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</si>
  <si>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</si>
  <si>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</si>
  <si>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</si>
  <si>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</si>
  <si>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</si>
  <si>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</si>
  <si>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</si>
  <si>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</si>
  <si>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</si>
  <si>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25002602</t>
  </si>
  <si>
    <t>Ngô Thị Minh</t>
  </si>
  <si>
    <t>An</t>
  </si>
  <si>
    <t>06/08/2007</t>
  </si>
  <si>
    <t>DCQTNL.16.1</t>
  </si>
  <si>
    <t/>
  </si>
  <si>
    <t>2</t>
  </si>
  <si>
    <t>25001628</t>
  </si>
  <si>
    <t>Nguyễn Hoàng</t>
  </si>
  <si>
    <t>Anh</t>
  </si>
  <si>
    <t>21/08/2007</t>
  </si>
  <si>
    <t>3</t>
  </si>
  <si>
    <t>25001490</t>
  </si>
  <si>
    <t>Nguyễn Thị Lan</t>
  </si>
  <si>
    <t>11/04/2007</t>
  </si>
  <si>
    <t>4</t>
  </si>
  <si>
    <t>25001612</t>
  </si>
  <si>
    <t>Tạ Thị Nam</t>
  </si>
  <si>
    <t>21/06/2007</t>
  </si>
  <si>
    <t>5</t>
  </si>
  <si>
    <t>25002533</t>
  </si>
  <si>
    <t>Nguyễn Thị</t>
  </si>
  <si>
    <t>Bình</t>
  </si>
  <si>
    <t>23/10/2007</t>
  </si>
  <si>
    <t>6</t>
  </si>
  <si>
    <t>25002629</t>
  </si>
  <si>
    <t>Phan Tuấn</t>
  </si>
  <si>
    <t>Cảnh</t>
  </si>
  <si>
    <t>27/11/2007</t>
  </si>
  <si>
    <t>7</t>
  </si>
  <si>
    <t>25001169</t>
  </si>
  <si>
    <t>Lê Huyền</t>
  </si>
  <si>
    <t>Chi</t>
  </si>
  <si>
    <t>29/10/2007</t>
  </si>
  <si>
    <t>8</t>
  </si>
  <si>
    <t>24002779</t>
  </si>
  <si>
    <t>Nguyễn Việt</t>
  </si>
  <si>
    <t>Chiến</t>
  </si>
  <si>
    <t>01/11/2006</t>
  </si>
  <si>
    <t>DCQTNL.16.2</t>
  </si>
  <si>
    <t>9</t>
  </si>
  <si>
    <t>25002634</t>
  </si>
  <si>
    <t>Nguyễn Đặng Công</t>
  </si>
  <si>
    <t>Chứ</t>
  </si>
  <si>
    <t>17/12/2007</t>
  </si>
  <si>
    <t>10</t>
  </si>
  <si>
    <t>25000460</t>
  </si>
  <si>
    <t>Lê Yến</t>
  </si>
  <si>
    <t>Diệp</t>
  </si>
  <si>
    <t>09/09/2007</t>
  </si>
  <si>
    <t>11</t>
  </si>
  <si>
    <t>25001484</t>
  </si>
  <si>
    <t>Phạm Thị Kim</t>
  </si>
  <si>
    <t>Dung</t>
  </si>
  <si>
    <t>31/05/2007</t>
  </si>
  <si>
    <t>12</t>
  </si>
  <si>
    <t>25001585</t>
  </si>
  <si>
    <t>Duyên</t>
  </si>
  <si>
    <t>07/03/2007</t>
  </si>
  <si>
    <t>13</t>
  </si>
  <si>
    <t>25000019</t>
  </si>
  <si>
    <t>Hoàng Văn</t>
  </si>
  <si>
    <t>Đức</t>
  </si>
  <si>
    <t>30/05/2007</t>
  </si>
  <si>
    <t>14</t>
  </si>
  <si>
    <t>25002425</t>
  </si>
  <si>
    <t>Ngô Thị Hải</t>
  </si>
  <si>
    <t>Hà</t>
  </si>
  <si>
    <t>01/09/2007</t>
  </si>
  <si>
    <t>15</t>
  </si>
  <si>
    <t>25002096</t>
  </si>
  <si>
    <t>Nguyễn Thị Thu</t>
  </si>
  <si>
    <t>21/07/2007</t>
  </si>
  <si>
    <t>16</t>
  </si>
  <si>
    <t>25002819</t>
  </si>
  <si>
    <t>Hằng</t>
  </si>
  <si>
    <t>19/04/2007</t>
  </si>
  <si>
    <t>17</t>
  </si>
  <si>
    <t>25000321</t>
  </si>
  <si>
    <t>Phạm Thị Băng</t>
  </si>
  <si>
    <t>Hoa</t>
  </si>
  <si>
    <t>12/04/2007</t>
  </si>
  <si>
    <t>18</t>
  </si>
  <si>
    <t>25000854</t>
  </si>
  <si>
    <t>Nguyễn Quang</t>
  </si>
  <si>
    <t>Hòa</t>
  </si>
  <si>
    <t>24/11/2007</t>
  </si>
  <si>
    <t>19</t>
  </si>
  <si>
    <t>25002254</t>
  </si>
  <si>
    <t>Trần Thị</t>
  </si>
  <si>
    <t>Hoài</t>
  </si>
  <si>
    <t>04/10/2007</t>
  </si>
  <si>
    <t>20</t>
  </si>
  <si>
    <t>25002357</t>
  </si>
  <si>
    <t>Nguyễn Thị Bích</t>
  </si>
  <si>
    <t>Hồng</t>
  </si>
  <si>
    <t>12/12/2007</t>
  </si>
  <si>
    <t>21</t>
  </si>
  <si>
    <t>25002636</t>
  </si>
  <si>
    <t>Đinh Đức</t>
  </si>
  <si>
    <t>Huy</t>
  </si>
  <si>
    <t>07/02/2007</t>
  </si>
  <si>
    <t>22</t>
  </si>
  <si>
    <t>25000935</t>
  </si>
  <si>
    <t>Nguyễn Thị Hoài</t>
  </si>
  <si>
    <t>Hương</t>
  </si>
  <si>
    <t>25/11/2007</t>
  </si>
  <si>
    <t>23</t>
  </si>
  <si>
    <t>25003334</t>
  </si>
  <si>
    <t>Nguyễn Đinh Đan</t>
  </si>
  <si>
    <t>Khánh</t>
  </si>
  <si>
    <t>15/10/2007</t>
  </si>
  <si>
    <t>24</t>
  </si>
  <si>
    <t>25001356</t>
  </si>
  <si>
    <t>Lê Thị Khánh</t>
  </si>
  <si>
    <t>Linh</t>
  </si>
  <si>
    <t>25</t>
  </si>
  <si>
    <t>25002500</t>
  </si>
  <si>
    <t>Nguyễn Thị Thùy</t>
  </si>
  <si>
    <t>10/03/2007</t>
  </si>
  <si>
    <t>26</t>
  </si>
  <si>
    <t>25002735</t>
  </si>
  <si>
    <t>Phạm Thị Thùy</t>
  </si>
  <si>
    <t>27</t>
  </si>
  <si>
    <t>25000894</t>
  </si>
  <si>
    <t>Trần Ngọc Bảo</t>
  </si>
  <si>
    <t>08/12/2007</t>
  </si>
  <si>
    <t>28</t>
  </si>
  <si>
    <t>25002422</t>
  </si>
  <si>
    <t>Hầu Thị</t>
  </si>
  <si>
    <t>Ly</t>
  </si>
  <si>
    <t>10/03/2006</t>
  </si>
  <si>
    <t>29</t>
  </si>
  <si>
    <t>25000848</t>
  </si>
  <si>
    <t>Ngô Thị Hoa</t>
  </si>
  <si>
    <t>Mai</t>
  </si>
  <si>
    <t>26/04/2007</t>
  </si>
  <si>
    <t>30</t>
  </si>
  <si>
    <t>25001681</t>
  </si>
  <si>
    <t>Nguyễn Thị Tuyết</t>
  </si>
  <si>
    <t>31</t>
  </si>
  <si>
    <t>25001752</t>
  </si>
  <si>
    <t>Nguyễn Đức</t>
  </si>
  <si>
    <t>Mạnh</t>
  </si>
  <si>
    <t>28/07/2007</t>
  </si>
  <si>
    <t>32</t>
  </si>
  <si>
    <t>25003208</t>
  </si>
  <si>
    <t>Minh</t>
  </si>
  <si>
    <t>02/05/2007</t>
  </si>
  <si>
    <t>33</t>
  </si>
  <si>
    <t>25002520</t>
  </si>
  <si>
    <t>Bùi Trà</t>
  </si>
  <si>
    <t>My</t>
  </si>
  <si>
    <t>19/10/2007</t>
  </si>
  <si>
    <t>34</t>
  </si>
  <si>
    <t>25003647</t>
  </si>
  <si>
    <t>Ngô Kiều</t>
  </si>
  <si>
    <t>24/10/2007</t>
  </si>
  <si>
    <t>35</t>
  </si>
  <si>
    <t>25001534</t>
  </si>
  <si>
    <t>Phạm Xuân</t>
  </si>
  <si>
    <t>Nghiệp</t>
  </si>
  <si>
    <t>19/12/2007</t>
  </si>
  <si>
    <t>36</t>
  </si>
  <si>
    <t>25002653</t>
  </si>
  <si>
    <t>Đồng Kim</t>
  </si>
  <si>
    <t>Ngọc</t>
  </si>
  <si>
    <t>02/06/2007</t>
  </si>
  <si>
    <t>37</t>
  </si>
  <si>
    <t>25000850</t>
  </si>
  <si>
    <t>Nguyễn Thị Kim</t>
  </si>
  <si>
    <t>Nhã</t>
  </si>
  <si>
    <t>15/11/2007</t>
  </si>
  <si>
    <t>38</t>
  </si>
  <si>
    <t>25001021</t>
  </si>
  <si>
    <t>Đỗ Yến</t>
  </si>
  <si>
    <t>Nhi</t>
  </si>
  <si>
    <t>30/04/2007</t>
  </si>
  <si>
    <t>39</t>
  </si>
  <si>
    <t>25001852</t>
  </si>
  <si>
    <t>Nhung</t>
  </si>
  <si>
    <t>18/08/2007</t>
  </si>
  <si>
    <t>40</t>
  </si>
  <si>
    <t>25000151</t>
  </si>
  <si>
    <t>04/03/2007</t>
  </si>
  <si>
    <t>41</t>
  </si>
  <si>
    <t>25002518</t>
  </si>
  <si>
    <t>Hà Ngọc</t>
  </si>
  <si>
    <t>Phú</t>
  </si>
  <si>
    <t>42</t>
  </si>
  <si>
    <t>25000586</t>
  </si>
  <si>
    <t>Nguyễn Tú</t>
  </si>
  <si>
    <t>Phương</t>
  </si>
  <si>
    <t>25/09/2007</t>
  </si>
  <si>
    <t>43</t>
  </si>
  <si>
    <t>25000877</t>
  </si>
  <si>
    <t>Phạm Thu</t>
  </si>
  <si>
    <t>44</t>
  </si>
  <si>
    <t>25003076</t>
  </si>
  <si>
    <t>Phượng</t>
  </si>
  <si>
    <t>20/12/2007</t>
  </si>
  <si>
    <t>45</t>
  </si>
  <si>
    <t>25000091</t>
  </si>
  <si>
    <t>Dương Văn</t>
  </si>
  <si>
    <t>Quân</t>
  </si>
  <si>
    <t>03/02/2007</t>
  </si>
  <si>
    <t>46</t>
  </si>
  <si>
    <t>25001907</t>
  </si>
  <si>
    <t>Lê Thị Như</t>
  </si>
  <si>
    <t>Quỳnh</t>
  </si>
  <si>
    <t>27/07/2007</t>
  </si>
  <si>
    <t>47</t>
  </si>
  <si>
    <t>25001284</t>
  </si>
  <si>
    <t>Tâm</t>
  </si>
  <si>
    <t>28/11/2007</t>
  </si>
  <si>
    <t>48</t>
  </si>
  <si>
    <t>25001884</t>
  </si>
  <si>
    <t>Vũ Thị Thanh</t>
  </si>
  <si>
    <t>49</t>
  </si>
  <si>
    <t>25003445</t>
  </si>
  <si>
    <t>Mai Phương</t>
  </si>
  <si>
    <t>Thảo</t>
  </si>
  <si>
    <t>50</t>
  </si>
  <si>
    <t>25002618</t>
  </si>
  <si>
    <t>Ngô Phương</t>
  </si>
  <si>
    <t>12/03/2007</t>
  </si>
  <si>
    <t>51</t>
  </si>
  <si>
    <t>25003629</t>
  </si>
  <si>
    <t>28/03/2007</t>
  </si>
  <si>
    <t>52</t>
  </si>
  <si>
    <t>25003163</t>
  </si>
  <si>
    <t>Thắng</t>
  </si>
  <si>
    <t>29/10/2005</t>
  </si>
  <si>
    <t>53</t>
  </si>
  <si>
    <t>25001923</t>
  </si>
  <si>
    <t>Nguyễn Nguyên</t>
  </si>
  <si>
    <t>Thông</t>
  </si>
  <si>
    <t>03/01/2007</t>
  </si>
  <si>
    <t>54</t>
  </si>
  <si>
    <t>25000940</t>
  </si>
  <si>
    <t>Lê Thị Anh</t>
  </si>
  <si>
    <t>Thư</t>
  </si>
  <si>
    <t>13/08/2007</t>
  </si>
  <si>
    <t>55</t>
  </si>
  <si>
    <t>25003131</t>
  </si>
  <si>
    <t>Nguyễn Anh</t>
  </si>
  <si>
    <t>21/02/2007</t>
  </si>
  <si>
    <t>56</t>
  </si>
  <si>
    <t>25000480</t>
  </si>
  <si>
    <t>Nguyễn Thị Thủy</t>
  </si>
  <si>
    <t>Tiên</t>
  </si>
  <si>
    <t>19/08/2007</t>
  </si>
  <si>
    <t>57</t>
  </si>
  <si>
    <t>25001291</t>
  </si>
  <si>
    <t>Mai Hoàng Hương</t>
  </si>
  <si>
    <t>Trà</t>
  </si>
  <si>
    <t>58</t>
  </si>
  <si>
    <t>25000820</t>
  </si>
  <si>
    <t>Nguyễn Thị Huyền</t>
  </si>
  <si>
    <t>Trang</t>
  </si>
  <si>
    <t>28/10/2007</t>
  </si>
  <si>
    <t>59</t>
  </si>
  <si>
    <t>25002099</t>
  </si>
  <si>
    <t>26/05/2007</t>
  </si>
  <si>
    <t>60</t>
  </si>
  <si>
    <t>25001713</t>
  </si>
  <si>
    <t>Vũ Sỹ</t>
  </si>
  <si>
    <t>Tú</t>
  </si>
  <si>
    <t>23/04/2007</t>
  </si>
  <si>
    <t>61</t>
  </si>
  <si>
    <t>25002243</t>
  </si>
  <si>
    <t>Phan Tố</t>
  </si>
  <si>
    <t>Uyên</t>
  </si>
  <si>
    <t>10/05/2007</t>
  </si>
  <si>
    <t>62</t>
  </si>
  <si>
    <t>25001704</t>
  </si>
  <si>
    <t>Lê Thị Thảo</t>
  </si>
  <si>
    <t>Vân</t>
  </si>
  <si>
    <t>11/10/2007</t>
  </si>
  <si>
    <t>63</t>
  </si>
  <si>
    <t>25002769</t>
  </si>
  <si>
    <t>Nguyễn Thị Thảo</t>
  </si>
  <si>
    <t>21/09/2007</t>
  </si>
  <si>
    <t>64</t>
  </si>
  <si>
    <t>25003548</t>
  </si>
  <si>
    <t>Phạm Thị Hoàng</t>
  </si>
  <si>
    <t>Vi</t>
  </si>
  <si>
    <t>05/07/2007</t>
  </si>
  <si>
    <t>65</t>
  </si>
  <si>
    <t>25001532</t>
  </si>
  <si>
    <t>Phan Văn</t>
  </si>
  <si>
    <t>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</si>
</sst>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c/Downloads/KNDP%2016.1.xlsx" TargetMode="External"/><Relationship Id="rId1" Type="http://schemas.openxmlformats.org/officeDocument/2006/relationships/externalLinkPath" Target="KNDP%2016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eo dõi học tập"/>
      <sheetName val="Sheet1"/>
    </sheetNames>
    <sheetDataSet>
      <sheetData sheetId="0">
        <row r="10">
          <cell r="B10" t="str">
            <v>25002602</v>
          </cell>
          <cell r="C10" t="str">
            <v>Ngô Thị Minh An</v>
          </cell>
          <cell r="D10" t="str">
            <v>x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P</v>
          </cell>
          <cell r="K10" t="str">
            <v>x</v>
          </cell>
          <cell r="L10" t="str">
            <v>x</v>
          </cell>
          <cell r="M10" t="str">
            <v>x</v>
          </cell>
          <cell r="N10">
            <v>8</v>
          </cell>
          <cell r="O10">
            <v>1</v>
          </cell>
          <cell r="P10">
            <v>0</v>
          </cell>
          <cell r="Q10">
            <v>0</v>
          </cell>
          <cell r="R10">
            <v>9.5</v>
          </cell>
          <cell r="S10">
            <v>9.1999999999999993</v>
          </cell>
          <cell r="T10">
            <v>9.5</v>
          </cell>
        </row>
        <row r="11">
          <cell r="B11" t="str">
            <v>25001628</v>
          </cell>
          <cell r="C11" t="str">
            <v>Nguyễn Hoàng Anh</v>
          </cell>
          <cell r="D11" t="str">
            <v>x</v>
          </cell>
          <cell r="E11" t="str">
            <v>x</v>
          </cell>
          <cell r="F11" t="str">
            <v>KP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>
            <v>8</v>
          </cell>
          <cell r="O11">
            <v>0</v>
          </cell>
          <cell r="P11">
            <v>1</v>
          </cell>
          <cell r="Q11">
            <v>0</v>
          </cell>
          <cell r="R11">
            <v>9</v>
          </cell>
          <cell r="S11">
            <v>6.5</v>
          </cell>
          <cell r="T11">
            <v>9</v>
          </cell>
        </row>
        <row r="12">
          <cell r="B12" t="str">
            <v>25001490</v>
          </cell>
          <cell r="C12" t="str">
            <v>Nguyễn Thị Lan Anh</v>
          </cell>
          <cell r="D12" t="str">
            <v>x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>
            <v>9</v>
          </cell>
          <cell r="O12">
            <v>0</v>
          </cell>
          <cell r="P12">
            <v>0</v>
          </cell>
          <cell r="Q12">
            <v>0</v>
          </cell>
          <cell r="R12">
            <v>10</v>
          </cell>
          <cell r="S12">
            <v>9.5</v>
          </cell>
          <cell r="T12">
            <v>10</v>
          </cell>
        </row>
        <row r="13">
          <cell r="B13" t="str">
            <v>25001612</v>
          </cell>
          <cell r="C13" t="str">
            <v>Tạ Thị Nam Anh</v>
          </cell>
          <cell r="D13" t="str">
            <v>x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M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>
            <v>8</v>
          </cell>
          <cell r="O13">
            <v>0</v>
          </cell>
          <cell r="P13">
            <v>0</v>
          </cell>
          <cell r="Q13">
            <v>1</v>
          </cell>
          <cell r="R13">
            <v>9.75</v>
          </cell>
          <cell r="S13">
            <v>6.5</v>
          </cell>
          <cell r="T13">
            <v>9.75</v>
          </cell>
        </row>
        <row r="14">
          <cell r="B14" t="str">
            <v>25002533</v>
          </cell>
          <cell r="C14" t="str">
            <v>Nguyễn Thị Bình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>
            <v>9</v>
          </cell>
          <cell r="O14">
            <v>0</v>
          </cell>
          <cell r="P14">
            <v>0</v>
          </cell>
          <cell r="Q14">
            <v>0</v>
          </cell>
          <cell r="R14">
            <v>10</v>
          </cell>
          <cell r="S14">
            <v>9.9</v>
          </cell>
          <cell r="T14">
            <v>10</v>
          </cell>
        </row>
        <row r="15">
          <cell r="B15" t="str">
            <v>25002629</v>
          </cell>
          <cell r="C15" t="str">
            <v>Phan Tuấn Cảnh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>
            <v>9</v>
          </cell>
          <cell r="O15">
            <v>0</v>
          </cell>
          <cell r="P15">
            <v>0</v>
          </cell>
          <cell r="Q15">
            <v>0</v>
          </cell>
          <cell r="R15">
            <v>10</v>
          </cell>
          <cell r="S15">
            <v>9.6999999999999993</v>
          </cell>
          <cell r="T15">
            <v>10</v>
          </cell>
        </row>
        <row r="16">
          <cell r="B16" t="str">
            <v>25001169</v>
          </cell>
          <cell r="C16" t="str">
            <v>Lê Huyền Chi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>
            <v>9</v>
          </cell>
          <cell r="O16">
            <v>0</v>
          </cell>
          <cell r="P16">
            <v>0</v>
          </cell>
          <cell r="Q16">
            <v>0</v>
          </cell>
          <cell r="R16">
            <v>10</v>
          </cell>
          <cell r="S16">
            <v>8.1999999999999993</v>
          </cell>
          <cell r="T16">
            <v>10</v>
          </cell>
        </row>
        <row r="17">
          <cell r="B17" t="str">
            <v>24002779</v>
          </cell>
          <cell r="C17" t="str">
            <v>Nguyễn Việt Chiến</v>
          </cell>
          <cell r="D17" t="str">
            <v>x</v>
          </cell>
          <cell r="E17" t="str">
            <v>x</v>
          </cell>
          <cell r="F17" t="str">
            <v>KP</v>
          </cell>
          <cell r="G17" t="str">
            <v>P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>
            <v>7</v>
          </cell>
          <cell r="O17">
            <v>1</v>
          </cell>
          <cell r="P17">
            <v>1</v>
          </cell>
          <cell r="Q17">
            <v>0</v>
          </cell>
          <cell r="R17">
            <v>8.5</v>
          </cell>
          <cell r="S17">
            <v>8</v>
          </cell>
          <cell r="T17">
            <v>8.5</v>
          </cell>
        </row>
        <row r="18">
          <cell r="B18" t="str">
            <v>25002634</v>
          </cell>
          <cell r="C18" t="str">
            <v>Nguyễn Đặng Công Chứ</v>
          </cell>
          <cell r="D18" t="str">
            <v>KP</v>
          </cell>
          <cell r="E18" t="str">
            <v>x</v>
          </cell>
          <cell r="F18" t="str">
            <v>x</v>
          </cell>
          <cell r="G18" t="str">
            <v>x</v>
          </cell>
          <cell r="H18" t="str">
            <v>x</v>
          </cell>
          <cell r="I18" t="str">
            <v>x</v>
          </cell>
          <cell r="J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>
            <v>8</v>
          </cell>
          <cell r="O18">
            <v>0</v>
          </cell>
          <cell r="P18">
            <v>1</v>
          </cell>
          <cell r="Q18">
            <v>0</v>
          </cell>
          <cell r="R18">
            <v>9</v>
          </cell>
          <cell r="S18">
            <v>9.1</v>
          </cell>
          <cell r="T18">
            <v>9</v>
          </cell>
        </row>
        <row r="19">
          <cell r="B19" t="str">
            <v>25000460</v>
          </cell>
          <cell r="C19" t="str">
            <v>Lê Yến Diệp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P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>
            <v>8</v>
          </cell>
          <cell r="O19">
            <v>0</v>
          </cell>
          <cell r="P19">
            <v>1</v>
          </cell>
          <cell r="Q19">
            <v>0</v>
          </cell>
          <cell r="R19">
            <v>9</v>
          </cell>
          <cell r="S19">
            <v>8.4</v>
          </cell>
          <cell r="T19">
            <v>9</v>
          </cell>
        </row>
        <row r="20">
          <cell r="B20" t="str">
            <v>25001484</v>
          </cell>
          <cell r="C20" t="str">
            <v>Phạm Thị Kim Dung</v>
          </cell>
          <cell r="D20" t="str">
            <v>x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>
            <v>9</v>
          </cell>
          <cell r="O20">
            <v>0</v>
          </cell>
          <cell r="P20">
            <v>0</v>
          </cell>
          <cell r="Q20">
            <v>0</v>
          </cell>
          <cell r="R20">
            <v>10</v>
          </cell>
          <cell r="S20">
            <v>9.5</v>
          </cell>
          <cell r="T20">
            <v>10</v>
          </cell>
        </row>
        <row r="21">
          <cell r="B21" t="str">
            <v>25001585</v>
          </cell>
          <cell r="C21" t="str">
            <v>Nguyễn Thị Lan Duyên</v>
          </cell>
          <cell r="D21" t="str">
            <v>x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  <cell r="I21" t="str">
            <v>x</v>
          </cell>
          <cell r="J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>
            <v>9</v>
          </cell>
          <cell r="O21">
            <v>0</v>
          </cell>
          <cell r="P21">
            <v>0</v>
          </cell>
          <cell r="Q21">
            <v>0</v>
          </cell>
          <cell r="R21">
            <v>10</v>
          </cell>
          <cell r="S21">
            <v>9.8000000000000007</v>
          </cell>
          <cell r="T21">
            <v>10</v>
          </cell>
        </row>
        <row r="22">
          <cell r="B22" t="str">
            <v>25000019</v>
          </cell>
          <cell r="C22" t="str">
            <v>Hoàng Văn Đức</v>
          </cell>
          <cell r="D22" t="str">
            <v>x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I22" t="str">
            <v>x</v>
          </cell>
          <cell r="J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>
            <v>9</v>
          </cell>
          <cell r="O22">
            <v>0</v>
          </cell>
          <cell r="P22">
            <v>0</v>
          </cell>
          <cell r="Q22">
            <v>0</v>
          </cell>
          <cell r="R22">
            <v>10</v>
          </cell>
          <cell r="S22">
            <v>8</v>
          </cell>
          <cell r="T22">
            <v>10</v>
          </cell>
        </row>
        <row r="23">
          <cell r="B23" t="str">
            <v>25002425</v>
          </cell>
          <cell r="C23" t="str">
            <v>Ngô Thị Hải Hà</v>
          </cell>
          <cell r="D23" t="str">
            <v>x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  <cell r="I23" t="str">
            <v>P</v>
          </cell>
          <cell r="J23" t="str">
            <v>P</v>
          </cell>
          <cell r="K23" t="str">
            <v>P</v>
          </cell>
          <cell r="L23" t="str">
            <v>P</v>
          </cell>
          <cell r="M23" t="str">
            <v>P</v>
          </cell>
          <cell r="N23">
            <v>5</v>
          </cell>
          <cell r="O23">
            <v>4</v>
          </cell>
          <cell r="P23">
            <v>0</v>
          </cell>
          <cell r="Q23">
            <v>0</v>
          </cell>
          <cell r="R23">
            <v>5</v>
          </cell>
          <cell r="S23">
            <v>7.5</v>
          </cell>
          <cell r="T23">
            <v>5</v>
          </cell>
        </row>
        <row r="24">
          <cell r="B24" t="str">
            <v>25002096</v>
          </cell>
          <cell r="C24" t="str">
            <v>Nguyễn Thị Thu Hà</v>
          </cell>
          <cell r="D24" t="str">
            <v>x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  <cell r="I24" t="str">
            <v>x</v>
          </cell>
          <cell r="J24" t="str">
            <v>x</v>
          </cell>
          <cell r="K24" t="str">
            <v>x</v>
          </cell>
          <cell r="L24" t="str">
            <v>x</v>
          </cell>
          <cell r="M24" t="str">
            <v>x</v>
          </cell>
          <cell r="N24">
            <v>9</v>
          </cell>
          <cell r="O24">
            <v>0</v>
          </cell>
          <cell r="P24">
            <v>0</v>
          </cell>
          <cell r="Q24">
            <v>0</v>
          </cell>
          <cell r="R24">
            <v>10</v>
          </cell>
          <cell r="S24">
            <v>8.1999999999999993</v>
          </cell>
          <cell r="T24">
            <v>10</v>
          </cell>
        </row>
        <row r="25">
          <cell r="B25" t="str">
            <v>25002819</v>
          </cell>
          <cell r="C25" t="str">
            <v>Nguyễn Thị Thu Hằng</v>
          </cell>
          <cell r="D25" t="str">
            <v>KP</v>
          </cell>
          <cell r="E25" t="str">
            <v>x</v>
          </cell>
          <cell r="F25" t="str">
            <v>x</v>
          </cell>
          <cell r="G25" t="str">
            <v>KP</v>
          </cell>
          <cell r="H25" t="str">
            <v>x</v>
          </cell>
          <cell r="I25" t="str">
            <v>x</v>
          </cell>
          <cell r="J25" t="str">
            <v>x</v>
          </cell>
          <cell r="K25" t="str">
            <v>x</v>
          </cell>
          <cell r="L25" t="str">
            <v>x</v>
          </cell>
          <cell r="M25" t="str">
            <v>x</v>
          </cell>
          <cell r="N25">
            <v>7</v>
          </cell>
          <cell r="O25">
            <v>0</v>
          </cell>
          <cell r="P25">
            <v>2</v>
          </cell>
          <cell r="Q25">
            <v>0</v>
          </cell>
          <cell r="R25">
            <v>8</v>
          </cell>
          <cell r="S25">
            <v>9.5</v>
          </cell>
          <cell r="T25">
            <v>8</v>
          </cell>
        </row>
        <row r="26">
          <cell r="B26" t="str">
            <v>25000321</v>
          </cell>
          <cell r="C26" t="str">
            <v>Phạm Thị Băng Hoa</v>
          </cell>
          <cell r="D26" t="str">
            <v>x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  <cell r="I26" t="str">
            <v>KP</v>
          </cell>
          <cell r="J26" t="str">
            <v>x</v>
          </cell>
          <cell r="K26" t="str">
            <v>x</v>
          </cell>
          <cell r="L26" t="str">
            <v>x</v>
          </cell>
          <cell r="M26" t="str">
            <v>x</v>
          </cell>
          <cell r="N26">
            <v>8</v>
          </cell>
          <cell r="O26">
            <v>0</v>
          </cell>
          <cell r="P26">
            <v>1</v>
          </cell>
          <cell r="Q26">
            <v>0</v>
          </cell>
          <cell r="R26">
            <v>9</v>
          </cell>
          <cell r="S26">
            <v>8.5</v>
          </cell>
          <cell r="T26">
            <v>9</v>
          </cell>
        </row>
        <row r="27">
          <cell r="B27" t="str">
            <v>25002254</v>
          </cell>
          <cell r="C27" t="str">
            <v>Trần Thị Hoài</v>
          </cell>
          <cell r="D27" t="str">
            <v>x</v>
          </cell>
          <cell r="E27" t="str">
            <v>x</v>
          </cell>
          <cell r="F27" t="str">
            <v>x</v>
          </cell>
          <cell r="G27" t="str">
            <v>x</v>
          </cell>
          <cell r="H27" t="str">
            <v>x</v>
          </cell>
          <cell r="I27" t="str">
            <v>x</v>
          </cell>
          <cell r="J27" t="str">
            <v>x</v>
          </cell>
          <cell r="K27" t="str">
            <v>x</v>
          </cell>
          <cell r="L27" t="str">
            <v>x</v>
          </cell>
          <cell r="M27" t="str">
            <v>x</v>
          </cell>
          <cell r="N27">
            <v>9</v>
          </cell>
          <cell r="O27">
            <v>0</v>
          </cell>
          <cell r="P27">
            <v>0</v>
          </cell>
          <cell r="Q27">
            <v>0</v>
          </cell>
          <cell r="R27">
            <v>10</v>
          </cell>
          <cell r="S27">
            <v>8.1999999999999993</v>
          </cell>
          <cell r="T27">
            <v>10</v>
          </cell>
        </row>
        <row r="28">
          <cell r="B28" t="str">
            <v>25000854</v>
          </cell>
          <cell r="C28" t="str">
            <v>Nguyễn Quang Hòa</v>
          </cell>
          <cell r="D28" t="str">
            <v>KP</v>
          </cell>
          <cell r="E28" t="str">
            <v>KP</v>
          </cell>
          <cell r="F28" t="str">
            <v>x</v>
          </cell>
          <cell r="G28" t="str">
            <v>x</v>
          </cell>
          <cell r="H28" t="str">
            <v>KP</v>
          </cell>
          <cell r="I28" t="str">
            <v>KP</v>
          </cell>
          <cell r="J28" t="str">
            <v>KP</v>
          </cell>
          <cell r="K28" t="str">
            <v>KP</v>
          </cell>
          <cell r="L28" t="str">
            <v>KP</v>
          </cell>
          <cell r="M28" t="str">
            <v>KP</v>
          </cell>
          <cell r="N28">
            <v>2</v>
          </cell>
          <cell r="O28">
            <v>0</v>
          </cell>
          <cell r="P28">
            <v>8</v>
          </cell>
          <cell r="Q28">
            <v>0</v>
          </cell>
          <cell r="R28">
            <v>2</v>
          </cell>
          <cell r="S28">
            <v>0</v>
          </cell>
          <cell r="T28">
            <v>0</v>
          </cell>
        </row>
        <row r="29">
          <cell r="B29" t="str">
            <v>25002357</v>
          </cell>
          <cell r="C29" t="str">
            <v>Nguyễn Thị Bích Hồng</v>
          </cell>
          <cell r="D29" t="str">
            <v>x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I29" t="str">
            <v>x</v>
          </cell>
          <cell r="J29" t="str">
            <v>x</v>
          </cell>
          <cell r="K29" t="str">
            <v>x</v>
          </cell>
          <cell r="L29" t="str">
            <v>x</v>
          </cell>
          <cell r="M29" t="str">
            <v>x</v>
          </cell>
          <cell r="N29">
            <v>9</v>
          </cell>
          <cell r="O29">
            <v>0</v>
          </cell>
          <cell r="P29">
            <v>0</v>
          </cell>
          <cell r="Q29">
            <v>0</v>
          </cell>
          <cell r="R29">
            <v>10</v>
          </cell>
          <cell r="S29">
            <v>9.1</v>
          </cell>
          <cell r="T29">
            <v>10</v>
          </cell>
        </row>
        <row r="30">
          <cell r="B30" t="str">
            <v>25002636</v>
          </cell>
          <cell r="C30" t="str">
            <v>Đinh Đức Huy</v>
          </cell>
          <cell r="D30" t="str">
            <v>x</v>
          </cell>
          <cell r="E30" t="str">
            <v>x</v>
          </cell>
          <cell r="F30" t="str">
            <v>x</v>
          </cell>
          <cell r="G30" t="str">
            <v>x</v>
          </cell>
          <cell r="H30" t="str">
            <v>x</v>
          </cell>
          <cell r="I30" t="str">
            <v>x</v>
          </cell>
          <cell r="J30" t="str">
            <v>x</v>
          </cell>
          <cell r="K30" t="str">
            <v>x</v>
          </cell>
          <cell r="L30" t="str">
            <v>x</v>
          </cell>
          <cell r="M30" t="str">
            <v>x</v>
          </cell>
          <cell r="N30">
            <v>9</v>
          </cell>
          <cell r="O30">
            <v>0</v>
          </cell>
          <cell r="P30">
            <v>0</v>
          </cell>
          <cell r="Q30">
            <v>0</v>
          </cell>
          <cell r="R30">
            <v>10</v>
          </cell>
          <cell r="S30">
            <v>9</v>
          </cell>
          <cell r="T30">
            <v>10</v>
          </cell>
        </row>
        <row r="31">
          <cell r="B31" t="str">
            <v>25000935</v>
          </cell>
          <cell r="C31" t="str">
            <v>Nguyễn Thị Hoài Hương</v>
          </cell>
          <cell r="D31" t="str">
            <v>x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I31" t="str">
            <v>x</v>
          </cell>
          <cell r="J31" t="str">
            <v>x</v>
          </cell>
          <cell r="K31" t="str">
            <v>x</v>
          </cell>
          <cell r="L31" t="str">
            <v>x</v>
          </cell>
          <cell r="M31" t="str">
            <v>x</v>
          </cell>
          <cell r="N31">
            <v>9</v>
          </cell>
          <cell r="O31">
            <v>0</v>
          </cell>
          <cell r="P31">
            <v>0</v>
          </cell>
          <cell r="Q31">
            <v>0</v>
          </cell>
          <cell r="R31">
            <v>10</v>
          </cell>
          <cell r="S31">
            <v>8.1999999999999993</v>
          </cell>
          <cell r="T31">
            <v>10</v>
          </cell>
        </row>
        <row r="32">
          <cell r="B32" t="str">
            <v>25003334</v>
          </cell>
          <cell r="C32" t="str">
            <v>Nguyễn Đinh Đan Khánh</v>
          </cell>
          <cell r="D32" t="str">
            <v>x</v>
          </cell>
          <cell r="E32" t="str">
            <v>x</v>
          </cell>
          <cell r="F32" t="str">
            <v>x</v>
          </cell>
          <cell r="G32" t="str">
            <v>x</v>
          </cell>
          <cell r="H32" t="str">
            <v>x</v>
          </cell>
          <cell r="I32" t="str">
            <v>x</v>
          </cell>
          <cell r="J32" t="str">
            <v>x</v>
          </cell>
          <cell r="K32" t="str">
            <v>x</v>
          </cell>
          <cell r="L32" t="str">
            <v>x</v>
          </cell>
          <cell r="M32" t="str">
            <v>P</v>
          </cell>
          <cell r="N32">
            <v>9</v>
          </cell>
          <cell r="O32">
            <v>1</v>
          </cell>
          <cell r="P32">
            <v>0</v>
          </cell>
          <cell r="Q32">
            <v>0</v>
          </cell>
          <cell r="R32">
            <v>9.5</v>
          </cell>
          <cell r="S32">
            <v>9.6</v>
          </cell>
          <cell r="T32">
            <v>9.5</v>
          </cell>
        </row>
        <row r="33">
          <cell r="B33" t="str">
            <v>25001356</v>
          </cell>
          <cell r="C33" t="str">
            <v>Lê Thị Khánh Linh</v>
          </cell>
          <cell r="D33" t="str">
            <v>x</v>
          </cell>
          <cell r="E33" t="str">
            <v>x</v>
          </cell>
          <cell r="F33" t="str">
            <v>x</v>
          </cell>
          <cell r="G33" t="str">
            <v>x</v>
          </cell>
          <cell r="H33" t="str">
            <v>x</v>
          </cell>
          <cell r="I33" t="str">
            <v>x</v>
          </cell>
          <cell r="J33" t="str">
            <v>x</v>
          </cell>
          <cell r="K33" t="str">
            <v>x</v>
          </cell>
          <cell r="L33" t="str">
            <v>x</v>
          </cell>
          <cell r="M33" t="str">
            <v>x</v>
          </cell>
          <cell r="N33">
            <v>10</v>
          </cell>
          <cell r="O33">
            <v>0</v>
          </cell>
          <cell r="P33">
            <v>0</v>
          </cell>
          <cell r="Q33">
            <v>0</v>
          </cell>
          <cell r="R33">
            <v>10</v>
          </cell>
          <cell r="S33">
            <v>8.6</v>
          </cell>
          <cell r="T33">
            <v>10</v>
          </cell>
        </row>
        <row r="34">
          <cell r="B34" t="str">
            <v>25002500</v>
          </cell>
          <cell r="C34" t="str">
            <v>Nguyễn Thị Thùy Linh</v>
          </cell>
          <cell r="D34" t="str">
            <v>x</v>
          </cell>
          <cell r="E34" t="str">
            <v>x</v>
          </cell>
          <cell r="F34" t="str">
            <v>x</v>
          </cell>
          <cell r="G34" t="str">
            <v>x</v>
          </cell>
          <cell r="H34" t="str">
            <v>x</v>
          </cell>
          <cell r="I34" t="str">
            <v>x</v>
          </cell>
          <cell r="J34" t="str">
            <v>x</v>
          </cell>
          <cell r="K34" t="str">
            <v>x</v>
          </cell>
          <cell r="L34" t="str">
            <v>x</v>
          </cell>
          <cell r="M34" t="str">
            <v>x</v>
          </cell>
          <cell r="N34">
            <v>10</v>
          </cell>
          <cell r="O34">
            <v>0</v>
          </cell>
          <cell r="P34">
            <v>0</v>
          </cell>
          <cell r="Q34">
            <v>0</v>
          </cell>
          <cell r="R34">
            <v>10</v>
          </cell>
          <cell r="S34">
            <v>8.5</v>
          </cell>
          <cell r="T34">
            <v>10</v>
          </cell>
        </row>
        <row r="35">
          <cell r="B35" t="str">
            <v>25002735</v>
          </cell>
          <cell r="C35" t="str">
            <v>Phạm Thị Thùy Linh</v>
          </cell>
          <cell r="D35" t="str">
            <v>x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  <cell r="I35" t="str">
            <v>x</v>
          </cell>
          <cell r="J35" t="str">
            <v>x</v>
          </cell>
          <cell r="K35" t="str">
            <v>x</v>
          </cell>
          <cell r="L35" t="str">
            <v>x</v>
          </cell>
          <cell r="M35" t="str">
            <v>x</v>
          </cell>
          <cell r="N35">
            <v>10</v>
          </cell>
          <cell r="O35">
            <v>0</v>
          </cell>
          <cell r="P35">
            <v>0</v>
          </cell>
          <cell r="Q35">
            <v>0</v>
          </cell>
          <cell r="R35">
            <v>10</v>
          </cell>
          <cell r="S35">
            <v>9.8000000000000007</v>
          </cell>
          <cell r="T35">
            <v>10</v>
          </cell>
        </row>
        <row r="36">
          <cell r="B36" t="str">
            <v>25000894</v>
          </cell>
          <cell r="C36" t="str">
            <v>Trần Ngọc Bảo Linh</v>
          </cell>
          <cell r="D36" t="str">
            <v>x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I36" t="str">
            <v>x</v>
          </cell>
          <cell r="J36" t="str">
            <v>x</v>
          </cell>
          <cell r="K36" t="str">
            <v>KP</v>
          </cell>
          <cell r="L36" t="str">
            <v>x</v>
          </cell>
          <cell r="M36" t="str">
            <v>x</v>
          </cell>
          <cell r="N36">
            <v>9</v>
          </cell>
          <cell r="O36">
            <v>0</v>
          </cell>
          <cell r="P36">
            <v>1</v>
          </cell>
          <cell r="Q36">
            <v>0</v>
          </cell>
          <cell r="R36">
            <v>9</v>
          </cell>
          <cell r="S36">
            <v>5.3</v>
          </cell>
          <cell r="T36">
            <v>9</v>
          </cell>
        </row>
        <row r="37">
          <cell r="B37" t="str">
            <v>25002422</v>
          </cell>
          <cell r="C37" t="str">
            <v>Hầu Thị Ly</v>
          </cell>
          <cell r="D37" t="str">
            <v>x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I37" t="str">
            <v>x</v>
          </cell>
          <cell r="J37" t="str">
            <v>x</v>
          </cell>
          <cell r="K37" t="str">
            <v>x</v>
          </cell>
          <cell r="L37" t="str">
            <v>x</v>
          </cell>
          <cell r="M37" t="str">
            <v>x</v>
          </cell>
          <cell r="N37">
            <v>10</v>
          </cell>
          <cell r="O37">
            <v>0</v>
          </cell>
          <cell r="P37">
            <v>0</v>
          </cell>
          <cell r="Q37">
            <v>0</v>
          </cell>
          <cell r="R37">
            <v>10</v>
          </cell>
          <cell r="S37">
            <v>8.6999999999999993</v>
          </cell>
          <cell r="T37">
            <v>10</v>
          </cell>
        </row>
        <row r="38">
          <cell r="B38" t="str">
            <v>25000848</v>
          </cell>
          <cell r="C38" t="str">
            <v>Ngô Thị Hoa Mai</v>
          </cell>
          <cell r="D38" t="str">
            <v>KP</v>
          </cell>
          <cell r="E38" t="str">
            <v>KP</v>
          </cell>
          <cell r="F38" t="str">
            <v>KP</v>
          </cell>
          <cell r="G38" t="str">
            <v>KP</v>
          </cell>
          <cell r="H38" t="str">
            <v>KP</v>
          </cell>
          <cell r="I38" t="str">
            <v>KP</v>
          </cell>
          <cell r="J38" t="str">
            <v>KP</v>
          </cell>
          <cell r="K38" t="str">
            <v>KP</v>
          </cell>
          <cell r="L38" t="str">
            <v>KP</v>
          </cell>
          <cell r="M38" t="str">
            <v>x</v>
          </cell>
          <cell r="N38">
            <v>1</v>
          </cell>
          <cell r="O38">
            <v>0</v>
          </cell>
          <cell r="P38">
            <v>9</v>
          </cell>
          <cell r="Q38">
            <v>0</v>
          </cell>
          <cell r="R38">
            <v>1</v>
          </cell>
          <cell r="S38">
            <v>0</v>
          </cell>
          <cell r="T38">
            <v>0</v>
          </cell>
        </row>
        <row r="39">
          <cell r="B39" t="str">
            <v>25001681</v>
          </cell>
          <cell r="C39" t="str">
            <v>Nguyễn Thị Tuyết Mai</v>
          </cell>
          <cell r="D39" t="str">
            <v>x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I39" t="str">
            <v>x</v>
          </cell>
          <cell r="J39" t="str">
            <v>x</v>
          </cell>
          <cell r="K39" t="str">
            <v>x</v>
          </cell>
          <cell r="L39" t="str">
            <v>x</v>
          </cell>
          <cell r="M39" t="str">
            <v>x</v>
          </cell>
          <cell r="N39">
            <v>10</v>
          </cell>
          <cell r="O39">
            <v>0</v>
          </cell>
          <cell r="P39">
            <v>0</v>
          </cell>
          <cell r="Q39">
            <v>0</v>
          </cell>
          <cell r="R39">
            <v>10</v>
          </cell>
          <cell r="S39">
            <v>8.6999999999999993</v>
          </cell>
          <cell r="T39">
            <v>10</v>
          </cell>
        </row>
        <row r="40">
          <cell r="B40" t="str">
            <v>25001752</v>
          </cell>
          <cell r="C40" t="str">
            <v>Nguyễn Đức Mạnh</v>
          </cell>
          <cell r="D40" t="str">
            <v>KP</v>
          </cell>
          <cell r="E40" t="str">
            <v>M</v>
          </cell>
          <cell r="F40" t="str">
            <v>x</v>
          </cell>
          <cell r="G40" t="str">
            <v>x</v>
          </cell>
          <cell r="H40" t="str">
            <v>x</v>
          </cell>
          <cell r="I40" t="str">
            <v>x</v>
          </cell>
          <cell r="J40" t="str">
            <v>x</v>
          </cell>
          <cell r="K40" t="str">
            <v>x</v>
          </cell>
          <cell r="L40" t="str">
            <v>P</v>
          </cell>
          <cell r="M40" t="str">
            <v>x</v>
          </cell>
          <cell r="N40">
            <v>7</v>
          </cell>
          <cell r="O40">
            <v>1</v>
          </cell>
          <cell r="P40">
            <v>1</v>
          </cell>
          <cell r="Q40">
            <v>1</v>
          </cell>
          <cell r="R40">
            <v>8.25</v>
          </cell>
          <cell r="S40">
            <v>6.5</v>
          </cell>
          <cell r="T40">
            <v>8.25</v>
          </cell>
        </row>
        <row r="41">
          <cell r="B41" t="str">
            <v>25003208</v>
          </cell>
          <cell r="C41" t="str">
            <v>Nguyễn Đức Minh</v>
          </cell>
          <cell r="D41" t="str">
            <v>x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I41" t="str">
            <v>x</v>
          </cell>
          <cell r="J41" t="str">
            <v>x</v>
          </cell>
          <cell r="K41" t="str">
            <v>x</v>
          </cell>
          <cell r="L41" t="str">
            <v>x</v>
          </cell>
          <cell r="M41" t="str">
            <v>x</v>
          </cell>
          <cell r="N41">
            <v>10</v>
          </cell>
          <cell r="O41">
            <v>0</v>
          </cell>
          <cell r="P41">
            <v>0</v>
          </cell>
          <cell r="Q41">
            <v>0</v>
          </cell>
          <cell r="R41">
            <v>10</v>
          </cell>
          <cell r="S41">
            <v>9</v>
          </cell>
          <cell r="T41">
            <v>10</v>
          </cell>
        </row>
        <row r="42">
          <cell r="B42" t="str">
            <v>25002520</v>
          </cell>
          <cell r="C42" t="str">
            <v>Bùi Trà My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KP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>
            <v>9</v>
          </cell>
          <cell r="O42">
            <v>0</v>
          </cell>
          <cell r="P42">
            <v>1</v>
          </cell>
          <cell r="Q42">
            <v>0</v>
          </cell>
          <cell r="R42">
            <v>9</v>
          </cell>
          <cell r="S42">
            <v>6.5</v>
          </cell>
          <cell r="T42">
            <v>9</v>
          </cell>
        </row>
        <row r="43">
          <cell r="B43" t="str">
            <v>25003647</v>
          </cell>
          <cell r="C43" t="str">
            <v>Ngô Kiều My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P</v>
          </cell>
          <cell r="K43" t="str">
            <v>x</v>
          </cell>
          <cell r="L43" t="str">
            <v>x</v>
          </cell>
          <cell r="M43" t="str">
            <v>x</v>
          </cell>
          <cell r="N43">
            <v>9</v>
          </cell>
          <cell r="O43">
            <v>1</v>
          </cell>
          <cell r="P43">
            <v>0</v>
          </cell>
          <cell r="Q43">
            <v>0</v>
          </cell>
          <cell r="R43">
            <v>9.5</v>
          </cell>
          <cell r="S43">
            <v>9.9</v>
          </cell>
          <cell r="T43">
            <v>9.5</v>
          </cell>
        </row>
        <row r="44">
          <cell r="B44" t="str">
            <v>25001534</v>
          </cell>
          <cell r="C44" t="str">
            <v>Phạm Xuân Nghiệp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P</v>
          </cell>
          <cell r="M44" t="str">
            <v>x</v>
          </cell>
          <cell r="N44">
            <v>9</v>
          </cell>
          <cell r="O44">
            <v>1</v>
          </cell>
          <cell r="P44">
            <v>0</v>
          </cell>
          <cell r="Q44">
            <v>0</v>
          </cell>
          <cell r="R44">
            <v>9.5</v>
          </cell>
          <cell r="S44">
            <v>8</v>
          </cell>
          <cell r="T44">
            <v>9.5</v>
          </cell>
        </row>
        <row r="45">
          <cell r="B45" t="str">
            <v>25002653</v>
          </cell>
          <cell r="C45" t="str">
            <v>Đồng Kim Ngọc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P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>
            <v>9</v>
          </cell>
          <cell r="O45">
            <v>1</v>
          </cell>
          <cell r="P45">
            <v>0</v>
          </cell>
          <cell r="Q45">
            <v>0</v>
          </cell>
          <cell r="R45">
            <v>9.5</v>
          </cell>
          <cell r="S45">
            <v>9.1</v>
          </cell>
          <cell r="T45">
            <v>9.5</v>
          </cell>
        </row>
        <row r="46">
          <cell r="B46" t="str">
            <v>25000850</v>
          </cell>
          <cell r="C46" t="str">
            <v>Nguyễn Thị Kim Nhã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>
            <v>10</v>
          </cell>
          <cell r="O46">
            <v>0</v>
          </cell>
          <cell r="P46">
            <v>0</v>
          </cell>
          <cell r="Q46">
            <v>0</v>
          </cell>
          <cell r="R46">
            <v>10</v>
          </cell>
          <cell r="S46">
            <v>8.5</v>
          </cell>
          <cell r="T46">
            <v>10</v>
          </cell>
        </row>
        <row r="47">
          <cell r="B47" t="str">
            <v>25001021</v>
          </cell>
          <cell r="C47" t="str">
            <v>Đỗ Yến Nhi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>
            <v>10</v>
          </cell>
          <cell r="O47">
            <v>0</v>
          </cell>
          <cell r="P47">
            <v>0</v>
          </cell>
          <cell r="Q47">
            <v>0</v>
          </cell>
          <cell r="R47">
            <v>10</v>
          </cell>
          <cell r="S47">
            <v>8.8000000000000007</v>
          </cell>
          <cell r="T47">
            <v>10</v>
          </cell>
        </row>
        <row r="48">
          <cell r="B48" t="str">
            <v>25001852</v>
          </cell>
          <cell r="C48" t="str">
            <v>Nguyễn Thị Kim Nhung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>
            <v>10</v>
          </cell>
          <cell r="O48">
            <v>0</v>
          </cell>
          <cell r="P48">
            <v>0</v>
          </cell>
          <cell r="Q48">
            <v>0</v>
          </cell>
          <cell r="R48">
            <v>10</v>
          </cell>
          <cell r="S48">
            <v>8.5</v>
          </cell>
          <cell r="T48">
            <v>10</v>
          </cell>
        </row>
        <row r="49">
          <cell r="B49" t="str">
            <v>25000151</v>
          </cell>
          <cell r="C49" t="str">
            <v>Trần Thị Nhung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KP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  <cell r="M49" t="str">
            <v>x</v>
          </cell>
          <cell r="N49">
            <v>9</v>
          </cell>
          <cell r="O49">
            <v>0</v>
          </cell>
          <cell r="P49">
            <v>1</v>
          </cell>
          <cell r="Q49">
            <v>0</v>
          </cell>
          <cell r="R49">
            <v>9</v>
          </cell>
          <cell r="S49">
            <v>8.1999999999999993</v>
          </cell>
          <cell r="T49">
            <v>9</v>
          </cell>
        </row>
        <row r="50">
          <cell r="B50" t="str">
            <v>25002518</v>
          </cell>
          <cell r="C50" t="str">
            <v>Hà Ngọc Phú</v>
          </cell>
          <cell r="D50" t="str">
            <v>x</v>
          </cell>
          <cell r="E50" t="str">
            <v>x</v>
          </cell>
          <cell r="F50" t="str">
            <v>x</v>
          </cell>
          <cell r="G50" t="str">
            <v>x</v>
          </cell>
          <cell r="H50" t="str">
            <v>KP</v>
          </cell>
          <cell r="I50" t="str">
            <v>x</v>
          </cell>
          <cell r="J50" t="str">
            <v>x</v>
          </cell>
          <cell r="K50" t="str">
            <v>M</v>
          </cell>
          <cell r="L50" t="str">
            <v>x</v>
          </cell>
          <cell r="M50" t="str">
            <v>KP</v>
          </cell>
          <cell r="N50">
            <v>7</v>
          </cell>
          <cell r="O50">
            <v>0</v>
          </cell>
          <cell r="P50">
            <v>2</v>
          </cell>
          <cell r="Q50">
            <v>1</v>
          </cell>
          <cell r="R50">
            <v>7.75</v>
          </cell>
          <cell r="S50">
            <v>5</v>
          </cell>
          <cell r="T50">
            <v>7.75</v>
          </cell>
        </row>
        <row r="51">
          <cell r="B51" t="str">
            <v>25000586</v>
          </cell>
          <cell r="C51" t="str">
            <v>Nguyễn Tú Phương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  <cell r="I51" t="str">
            <v>x</v>
          </cell>
          <cell r="J51" t="str">
            <v>x</v>
          </cell>
          <cell r="K51" t="str">
            <v>x</v>
          </cell>
          <cell r="L51" t="str">
            <v>x</v>
          </cell>
          <cell r="M51" t="str">
            <v>P</v>
          </cell>
          <cell r="N51">
            <v>9</v>
          </cell>
          <cell r="O51">
            <v>1</v>
          </cell>
          <cell r="P51">
            <v>0</v>
          </cell>
          <cell r="Q51">
            <v>0</v>
          </cell>
          <cell r="R51">
            <v>9.5</v>
          </cell>
          <cell r="S51">
            <v>9.5</v>
          </cell>
          <cell r="T51">
            <v>9.5</v>
          </cell>
        </row>
        <row r="52">
          <cell r="B52" t="str">
            <v>25000877</v>
          </cell>
          <cell r="C52" t="str">
            <v>Phạm Thu Phương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P</v>
          </cell>
          <cell r="H52" t="str">
            <v>x</v>
          </cell>
          <cell r="I52" t="str">
            <v>x</v>
          </cell>
          <cell r="J52" t="str">
            <v>P</v>
          </cell>
          <cell r="K52" t="str">
            <v>x</v>
          </cell>
          <cell r="L52" t="str">
            <v>x</v>
          </cell>
          <cell r="M52" t="str">
            <v>x</v>
          </cell>
          <cell r="N52">
            <v>8</v>
          </cell>
          <cell r="O52">
            <v>2</v>
          </cell>
          <cell r="P52">
            <v>0</v>
          </cell>
          <cell r="Q52">
            <v>0</v>
          </cell>
          <cell r="R52">
            <v>9</v>
          </cell>
          <cell r="S52">
            <v>9.5</v>
          </cell>
          <cell r="T52">
            <v>9</v>
          </cell>
        </row>
        <row r="53">
          <cell r="B53" t="str">
            <v>25003076</v>
          </cell>
          <cell r="C53" t="str">
            <v>Nguyễn Thị Bích Phượng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  <cell r="I53" t="str">
            <v>x</v>
          </cell>
          <cell r="J53" t="str">
            <v>P</v>
          </cell>
          <cell r="K53" t="str">
            <v>x</v>
          </cell>
          <cell r="L53" t="str">
            <v>x</v>
          </cell>
          <cell r="M53" t="str">
            <v>x</v>
          </cell>
          <cell r="N53">
            <v>9</v>
          </cell>
          <cell r="O53">
            <v>1</v>
          </cell>
          <cell r="P53">
            <v>0</v>
          </cell>
          <cell r="Q53">
            <v>0</v>
          </cell>
          <cell r="R53">
            <v>9.5</v>
          </cell>
          <cell r="S53">
            <v>9.6</v>
          </cell>
          <cell r="T53">
            <v>9.5</v>
          </cell>
        </row>
        <row r="54">
          <cell r="B54" t="str">
            <v>25000091</v>
          </cell>
          <cell r="C54" t="str">
            <v>Dương Văn Quân</v>
          </cell>
          <cell r="D54" t="str">
            <v>x</v>
          </cell>
          <cell r="E54" t="str">
            <v>KP</v>
          </cell>
          <cell r="F54" t="str">
            <v>x</v>
          </cell>
          <cell r="G54" t="str">
            <v>KP</v>
          </cell>
          <cell r="H54" t="str">
            <v>x</v>
          </cell>
          <cell r="I54" t="str">
            <v>x</v>
          </cell>
          <cell r="J54" t="str">
            <v>x</v>
          </cell>
          <cell r="K54" t="str">
            <v>x</v>
          </cell>
          <cell r="L54" t="str">
            <v>x</v>
          </cell>
          <cell r="M54" t="str">
            <v>x</v>
          </cell>
          <cell r="N54">
            <v>8</v>
          </cell>
          <cell r="O54">
            <v>0</v>
          </cell>
          <cell r="P54">
            <v>2</v>
          </cell>
          <cell r="Q54">
            <v>0</v>
          </cell>
          <cell r="R54">
            <v>8</v>
          </cell>
          <cell r="S54">
            <v>8</v>
          </cell>
          <cell r="T54">
            <v>8</v>
          </cell>
        </row>
        <row r="55">
          <cell r="B55" t="str">
            <v>25001907</v>
          </cell>
          <cell r="C55" t="str">
            <v>Lê Thị Như Quỳnh</v>
          </cell>
          <cell r="D55" t="str">
            <v>x</v>
          </cell>
          <cell r="E55" t="str">
            <v>x</v>
          </cell>
          <cell r="F55" t="str">
            <v>KP</v>
          </cell>
          <cell r="G55" t="str">
            <v>x</v>
          </cell>
          <cell r="H55" t="str">
            <v>x</v>
          </cell>
          <cell r="I55" t="str">
            <v>KP</v>
          </cell>
          <cell r="J55" t="str">
            <v>x</v>
          </cell>
          <cell r="K55" t="str">
            <v>x</v>
          </cell>
          <cell r="L55" t="str">
            <v>x</v>
          </cell>
          <cell r="M55" t="str">
            <v>x</v>
          </cell>
          <cell r="N55">
            <v>8</v>
          </cell>
          <cell r="O55">
            <v>0</v>
          </cell>
          <cell r="P55">
            <v>2</v>
          </cell>
          <cell r="Q55">
            <v>0</v>
          </cell>
          <cell r="R55">
            <v>8</v>
          </cell>
          <cell r="S55">
            <v>8.6</v>
          </cell>
          <cell r="T55">
            <v>8</v>
          </cell>
        </row>
        <row r="56">
          <cell r="B56" t="str">
            <v>25001284</v>
          </cell>
          <cell r="C56" t="str">
            <v>Nguyễn Thị Tâm</v>
          </cell>
          <cell r="D56" t="str">
            <v>x</v>
          </cell>
          <cell r="E56" t="str">
            <v>P</v>
          </cell>
          <cell r="F56" t="str">
            <v>x</v>
          </cell>
          <cell r="G56" t="str">
            <v>KP</v>
          </cell>
          <cell r="H56" t="str">
            <v>x</v>
          </cell>
          <cell r="I56" t="str">
            <v>x</v>
          </cell>
          <cell r="J56" t="str">
            <v>x</v>
          </cell>
          <cell r="K56" t="str">
            <v>x</v>
          </cell>
          <cell r="L56" t="str">
            <v>P</v>
          </cell>
          <cell r="M56" t="str">
            <v>x</v>
          </cell>
          <cell r="N56">
            <v>7</v>
          </cell>
          <cell r="O56">
            <v>2</v>
          </cell>
          <cell r="P56">
            <v>1</v>
          </cell>
          <cell r="Q56">
            <v>0</v>
          </cell>
          <cell r="R56">
            <v>5</v>
          </cell>
          <cell r="S56">
            <v>9.5</v>
          </cell>
          <cell r="T56">
            <v>5</v>
          </cell>
        </row>
        <row r="57">
          <cell r="B57" t="str">
            <v>25001884</v>
          </cell>
          <cell r="C57" t="str">
            <v>Vũ Thị Thanh Tâm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  <cell r="I57" t="str">
            <v>x</v>
          </cell>
          <cell r="J57" t="str">
            <v>x</v>
          </cell>
          <cell r="K57" t="str">
            <v>x</v>
          </cell>
          <cell r="L57" t="str">
            <v>x</v>
          </cell>
          <cell r="M57" t="str">
            <v>x</v>
          </cell>
          <cell r="N57">
            <v>10</v>
          </cell>
          <cell r="O57">
            <v>0</v>
          </cell>
          <cell r="P57">
            <v>0</v>
          </cell>
          <cell r="Q57">
            <v>0</v>
          </cell>
          <cell r="R57">
            <v>10</v>
          </cell>
          <cell r="S57">
            <v>8.1999999999999993</v>
          </cell>
          <cell r="T57">
            <v>10</v>
          </cell>
        </row>
        <row r="58">
          <cell r="B58" t="str">
            <v>25003445</v>
          </cell>
          <cell r="C58" t="str">
            <v>Mai Phương Thảo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  <cell r="I58" t="str">
            <v>x</v>
          </cell>
          <cell r="J58" t="str">
            <v>P</v>
          </cell>
          <cell r="K58" t="str">
            <v>x</v>
          </cell>
          <cell r="L58" t="str">
            <v>x</v>
          </cell>
          <cell r="M58" t="str">
            <v>x</v>
          </cell>
          <cell r="N58">
            <v>9</v>
          </cell>
          <cell r="O58">
            <v>1</v>
          </cell>
          <cell r="P58">
            <v>0</v>
          </cell>
          <cell r="Q58">
            <v>0</v>
          </cell>
          <cell r="R58">
            <v>9.5</v>
          </cell>
          <cell r="S58">
            <v>8.5</v>
          </cell>
          <cell r="T58">
            <v>9.5</v>
          </cell>
        </row>
        <row r="59">
          <cell r="B59" t="str">
            <v>25002618</v>
          </cell>
          <cell r="C59" t="str">
            <v>Ngô Phương Thảo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  <cell r="I59" t="str">
            <v>x</v>
          </cell>
          <cell r="J59" t="str">
            <v>x</v>
          </cell>
          <cell r="K59" t="str">
            <v>x</v>
          </cell>
          <cell r="L59" t="str">
            <v>P</v>
          </cell>
          <cell r="M59" t="str">
            <v>x</v>
          </cell>
          <cell r="N59">
            <v>9</v>
          </cell>
          <cell r="O59">
            <v>1</v>
          </cell>
          <cell r="P59">
            <v>0</v>
          </cell>
          <cell r="Q59">
            <v>0</v>
          </cell>
          <cell r="R59">
            <v>9.5</v>
          </cell>
          <cell r="S59">
            <v>8.1999999999999993</v>
          </cell>
          <cell r="T59">
            <v>9.5</v>
          </cell>
        </row>
        <row r="60">
          <cell r="B60" t="str">
            <v>25003629</v>
          </cell>
          <cell r="C60" t="str">
            <v>Nguyễn Thị Thảo</v>
          </cell>
          <cell r="D60" t="str">
            <v>x</v>
          </cell>
          <cell r="E60" t="str">
            <v>x</v>
          </cell>
          <cell r="F60" t="str">
            <v>x</v>
          </cell>
          <cell r="G60" t="str">
            <v>x</v>
          </cell>
          <cell r="H60" t="str">
            <v>x</v>
          </cell>
          <cell r="I60" t="str">
            <v>x</v>
          </cell>
          <cell r="J60" t="str">
            <v>x</v>
          </cell>
          <cell r="K60" t="str">
            <v>x</v>
          </cell>
          <cell r="L60" t="str">
            <v>x</v>
          </cell>
          <cell r="M60" t="str">
            <v>x</v>
          </cell>
          <cell r="N60">
            <v>10</v>
          </cell>
          <cell r="O60">
            <v>0</v>
          </cell>
          <cell r="P60">
            <v>0</v>
          </cell>
          <cell r="Q60">
            <v>0</v>
          </cell>
          <cell r="R60">
            <v>10</v>
          </cell>
          <cell r="S60">
            <v>9.8000000000000007</v>
          </cell>
          <cell r="T60">
            <v>10</v>
          </cell>
        </row>
        <row r="61">
          <cell r="B61" t="str">
            <v>25003163</v>
          </cell>
          <cell r="C61" t="str">
            <v>Nguyễn Đức Thắng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H61" t="str">
            <v>x</v>
          </cell>
          <cell r="I61" t="str">
            <v>KP</v>
          </cell>
          <cell r="J61" t="str">
            <v>x</v>
          </cell>
          <cell r="K61" t="str">
            <v>x</v>
          </cell>
          <cell r="L61" t="str">
            <v>P</v>
          </cell>
          <cell r="M61" t="str">
            <v>x</v>
          </cell>
          <cell r="N61">
            <v>8</v>
          </cell>
          <cell r="O61">
            <v>1</v>
          </cell>
          <cell r="P61">
            <v>1</v>
          </cell>
          <cell r="Q61">
            <v>0</v>
          </cell>
          <cell r="R61">
            <v>8.5</v>
          </cell>
          <cell r="S61">
            <v>8.1999999999999993</v>
          </cell>
          <cell r="T61">
            <v>8.5</v>
          </cell>
        </row>
        <row r="62">
          <cell r="B62" t="str">
            <v>25001923</v>
          </cell>
          <cell r="C62" t="str">
            <v>Nguyễn Nguyên Thông</v>
          </cell>
          <cell r="D62" t="str">
            <v>x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  <cell r="I62" t="str">
            <v>x</v>
          </cell>
          <cell r="J62" t="str">
            <v>x</v>
          </cell>
          <cell r="K62" t="str">
            <v>x</v>
          </cell>
          <cell r="L62" t="str">
            <v>x</v>
          </cell>
          <cell r="M62" t="str">
            <v>x</v>
          </cell>
          <cell r="N62">
            <v>10</v>
          </cell>
          <cell r="O62">
            <v>0</v>
          </cell>
          <cell r="P62">
            <v>0</v>
          </cell>
          <cell r="Q62">
            <v>0</v>
          </cell>
          <cell r="R62">
            <v>10</v>
          </cell>
          <cell r="S62">
            <v>8.1999999999999993</v>
          </cell>
          <cell r="T62">
            <v>10</v>
          </cell>
        </row>
        <row r="63">
          <cell r="B63" t="str">
            <v>25000940</v>
          </cell>
          <cell r="C63" t="str">
            <v>Lê Thị Anh Thư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H63" t="str">
            <v>x</v>
          </cell>
          <cell r="I63" t="str">
            <v>x</v>
          </cell>
          <cell r="J63" t="str">
            <v>x</v>
          </cell>
          <cell r="K63" t="str">
            <v>x</v>
          </cell>
          <cell r="L63" t="str">
            <v>x</v>
          </cell>
          <cell r="M63" t="str">
            <v>x</v>
          </cell>
          <cell r="N63">
            <v>10</v>
          </cell>
          <cell r="O63">
            <v>0</v>
          </cell>
          <cell r="P63">
            <v>0</v>
          </cell>
          <cell r="Q63">
            <v>0</v>
          </cell>
          <cell r="R63">
            <v>10</v>
          </cell>
          <cell r="S63">
            <v>9.1999999999999993</v>
          </cell>
          <cell r="T63">
            <v>10</v>
          </cell>
        </row>
        <row r="64">
          <cell r="B64" t="str">
            <v>25003131</v>
          </cell>
          <cell r="C64" t="str">
            <v>Nguyễn Anh Thư</v>
          </cell>
          <cell r="D64" t="str">
            <v>x</v>
          </cell>
          <cell r="E64" t="str">
            <v>x</v>
          </cell>
          <cell r="F64" t="str">
            <v>x</v>
          </cell>
          <cell r="G64" t="str">
            <v>x</v>
          </cell>
          <cell r="H64" t="str">
            <v>x</v>
          </cell>
          <cell r="I64" t="str">
            <v>x</v>
          </cell>
          <cell r="J64" t="str">
            <v>x</v>
          </cell>
          <cell r="K64" t="str">
            <v>x</v>
          </cell>
          <cell r="L64" t="str">
            <v>x</v>
          </cell>
          <cell r="M64" t="str">
            <v>x</v>
          </cell>
          <cell r="N64">
            <v>10</v>
          </cell>
          <cell r="O64">
            <v>0</v>
          </cell>
          <cell r="P64">
            <v>0</v>
          </cell>
          <cell r="Q64">
            <v>0</v>
          </cell>
          <cell r="R64">
            <v>10</v>
          </cell>
          <cell r="S64">
            <v>8.3000000000000007</v>
          </cell>
          <cell r="T64">
            <v>10</v>
          </cell>
        </row>
        <row r="65">
          <cell r="B65" t="str">
            <v>25000480</v>
          </cell>
          <cell r="C65" t="str">
            <v>Nguyễn Thị Thủy Tiên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H65" t="str">
            <v>P</v>
          </cell>
          <cell r="I65" t="str">
            <v>x</v>
          </cell>
          <cell r="J65" t="str">
            <v>x</v>
          </cell>
          <cell r="K65" t="str">
            <v>x</v>
          </cell>
          <cell r="L65" t="str">
            <v>x</v>
          </cell>
          <cell r="M65" t="str">
            <v>x</v>
          </cell>
          <cell r="N65">
            <v>9</v>
          </cell>
          <cell r="O65">
            <v>1</v>
          </cell>
          <cell r="P65">
            <v>0</v>
          </cell>
          <cell r="Q65">
            <v>0</v>
          </cell>
          <cell r="R65">
            <v>9.5</v>
          </cell>
          <cell r="S65">
            <v>8.6</v>
          </cell>
          <cell r="T65">
            <v>9.5</v>
          </cell>
        </row>
        <row r="66">
          <cell r="B66" t="str">
            <v>25000820</v>
          </cell>
          <cell r="C66" t="str">
            <v>Nguyễn Thị Huyền Trang</v>
          </cell>
          <cell r="D66" t="str">
            <v>x</v>
          </cell>
          <cell r="E66" t="str">
            <v>x</v>
          </cell>
          <cell r="F66" t="str">
            <v>x</v>
          </cell>
          <cell r="G66" t="str">
            <v>x</v>
          </cell>
          <cell r="H66" t="str">
            <v>x</v>
          </cell>
          <cell r="I66" t="str">
            <v>x</v>
          </cell>
          <cell r="J66" t="str">
            <v>x</v>
          </cell>
          <cell r="K66" t="str">
            <v>x</v>
          </cell>
          <cell r="L66" t="str">
            <v>x</v>
          </cell>
          <cell r="M66" t="str">
            <v>x</v>
          </cell>
          <cell r="N66">
            <v>10</v>
          </cell>
          <cell r="O66">
            <v>0</v>
          </cell>
          <cell r="P66">
            <v>0</v>
          </cell>
          <cell r="Q66">
            <v>0</v>
          </cell>
          <cell r="R66">
            <v>10</v>
          </cell>
          <cell r="S66">
            <v>8.5</v>
          </cell>
          <cell r="T66">
            <v>10</v>
          </cell>
        </row>
        <row r="67">
          <cell r="B67" t="str">
            <v>25002099</v>
          </cell>
          <cell r="C67" t="str">
            <v>Nguyễn Thị Huyền Trang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H67" t="str">
            <v>x</v>
          </cell>
          <cell r="I67" t="str">
            <v>x</v>
          </cell>
          <cell r="J67" t="str">
            <v>x</v>
          </cell>
          <cell r="K67" t="str">
            <v>x</v>
          </cell>
          <cell r="L67" t="str">
            <v>x</v>
          </cell>
          <cell r="M67" t="str">
            <v>x</v>
          </cell>
          <cell r="N67">
            <v>10</v>
          </cell>
          <cell r="O67">
            <v>0</v>
          </cell>
          <cell r="P67">
            <v>0</v>
          </cell>
          <cell r="Q67">
            <v>0</v>
          </cell>
          <cell r="R67">
            <v>10</v>
          </cell>
          <cell r="S67">
            <v>8.1999999999999993</v>
          </cell>
          <cell r="T67">
            <v>10</v>
          </cell>
        </row>
        <row r="68">
          <cell r="B68" t="str">
            <v>25001291</v>
          </cell>
          <cell r="C68" t="str">
            <v>Mai Hoàng Hương Trà</v>
          </cell>
          <cell r="D68" t="str">
            <v>x</v>
          </cell>
          <cell r="E68" t="str">
            <v>x</v>
          </cell>
          <cell r="F68" t="str">
            <v>x</v>
          </cell>
          <cell r="G68" t="str">
            <v>x</v>
          </cell>
          <cell r="H68" t="str">
            <v>x</v>
          </cell>
          <cell r="I68" t="str">
            <v>P</v>
          </cell>
          <cell r="J68" t="str">
            <v>x</v>
          </cell>
          <cell r="K68" t="str">
            <v>x</v>
          </cell>
          <cell r="L68" t="str">
            <v>x</v>
          </cell>
          <cell r="M68" t="str">
            <v>x</v>
          </cell>
          <cell r="N68">
            <v>9</v>
          </cell>
          <cell r="O68">
            <v>1</v>
          </cell>
          <cell r="P68">
            <v>0</v>
          </cell>
          <cell r="Q68">
            <v>0</v>
          </cell>
          <cell r="R68">
            <v>9.5</v>
          </cell>
          <cell r="S68">
            <v>8.1999999999999993</v>
          </cell>
          <cell r="T68">
            <v>9.5</v>
          </cell>
        </row>
        <row r="69">
          <cell r="B69" t="str">
            <v>25001713</v>
          </cell>
          <cell r="C69" t="str">
            <v>Vũ Sỹ Tú</v>
          </cell>
          <cell r="D69" t="str">
            <v>x</v>
          </cell>
          <cell r="E69" t="str">
            <v>x</v>
          </cell>
          <cell r="F69" t="str">
            <v>x</v>
          </cell>
          <cell r="G69" t="str">
            <v>x</v>
          </cell>
          <cell r="H69" t="str">
            <v>x</v>
          </cell>
          <cell r="I69" t="str">
            <v>x</v>
          </cell>
          <cell r="J69" t="str">
            <v>x</v>
          </cell>
          <cell r="K69" t="str">
            <v>x</v>
          </cell>
          <cell r="L69" t="str">
            <v>x</v>
          </cell>
          <cell r="M69" t="str">
            <v>x</v>
          </cell>
          <cell r="N69">
            <v>10</v>
          </cell>
          <cell r="O69">
            <v>0</v>
          </cell>
          <cell r="P69">
            <v>0</v>
          </cell>
          <cell r="Q69">
            <v>0</v>
          </cell>
          <cell r="R69">
            <v>10</v>
          </cell>
          <cell r="S69">
            <v>8.1999999999999993</v>
          </cell>
          <cell r="T69">
            <v>10</v>
          </cell>
        </row>
        <row r="70">
          <cell r="B70" t="str">
            <v>25002243</v>
          </cell>
          <cell r="C70" t="str">
            <v>Phan Tố Uyên</v>
          </cell>
          <cell r="D70" t="str">
            <v>x</v>
          </cell>
          <cell r="E70" t="str">
            <v>x</v>
          </cell>
          <cell r="F70" t="str">
            <v>P</v>
          </cell>
          <cell r="G70" t="str">
            <v>x</v>
          </cell>
          <cell r="H70" t="str">
            <v>x</v>
          </cell>
          <cell r="I70" t="str">
            <v>x</v>
          </cell>
          <cell r="J70" t="str">
            <v>x</v>
          </cell>
          <cell r="K70" t="str">
            <v>x</v>
          </cell>
          <cell r="L70" t="str">
            <v>P</v>
          </cell>
          <cell r="M70" t="str">
            <v>x</v>
          </cell>
          <cell r="N70">
            <v>8</v>
          </cell>
          <cell r="O70">
            <v>2</v>
          </cell>
          <cell r="P70">
            <v>0</v>
          </cell>
          <cell r="Q70">
            <v>0</v>
          </cell>
          <cell r="R70">
            <v>9</v>
          </cell>
          <cell r="S70">
            <v>8.1999999999999993</v>
          </cell>
          <cell r="T70">
            <v>9</v>
          </cell>
        </row>
        <row r="71">
          <cell r="B71" t="str">
            <v>25001704</v>
          </cell>
          <cell r="C71" t="str">
            <v>Lê Thị Thảo Vân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  <cell r="I71" t="str">
            <v>x</v>
          </cell>
          <cell r="J71" t="str">
            <v>x</v>
          </cell>
          <cell r="K71" t="str">
            <v>x</v>
          </cell>
          <cell r="L71" t="str">
            <v>x</v>
          </cell>
          <cell r="M71" t="str">
            <v>x</v>
          </cell>
          <cell r="N71">
            <v>10</v>
          </cell>
          <cell r="O71">
            <v>0</v>
          </cell>
          <cell r="P71">
            <v>0</v>
          </cell>
          <cell r="Q71">
            <v>0</v>
          </cell>
          <cell r="R71">
            <v>10</v>
          </cell>
          <cell r="S71">
            <v>8.5</v>
          </cell>
          <cell r="T71">
            <v>10</v>
          </cell>
        </row>
        <row r="72">
          <cell r="B72" t="str">
            <v>25002769</v>
          </cell>
          <cell r="C72" t="str">
            <v>Nguyễn Thị Thảo Vân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M</v>
          </cell>
          <cell r="I72" t="str">
            <v>x</v>
          </cell>
          <cell r="J72" t="str">
            <v>x</v>
          </cell>
          <cell r="K72" t="str">
            <v>x</v>
          </cell>
          <cell r="L72" t="str">
            <v>P</v>
          </cell>
          <cell r="M72" t="str">
            <v>x</v>
          </cell>
          <cell r="N72">
            <v>8</v>
          </cell>
          <cell r="O72">
            <v>1</v>
          </cell>
          <cell r="P72">
            <v>0</v>
          </cell>
          <cell r="Q72">
            <v>1</v>
          </cell>
          <cell r="R72">
            <v>9.25</v>
          </cell>
          <cell r="S72">
            <v>8</v>
          </cell>
          <cell r="T72">
            <v>9.25</v>
          </cell>
        </row>
        <row r="73">
          <cell r="B73" t="str">
            <v>25003548</v>
          </cell>
          <cell r="C73" t="str">
            <v>Phạm Thị Hoàng Vi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  <cell r="I73" t="str">
            <v>x</v>
          </cell>
          <cell r="J73" t="str">
            <v>x</v>
          </cell>
          <cell r="K73" t="str">
            <v>x</v>
          </cell>
          <cell r="L73" t="str">
            <v>x</v>
          </cell>
          <cell r="M73" t="str">
            <v>x</v>
          </cell>
          <cell r="N73">
            <v>10</v>
          </cell>
          <cell r="O73">
            <v>0</v>
          </cell>
          <cell r="P73">
            <v>0</v>
          </cell>
          <cell r="Q73">
            <v>0</v>
          </cell>
          <cell r="R73">
            <v>10</v>
          </cell>
          <cell r="S73">
            <v>9.8000000000000007</v>
          </cell>
          <cell r="T73">
            <v>10</v>
          </cell>
        </row>
        <row r="74">
          <cell r="B74" t="str">
            <v>25001532</v>
          </cell>
          <cell r="C74" t="str">
            <v>Phan Văn Việt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  <cell r="I74" t="str">
            <v>x</v>
          </cell>
          <cell r="J74" t="str">
            <v>x</v>
          </cell>
          <cell r="K74" t="str">
            <v>x</v>
          </cell>
          <cell r="L74" t="str">
            <v>x</v>
          </cell>
          <cell r="M74" t="str">
            <v>x</v>
          </cell>
          <cell r="N74">
            <v>10</v>
          </cell>
          <cell r="O74">
            <v>0</v>
          </cell>
          <cell r="P74">
            <v>0</v>
          </cell>
          <cell r="Q74">
            <v>0</v>
          </cell>
          <cell r="R74">
            <v>10</v>
          </cell>
          <cell r="S74">
            <v>6.5</v>
          </cell>
          <cell r="T74">
            <v>10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topLeftCell="A51" zoomScaleNormal="100" workbookViewId="0">
      <selection activeCell="J66" sqref="J66"/>
    </sheetView>
  </sheetViews>
  <sheetFormatPr baseColWidth="10" defaultColWidth="8.83203125" defaultRowHeight="15" x14ac:dyDescent="0.2"/>
  <cols>
    <col min="2" max="2" width="9.1640625" bestFit="1" customWidth="1"/>
  </cols>
  <sheetData>
    <row r="1" spans="1: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16" x14ac:dyDescent="0.2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2" x14ac:dyDescent="0.2">
      <c r="A3" s="2" t="s">
        <v>20</v>
      </c>
      <c r="B3" s="9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8">
        <f>VLOOKUP(B3,'[1]Theo dõi học tập'!$B$10:$T$74,19,0)</f>
        <v>9.5</v>
      </c>
      <c r="K3" s="8">
        <f>VLOOKUP(B3,'[1]Theo dõi học tập'!$B$10:$T$74,18,0)</f>
        <v>9.1999999999999993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8">
        <f>VLOOKUP(B4,'[1]Theo dõi học tập'!$B$10:$T$74,19,0)</f>
        <v>9</v>
      </c>
      <c r="K4" s="8">
        <f>VLOOKUP(B4,'[1]Theo dõi học tập'!$B$10:$T$74,18,0)</f>
        <v>6.5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8">
        <f>VLOOKUP(B5,'[1]Theo dõi học tập'!$B$10:$T$74,19,0)</f>
        <v>10</v>
      </c>
      <c r="K5" s="8">
        <f>VLOOKUP(B5,'[1]Theo dõi học tập'!$B$10:$T$74,18,0)</f>
        <v>9.5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8">
        <v>9.8000000000000007</v>
      </c>
      <c r="K6" s="8">
        <f>VLOOKUP(B6,'[1]Theo dõi học tập'!$B$10:$T$74,18,0)</f>
        <v>6.5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8">
        <f>VLOOKUP(B7,'[1]Theo dõi học tập'!$B$10:$T$74,19,0)</f>
        <v>10</v>
      </c>
      <c r="K7" s="8">
        <f>VLOOKUP(B7,'[1]Theo dõi học tập'!$B$10:$T$74,18,0)</f>
        <v>9.9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8">
        <f>VLOOKUP(B8,'[1]Theo dõi học tập'!$B$10:$T$74,19,0)</f>
        <v>10</v>
      </c>
      <c r="K8" s="8">
        <f>VLOOKUP(B8,'[1]Theo dõi học tập'!$B$10:$T$74,18,0)</f>
        <v>9.6999999999999993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8">
        <f>VLOOKUP(B9,'[1]Theo dõi học tập'!$B$10:$T$74,19,0)</f>
        <v>10</v>
      </c>
      <c r="K9" s="8">
        <f>VLOOKUP(B9,'[1]Theo dõi học tập'!$B$10:$T$74,18,0)</f>
        <v>8.1999999999999993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26</v>
      </c>
      <c r="H10" s="2" t="s">
        <v>20</v>
      </c>
      <c r="I10" s="2" t="s">
        <v>20</v>
      </c>
      <c r="J10" s="8">
        <f>VLOOKUP(B10,'[1]Theo dõi học tập'!$B$10:$T$74,19,0)</f>
        <v>8.5</v>
      </c>
      <c r="K10" s="8">
        <f>VLOOKUP(B10,'[1]Theo dõi học tập'!$B$10:$T$74,18,0)</f>
        <v>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48" x14ac:dyDescent="0.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8">
        <f>VLOOKUP(B11,'[1]Theo dõi học tập'!$B$10:$T$74,19,0)</f>
        <v>9</v>
      </c>
      <c r="K11" s="8">
        <f>VLOOKUP(B11,'[1]Theo dõi học tập'!$B$10:$T$74,18,0)</f>
        <v>9.1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8">
        <f>VLOOKUP(B12,'[1]Theo dõi học tập'!$B$10:$T$74,19,0)</f>
        <v>9</v>
      </c>
      <c r="K12" s="8">
        <f>VLOOKUP(B12,'[1]Theo dõi học tập'!$B$10:$T$74,18,0)</f>
        <v>8.4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8">
        <f>VLOOKUP(B13,'[1]Theo dõi học tập'!$B$10:$T$74,19,0)</f>
        <v>10</v>
      </c>
      <c r="K13" s="8">
        <f>VLOOKUP(B13,'[1]Theo dõi học tập'!$B$10:$T$74,18,0)</f>
        <v>9.5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76</v>
      </c>
      <c r="B14" s="2" t="s">
        <v>77</v>
      </c>
      <c r="C14" s="2" t="s">
        <v>34</v>
      </c>
      <c r="D14" s="2" t="s">
        <v>78</v>
      </c>
      <c r="E14" s="2" t="s">
        <v>79</v>
      </c>
      <c r="F14" s="2" t="s">
        <v>25</v>
      </c>
      <c r="G14" s="2" t="s">
        <v>26</v>
      </c>
      <c r="H14" s="2" t="s">
        <v>20</v>
      </c>
      <c r="I14" s="2" t="s">
        <v>20</v>
      </c>
      <c r="J14" s="8">
        <f>VLOOKUP(B14,'[1]Theo dõi học tập'!$B$10:$T$74,19,0)</f>
        <v>10</v>
      </c>
      <c r="K14" s="8">
        <f>VLOOKUP(B14,'[1]Theo dõi học tập'!$B$10:$T$74,18,0)</f>
        <v>9.8000000000000007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8">
        <f>VLOOKUP(B15,'[1]Theo dõi học tập'!$B$10:$T$74,19,0)</f>
        <v>10</v>
      </c>
      <c r="K15" s="8">
        <f>VLOOKUP(B15,'[1]Theo dõi học tập'!$B$10:$T$74,18,0)</f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25</v>
      </c>
      <c r="G16" s="2" t="s">
        <v>26</v>
      </c>
      <c r="H16" s="2" t="s">
        <v>20</v>
      </c>
      <c r="I16" s="2" t="s">
        <v>20</v>
      </c>
      <c r="J16" s="8">
        <f>VLOOKUP(B16,'[1]Theo dõi học tập'!$B$10:$T$74,19,0)</f>
        <v>5</v>
      </c>
      <c r="K16" s="8">
        <f>VLOOKUP(B16,'[1]Theo dõi học tập'!$B$10:$T$74,18,0)</f>
        <v>7.5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90</v>
      </c>
      <c r="B17" s="2" t="s">
        <v>91</v>
      </c>
      <c r="C17" s="2" t="s">
        <v>92</v>
      </c>
      <c r="D17" s="2" t="s">
        <v>88</v>
      </c>
      <c r="E17" s="2" t="s">
        <v>93</v>
      </c>
      <c r="F17" s="2" t="s">
        <v>25</v>
      </c>
      <c r="G17" s="2" t="s">
        <v>26</v>
      </c>
      <c r="H17" s="2" t="s">
        <v>20</v>
      </c>
      <c r="I17" s="2" t="s">
        <v>20</v>
      </c>
      <c r="J17" s="8">
        <f>VLOOKUP(B17,'[1]Theo dõi học tập'!$B$10:$T$74,19,0)</f>
        <v>10</v>
      </c>
      <c r="K17" s="8">
        <f>VLOOKUP(B17,'[1]Theo dõi học tập'!$B$10:$T$74,18,0)</f>
        <v>8.1999999999999993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94</v>
      </c>
      <c r="B18" s="2" t="s">
        <v>95</v>
      </c>
      <c r="C18" s="2" t="s">
        <v>92</v>
      </c>
      <c r="D18" s="2" t="s">
        <v>96</v>
      </c>
      <c r="E18" s="2" t="s">
        <v>97</v>
      </c>
      <c r="F18" s="2" t="s">
        <v>25</v>
      </c>
      <c r="G18" s="2" t="s">
        <v>26</v>
      </c>
      <c r="H18" s="2" t="s">
        <v>20</v>
      </c>
      <c r="I18" s="2" t="s">
        <v>20</v>
      </c>
      <c r="J18" s="8">
        <f>VLOOKUP(B18,'[1]Theo dõi học tập'!$B$10:$T$74,19,0)</f>
        <v>8</v>
      </c>
      <c r="K18" s="8">
        <f>VLOOKUP(B18,'[1]Theo dõi học tập'!$B$10:$T$74,18,0)</f>
        <v>9.5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25</v>
      </c>
      <c r="G19" s="2" t="s">
        <v>26</v>
      </c>
      <c r="H19" s="2" t="s">
        <v>20</v>
      </c>
      <c r="I19" s="2" t="s">
        <v>20</v>
      </c>
      <c r="J19" s="8">
        <f>VLOOKUP(B19,'[1]Theo dõi học tập'!$B$10:$T$74,19,0)</f>
        <v>9</v>
      </c>
      <c r="K19" s="8">
        <f>VLOOKUP(B19,'[1]Theo dõi học tập'!$B$10:$T$74,18,0)</f>
        <v>8.5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25</v>
      </c>
      <c r="G20" s="2" t="s">
        <v>26</v>
      </c>
      <c r="H20" s="2" t="s">
        <v>20</v>
      </c>
      <c r="I20" s="2" t="s">
        <v>20</v>
      </c>
      <c r="J20" s="8">
        <f>VLOOKUP(B20,'[1]Theo dõi học tập'!$B$10:$T$74,19,0)</f>
        <v>0</v>
      </c>
      <c r="K20" s="8">
        <f>VLOOKUP(B20,'[1]Theo dõi học tập'!$B$10:$T$74,18,0)</f>
        <v>0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25</v>
      </c>
      <c r="G21" s="2" t="s">
        <v>26</v>
      </c>
      <c r="H21" s="2" t="s">
        <v>20</v>
      </c>
      <c r="I21" s="2" t="s">
        <v>20</v>
      </c>
      <c r="J21" s="8">
        <f>VLOOKUP(B21,'[1]Theo dõi học tập'!$B$10:$T$74,19,0)</f>
        <v>10</v>
      </c>
      <c r="K21" s="8">
        <f>VLOOKUP(B21,'[1]Theo dõi học tập'!$B$10:$T$74,18,0)</f>
        <v>8.1999999999999993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25</v>
      </c>
      <c r="G22" s="2" t="s">
        <v>26</v>
      </c>
      <c r="H22" s="2" t="s">
        <v>20</v>
      </c>
      <c r="I22" s="2" t="s">
        <v>20</v>
      </c>
      <c r="J22" s="8">
        <f>VLOOKUP(B22,'[1]Theo dõi học tập'!$B$10:$T$74,19,0)</f>
        <v>10</v>
      </c>
      <c r="K22" s="8">
        <f>VLOOKUP(B22,'[1]Theo dõi học tập'!$B$10:$T$74,18,0)</f>
        <v>9.1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25</v>
      </c>
      <c r="G23" s="2" t="s">
        <v>26</v>
      </c>
      <c r="H23" s="2" t="s">
        <v>20</v>
      </c>
      <c r="I23" s="2" t="s">
        <v>20</v>
      </c>
      <c r="J23" s="8">
        <f>VLOOKUP(B23,'[1]Theo dõi học tập'!$B$10:$T$74,19,0)</f>
        <v>10</v>
      </c>
      <c r="K23" s="8">
        <f>VLOOKUP(B23,'[1]Theo dõi học tập'!$B$10:$T$74,18,0)</f>
        <v>9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8">
        <f>VLOOKUP(B24,'[1]Theo dõi học tập'!$B$10:$T$74,19,0)</f>
        <v>10</v>
      </c>
      <c r="K24" s="8">
        <f>VLOOKUP(B24,'[1]Theo dõi học tập'!$B$10:$T$74,18,0)</f>
        <v>8.1999999999999993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8">
        <f>VLOOKUP(B25,'[1]Theo dõi học tập'!$B$10:$T$74,19,0)</f>
        <v>9.5</v>
      </c>
      <c r="K25" s="8">
        <f>VLOOKUP(B25,'[1]Theo dõi học tập'!$B$10:$T$74,18,0)</f>
        <v>9.6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35</v>
      </c>
      <c r="F26" s="2" t="s">
        <v>25</v>
      </c>
      <c r="G26" s="2" t="s">
        <v>26</v>
      </c>
      <c r="H26" s="2" t="s">
        <v>20</v>
      </c>
      <c r="I26" s="2" t="s">
        <v>20</v>
      </c>
      <c r="J26" s="8">
        <f>VLOOKUP(B26,'[1]Theo dõi học tập'!$B$10:$T$74,19,0)</f>
        <v>10</v>
      </c>
      <c r="K26" s="8">
        <f>VLOOKUP(B26,'[1]Theo dõi học tập'!$B$10:$T$74,18,0)</f>
        <v>8.6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137</v>
      </c>
      <c r="B27" s="2" t="s">
        <v>138</v>
      </c>
      <c r="C27" s="2" t="s">
        <v>139</v>
      </c>
      <c r="D27" s="2" t="s">
        <v>136</v>
      </c>
      <c r="E27" s="2" t="s">
        <v>140</v>
      </c>
      <c r="F27" s="2" t="s">
        <v>25</v>
      </c>
      <c r="G27" s="2" t="s">
        <v>26</v>
      </c>
      <c r="H27" s="2" t="s">
        <v>20</v>
      </c>
      <c r="I27" s="2" t="s">
        <v>20</v>
      </c>
      <c r="J27" s="8">
        <f>VLOOKUP(B27,'[1]Theo dõi học tập'!$B$10:$T$74,19,0)</f>
        <v>10</v>
      </c>
      <c r="K27" s="8">
        <f>VLOOKUP(B27,'[1]Theo dõi học tập'!$B$10:$T$74,18,0)</f>
        <v>8.5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141</v>
      </c>
      <c r="B28" s="2" t="s">
        <v>142</v>
      </c>
      <c r="C28" s="2" t="s">
        <v>143</v>
      </c>
      <c r="D28" s="2" t="s">
        <v>136</v>
      </c>
      <c r="E28" s="2" t="s">
        <v>70</v>
      </c>
      <c r="F28" s="2" t="s">
        <v>25</v>
      </c>
      <c r="G28" s="2" t="s">
        <v>26</v>
      </c>
      <c r="H28" s="2" t="s">
        <v>20</v>
      </c>
      <c r="I28" s="2" t="s">
        <v>20</v>
      </c>
      <c r="J28" s="8">
        <f>VLOOKUP(B28,'[1]Theo dõi học tập'!$B$10:$T$74,19,0)</f>
        <v>10</v>
      </c>
      <c r="K28" s="8">
        <f>VLOOKUP(B28,'[1]Theo dõi học tập'!$B$10:$T$74,18,0)</f>
        <v>9.8000000000000007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144</v>
      </c>
      <c r="B29" s="2" t="s">
        <v>145</v>
      </c>
      <c r="C29" s="2" t="s">
        <v>146</v>
      </c>
      <c r="D29" s="2" t="s">
        <v>136</v>
      </c>
      <c r="E29" s="2" t="s">
        <v>147</v>
      </c>
      <c r="F29" s="2" t="s">
        <v>25</v>
      </c>
      <c r="G29" s="2" t="s">
        <v>26</v>
      </c>
      <c r="H29" s="2" t="s">
        <v>20</v>
      </c>
      <c r="I29" s="2" t="s">
        <v>20</v>
      </c>
      <c r="J29" s="8">
        <f>VLOOKUP(B29,'[1]Theo dõi học tập'!$B$10:$T$74,19,0)</f>
        <v>9</v>
      </c>
      <c r="K29" s="8">
        <f>VLOOKUP(B29,'[1]Theo dõi học tập'!$B$10:$T$74,18,0)</f>
        <v>5.3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148</v>
      </c>
      <c r="B30" s="2" t="s">
        <v>149</v>
      </c>
      <c r="C30" s="2" t="s">
        <v>150</v>
      </c>
      <c r="D30" s="2" t="s">
        <v>151</v>
      </c>
      <c r="E30" s="2" t="s">
        <v>152</v>
      </c>
      <c r="F30" s="2" t="s">
        <v>25</v>
      </c>
      <c r="G30" s="2" t="s">
        <v>26</v>
      </c>
      <c r="H30" s="2" t="s">
        <v>20</v>
      </c>
      <c r="I30" s="2" t="s">
        <v>20</v>
      </c>
      <c r="J30" s="8">
        <f>VLOOKUP(B30,'[1]Theo dõi học tập'!$B$10:$T$74,19,0)</f>
        <v>10</v>
      </c>
      <c r="K30" s="8">
        <f>VLOOKUP(B30,'[1]Theo dõi học tập'!$B$10:$T$74,18,0)</f>
        <v>8.6999999999999993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153</v>
      </c>
      <c r="B31" s="2" t="s">
        <v>154</v>
      </c>
      <c r="C31" s="2" t="s">
        <v>155</v>
      </c>
      <c r="D31" s="2" t="s">
        <v>156</v>
      </c>
      <c r="E31" s="2" t="s">
        <v>157</v>
      </c>
      <c r="F31" s="2" t="s">
        <v>25</v>
      </c>
      <c r="G31" s="2" t="s">
        <v>26</v>
      </c>
      <c r="H31" s="2" t="s">
        <v>20</v>
      </c>
      <c r="I31" s="2" t="s">
        <v>20</v>
      </c>
      <c r="J31" s="8">
        <f>VLOOKUP(B31,'[1]Theo dõi học tập'!$B$10:$T$74,19,0)</f>
        <v>0</v>
      </c>
      <c r="K31" s="8">
        <f>VLOOKUP(B31,'[1]Theo dõi học tập'!$B$10:$T$74,18,0)</f>
        <v>0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158</v>
      </c>
      <c r="B32" s="2" t="s">
        <v>159</v>
      </c>
      <c r="C32" s="2" t="s">
        <v>160</v>
      </c>
      <c r="D32" s="2" t="s">
        <v>156</v>
      </c>
      <c r="E32" s="2" t="s">
        <v>97</v>
      </c>
      <c r="F32" s="2" t="s">
        <v>25</v>
      </c>
      <c r="G32" s="2" t="s">
        <v>26</v>
      </c>
      <c r="H32" s="2" t="s">
        <v>20</v>
      </c>
      <c r="I32" s="2" t="s">
        <v>20</v>
      </c>
      <c r="J32" s="8">
        <f>VLOOKUP(B32,'[1]Theo dõi học tập'!$B$10:$T$74,19,0)</f>
        <v>10</v>
      </c>
      <c r="K32" s="8">
        <f>VLOOKUP(B32,'[1]Theo dõi học tập'!$B$10:$T$74,18,0)</f>
        <v>8.6999999999999993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161</v>
      </c>
      <c r="B33" s="2" t="s">
        <v>162</v>
      </c>
      <c r="C33" s="2" t="s">
        <v>163</v>
      </c>
      <c r="D33" s="2" t="s">
        <v>164</v>
      </c>
      <c r="E33" s="2" t="s">
        <v>165</v>
      </c>
      <c r="F33" s="2" t="s">
        <v>25</v>
      </c>
      <c r="G33" s="2" t="s">
        <v>26</v>
      </c>
      <c r="H33" s="2" t="s">
        <v>20</v>
      </c>
      <c r="I33" s="2" t="s">
        <v>20</v>
      </c>
      <c r="J33" s="8">
        <v>8.3000000000000007</v>
      </c>
      <c r="K33" s="8">
        <f>VLOOKUP(B33,'[1]Theo dõi học tập'!$B$10:$T$74,18,0)</f>
        <v>6.5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166</v>
      </c>
      <c r="B34" s="2" t="s">
        <v>167</v>
      </c>
      <c r="C34" s="2" t="s">
        <v>163</v>
      </c>
      <c r="D34" s="2" t="s">
        <v>168</v>
      </c>
      <c r="E34" s="2" t="s">
        <v>169</v>
      </c>
      <c r="F34" s="2" t="s">
        <v>25</v>
      </c>
      <c r="G34" s="2" t="s">
        <v>26</v>
      </c>
      <c r="H34" s="2" t="s">
        <v>20</v>
      </c>
      <c r="I34" s="2" t="s">
        <v>20</v>
      </c>
      <c r="J34" s="8">
        <f>VLOOKUP(B34,'[1]Theo dõi học tập'!$B$10:$T$74,19,0)</f>
        <v>10</v>
      </c>
      <c r="K34" s="8">
        <f>VLOOKUP(B34,'[1]Theo dõi học tập'!$B$10:$T$74,18,0)</f>
        <v>9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170</v>
      </c>
      <c r="B35" s="2" t="s">
        <v>171</v>
      </c>
      <c r="C35" s="2" t="s">
        <v>172</v>
      </c>
      <c r="D35" s="2" t="s">
        <v>173</v>
      </c>
      <c r="E35" s="2" t="s">
        <v>174</v>
      </c>
      <c r="F35" s="2" t="s">
        <v>25</v>
      </c>
      <c r="G35" s="2" t="s">
        <v>26</v>
      </c>
      <c r="H35" s="2" t="s">
        <v>20</v>
      </c>
      <c r="I35" s="2" t="s">
        <v>20</v>
      </c>
      <c r="J35" s="8">
        <f>VLOOKUP(B35,'[1]Theo dõi học tập'!$B$10:$T$74,19,0)</f>
        <v>9</v>
      </c>
      <c r="K35" s="8">
        <f>VLOOKUP(B35,'[1]Theo dõi học tập'!$B$10:$T$74,18,0)</f>
        <v>6.5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175</v>
      </c>
      <c r="B36" s="2" t="s">
        <v>176</v>
      </c>
      <c r="C36" s="2" t="s">
        <v>177</v>
      </c>
      <c r="D36" s="2" t="s">
        <v>173</v>
      </c>
      <c r="E36" s="2" t="s">
        <v>178</v>
      </c>
      <c r="F36" s="2" t="s">
        <v>25</v>
      </c>
      <c r="G36" s="2" t="s">
        <v>26</v>
      </c>
      <c r="H36" s="2" t="s">
        <v>20</v>
      </c>
      <c r="I36" s="2" t="s">
        <v>20</v>
      </c>
      <c r="J36" s="8">
        <f>VLOOKUP(B36,'[1]Theo dõi học tập'!$B$10:$T$74,19,0)</f>
        <v>9.5</v>
      </c>
      <c r="K36" s="8">
        <f>VLOOKUP(B36,'[1]Theo dõi học tập'!$B$10:$T$74,18,0)</f>
        <v>9.9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179</v>
      </c>
      <c r="B37" s="2" t="s">
        <v>180</v>
      </c>
      <c r="C37" s="2" t="s">
        <v>181</v>
      </c>
      <c r="D37" s="2" t="s">
        <v>182</v>
      </c>
      <c r="E37" s="2" t="s">
        <v>183</v>
      </c>
      <c r="F37" s="2" t="s">
        <v>25</v>
      </c>
      <c r="G37" s="2" t="s">
        <v>26</v>
      </c>
      <c r="H37" s="2" t="s">
        <v>20</v>
      </c>
      <c r="I37" s="2" t="s">
        <v>20</v>
      </c>
      <c r="J37" s="8">
        <f>VLOOKUP(B37,'[1]Theo dõi học tập'!$B$10:$T$74,19,0)</f>
        <v>9.5</v>
      </c>
      <c r="K37" s="8">
        <f>VLOOKUP(B37,'[1]Theo dõi học tập'!$B$10:$T$74,18,0)</f>
        <v>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184</v>
      </c>
      <c r="B38" s="2" t="s">
        <v>185</v>
      </c>
      <c r="C38" s="2" t="s">
        <v>186</v>
      </c>
      <c r="D38" s="2" t="s">
        <v>187</v>
      </c>
      <c r="E38" s="2" t="s">
        <v>188</v>
      </c>
      <c r="F38" s="2" t="s">
        <v>25</v>
      </c>
      <c r="G38" s="2" t="s">
        <v>26</v>
      </c>
      <c r="H38" s="2" t="s">
        <v>20</v>
      </c>
      <c r="I38" s="2" t="s">
        <v>20</v>
      </c>
      <c r="J38" s="8">
        <f>VLOOKUP(B38,'[1]Theo dõi học tập'!$B$10:$T$74,19,0)</f>
        <v>9.5</v>
      </c>
      <c r="K38" s="8">
        <f>VLOOKUP(B38,'[1]Theo dõi học tập'!$B$10:$T$74,18,0)</f>
        <v>9.1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189</v>
      </c>
      <c r="B39" s="2" t="s">
        <v>190</v>
      </c>
      <c r="C39" s="2" t="s">
        <v>191</v>
      </c>
      <c r="D39" s="2" t="s">
        <v>192</v>
      </c>
      <c r="E39" s="2" t="s">
        <v>193</v>
      </c>
      <c r="F39" s="2" t="s">
        <v>25</v>
      </c>
      <c r="G39" s="2" t="s">
        <v>26</v>
      </c>
      <c r="H39" s="2" t="s">
        <v>20</v>
      </c>
      <c r="I39" s="2" t="s">
        <v>20</v>
      </c>
      <c r="J39" s="8">
        <f>VLOOKUP(B39,'[1]Theo dõi học tập'!$B$10:$T$74,19,0)</f>
        <v>10</v>
      </c>
      <c r="K39" s="8">
        <f>VLOOKUP(B39,'[1]Theo dõi học tập'!$B$10:$T$74,18,0)</f>
        <v>8.5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194</v>
      </c>
      <c r="B40" s="2" t="s">
        <v>195</v>
      </c>
      <c r="C40" s="2" t="s">
        <v>196</v>
      </c>
      <c r="D40" s="2" t="s">
        <v>197</v>
      </c>
      <c r="E40" s="2" t="s">
        <v>198</v>
      </c>
      <c r="F40" s="2" t="s">
        <v>25</v>
      </c>
      <c r="G40" s="2" t="s">
        <v>26</v>
      </c>
      <c r="H40" s="2" t="s">
        <v>20</v>
      </c>
      <c r="I40" s="2" t="s">
        <v>20</v>
      </c>
      <c r="J40" s="8">
        <f>VLOOKUP(B40,'[1]Theo dõi học tập'!$B$10:$T$74,19,0)</f>
        <v>10</v>
      </c>
      <c r="K40" s="8">
        <f>VLOOKUP(B40,'[1]Theo dõi học tập'!$B$10:$T$74,18,0)</f>
        <v>8.8000000000000007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199</v>
      </c>
      <c r="B41" s="2" t="s">
        <v>200</v>
      </c>
      <c r="C41" s="2" t="s">
        <v>191</v>
      </c>
      <c r="D41" s="2" t="s">
        <v>201</v>
      </c>
      <c r="E41" s="2" t="s">
        <v>202</v>
      </c>
      <c r="F41" s="2" t="s">
        <v>25</v>
      </c>
      <c r="G41" s="2" t="s">
        <v>26</v>
      </c>
      <c r="H41" s="2" t="s">
        <v>20</v>
      </c>
      <c r="I41" s="2" t="s">
        <v>20</v>
      </c>
      <c r="J41" s="8">
        <f>VLOOKUP(B41,'[1]Theo dõi học tập'!$B$10:$T$74,19,0)</f>
        <v>10</v>
      </c>
      <c r="K41" s="8">
        <f>VLOOKUP(B41,'[1]Theo dõi học tập'!$B$10:$T$74,18,0)</f>
        <v>8.5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203</v>
      </c>
      <c r="B42" s="2" t="s">
        <v>204</v>
      </c>
      <c r="C42" s="2" t="s">
        <v>110</v>
      </c>
      <c r="D42" s="2" t="s">
        <v>201</v>
      </c>
      <c r="E42" s="2" t="s">
        <v>205</v>
      </c>
      <c r="F42" s="2" t="s">
        <v>25</v>
      </c>
      <c r="G42" s="2" t="s">
        <v>26</v>
      </c>
      <c r="H42" s="2" t="s">
        <v>20</v>
      </c>
      <c r="I42" s="2" t="s">
        <v>20</v>
      </c>
      <c r="J42" s="8">
        <f>VLOOKUP(B42,'[1]Theo dõi học tập'!$B$10:$T$74,19,0)</f>
        <v>9</v>
      </c>
      <c r="K42" s="8">
        <f>VLOOKUP(B42,'[1]Theo dõi học tập'!$B$10:$T$74,18,0)</f>
        <v>8.1999999999999993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206</v>
      </c>
      <c r="B43" s="2" t="s">
        <v>207</v>
      </c>
      <c r="C43" s="2" t="s">
        <v>208</v>
      </c>
      <c r="D43" s="2" t="s">
        <v>209</v>
      </c>
      <c r="E43" s="2" t="s">
        <v>97</v>
      </c>
      <c r="F43" s="2" t="s">
        <v>25</v>
      </c>
      <c r="G43" s="2" t="s">
        <v>26</v>
      </c>
      <c r="H43" s="2" t="s">
        <v>20</v>
      </c>
      <c r="I43" s="2" t="s">
        <v>20</v>
      </c>
      <c r="J43" s="8">
        <v>7.8</v>
      </c>
      <c r="K43" s="8">
        <f>VLOOKUP(B43,'[1]Theo dõi học tập'!$B$10:$T$74,18,0)</f>
        <v>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210</v>
      </c>
      <c r="B44" s="2" t="s">
        <v>211</v>
      </c>
      <c r="C44" s="2" t="s">
        <v>212</v>
      </c>
      <c r="D44" s="2" t="s">
        <v>213</v>
      </c>
      <c r="E44" s="2" t="s">
        <v>214</v>
      </c>
      <c r="F44" s="2" t="s">
        <v>25</v>
      </c>
      <c r="G44" s="2" t="s">
        <v>26</v>
      </c>
      <c r="H44" s="2" t="s">
        <v>20</v>
      </c>
      <c r="I44" s="2" t="s">
        <v>20</v>
      </c>
      <c r="J44" s="8">
        <f>VLOOKUP(B44,'[1]Theo dõi học tập'!$B$10:$T$74,19,0)</f>
        <v>9.5</v>
      </c>
      <c r="K44" s="8">
        <f>VLOOKUP(B44,'[1]Theo dõi học tập'!$B$10:$T$74,18,0)</f>
        <v>9.5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215</v>
      </c>
      <c r="B45" s="2" t="s">
        <v>216</v>
      </c>
      <c r="C45" s="2" t="s">
        <v>217</v>
      </c>
      <c r="D45" s="2" t="s">
        <v>213</v>
      </c>
      <c r="E45" s="2" t="s">
        <v>202</v>
      </c>
      <c r="F45" s="2" t="s">
        <v>25</v>
      </c>
      <c r="G45" s="2" t="s">
        <v>26</v>
      </c>
      <c r="H45" s="2" t="s">
        <v>20</v>
      </c>
      <c r="I45" s="2" t="s">
        <v>20</v>
      </c>
      <c r="J45" s="8">
        <f>VLOOKUP(B45,'[1]Theo dõi học tập'!$B$10:$T$74,19,0)</f>
        <v>9</v>
      </c>
      <c r="K45" s="8">
        <f>VLOOKUP(B45,'[1]Theo dõi học tập'!$B$10:$T$74,18,0)</f>
        <v>9.5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218</v>
      </c>
      <c r="B46" s="2" t="s">
        <v>219</v>
      </c>
      <c r="C46" s="2" t="s">
        <v>115</v>
      </c>
      <c r="D46" s="2" t="s">
        <v>220</v>
      </c>
      <c r="E46" s="2" t="s">
        <v>221</v>
      </c>
      <c r="F46" s="2" t="s">
        <v>25</v>
      </c>
      <c r="G46" s="2" t="s">
        <v>26</v>
      </c>
      <c r="H46" s="2" t="s">
        <v>20</v>
      </c>
      <c r="I46" s="2" t="s">
        <v>20</v>
      </c>
      <c r="J46" s="8">
        <f>VLOOKUP(B46,'[1]Theo dõi học tập'!$B$10:$T$74,19,0)</f>
        <v>9.5</v>
      </c>
      <c r="K46" s="8">
        <f>VLOOKUP(B46,'[1]Theo dõi học tập'!$B$10:$T$74,18,0)</f>
        <v>9.6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222</v>
      </c>
      <c r="B47" s="2" t="s">
        <v>223</v>
      </c>
      <c r="C47" s="2" t="s">
        <v>224</v>
      </c>
      <c r="D47" s="2" t="s">
        <v>225</v>
      </c>
      <c r="E47" s="2" t="s">
        <v>226</v>
      </c>
      <c r="F47" s="2" t="s">
        <v>25</v>
      </c>
      <c r="G47" s="2" t="s">
        <v>26</v>
      </c>
      <c r="H47" s="2" t="s">
        <v>20</v>
      </c>
      <c r="I47" s="2" t="s">
        <v>20</v>
      </c>
      <c r="J47" s="8">
        <f>VLOOKUP(B47,'[1]Theo dõi học tập'!$B$10:$T$74,19,0)</f>
        <v>8</v>
      </c>
      <c r="K47" s="8">
        <f>VLOOKUP(B47,'[1]Theo dõi học tập'!$B$10:$T$74,18,0)</f>
        <v>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227</v>
      </c>
      <c r="B48" s="2" t="s">
        <v>228</v>
      </c>
      <c r="C48" s="2" t="s">
        <v>229</v>
      </c>
      <c r="D48" s="2" t="s">
        <v>230</v>
      </c>
      <c r="E48" s="2" t="s">
        <v>231</v>
      </c>
      <c r="F48" s="2" t="s">
        <v>25</v>
      </c>
      <c r="G48" s="2" t="s">
        <v>26</v>
      </c>
      <c r="H48" s="2" t="s">
        <v>20</v>
      </c>
      <c r="I48" s="2" t="s">
        <v>20</v>
      </c>
      <c r="J48" s="8">
        <f>VLOOKUP(B48,'[1]Theo dõi học tập'!$B$10:$T$74,19,0)</f>
        <v>8</v>
      </c>
      <c r="K48" s="8">
        <f>VLOOKUP(B48,'[1]Theo dõi học tập'!$B$10:$T$74,18,0)</f>
        <v>8.6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232</v>
      </c>
      <c r="B49" s="2" t="s">
        <v>233</v>
      </c>
      <c r="C49" s="2" t="s">
        <v>42</v>
      </c>
      <c r="D49" s="2" t="s">
        <v>234</v>
      </c>
      <c r="E49" s="2" t="s">
        <v>235</v>
      </c>
      <c r="F49" s="2" t="s">
        <v>25</v>
      </c>
      <c r="G49" s="2" t="s">
        <v>26</v>
      </c>
      <c r="H49" s="2" t="s">
        <v>20</v>
      </c>
      <c r="I49" s="2" t="s">
        <v>20</v>
      </c>
      <c r="J49" s="8">
        <f>VLOOKUP(B49,'[1]Theo dõi học tập'!$B$10:$T$74,19,0)</f>
        <v>5</v>
      </c>
      <c r="K49" s="8">
        <f>VLOOKUP(B49,'[1]Theo dõi học tập'!$B$10:$T$74,18,0)</f>
        <v>9.5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236</v>
      </c>
      <c r="B50" s="2" t="s">
        <v>237</v>
      </c>
      <c r="C50" s="2" t="s">
        <v>238</v>
      </c>
      <c r="D50" s="2" t="s">
        <v>234</v>
      </c>
      <c r="E50" s="2" t="s">
        <v>39</v>
      </c>
      <c r="F50" s="2" t="s">
        <v>25</v>
      </c>
      <c r="G50" s="2" t="s">
        <v>26</v>
      </c>
      <c r="H50" s="2" t="s">
        <v>20</v>
      </c>
      <c r="I50" s="2" t="s">
        <v>20</v>
      </c>
      <c r="J50" s="8">
        <f>VLOOKUP(B50,'[1]Theo dõi học tập'!$B$10:$T$74,19,0)</f>
        <v>10</v>
      </c>
      <c r="K50" s="8">
        <f>VLOOKUP(B50,'[1]Theo dõi học tập'!$B$10:$T$74,18,0)</f>
        <v>8.1999999999999993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239</v>
      </c>
      <c r="B51" s="2" t="s">
        <v>240</v>
      </c>
      <c r="C51" s="2" t="s">
        <v>241</v>
      </c>
      <c r="D51" s="2" t="s">
        <v>242</v>
      </c>
      <c r="E51" s="2" t="s">
        <v>169</v>
      </c>
      <c r="F51" s="2" t="s">
        <v>25</v>
      </c>
      <c r="G51" s="2" t="s">
        <v>26</v>
      </c>
      <c r="H51" s="2" t="s">
        <v>20</v>
      </c>
      <c r="I51" s="2" t="s">
        <v>20</v>
      </c>
      <c r="J51" s="8">
        <f>VLOOKUP(B51,'[1]Theo dõi học tập'!$B$10:$T$74,19,0)</f>
        <v>9.5</v>
      </c>
      <c r="K51" s="8">
        <f>VLOOKUP(B51,'[1]Theo dõi học tập'!$B$10:$T$74,18,0)</f>
        <v>8.5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243</v>
      </c>
      <c r="B52" s="2" t="s">
        <v>244</v>
      </c>
      <c r="C52" s="2" t="s">
        <v>245</v>
      </c>
      <c r="D52" s="2" t="s">
        <v>242</v>
      </c>
      <c r="E52" s="2" t="s">
        <v>246</v>
      </c>
      <c r="F52" s="2" t="s">
        <v>25</v>
      </c>
      <c r="G52" s="2" t="s">
        <v>26</v>
      </c>
      <c r="H52" s="2" t="s">
        <v>20</v>
      </c>
      <c r="I52" s="2" t="s">
        <v>20</v>
      </c>
      <c r="J52" s="8">
        <f>VLOOKUP(B52,'[1]Theo dõi học tập'!$B$10:$T$74,19,0)</f>
        <v>9.5</v>
      </c>
      <c r="K52" s="8">
        <f>VLOOKUP(B52,'[1]Theo dõi học tập'!$B$10:$T$74,18,0)</f>
        <v>8.1999999999999993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247</v>
      </c>
      <c r="B53" s="2" t="s">
        <v>248</v>
      </c>
      <c r="C53" s="2" t="s">
        <v>42</v>
      </c>
      <c r="D53" s="2" t="s">
        <v>242</v>
      </c>
      <c r="E53" s="2" t="s">
        <v>249</v>
      </c>
      <c r="F53" s="2" t="s">
        <v>25</v>
      </c>
      <c r="G53" s="2" t="s">
        <v>26</v>
      </c>
      <c r="H53" s="2" t="s">
        <v>20</v>
      </c>
      <c r="I53" s="2" t="s">
        <v>20</v>
      </c>
      <c r="J53" s="8">
        <f>VLOOKUP(B53,'[1]Theo dõi học tập'!$B$10:$T$74,19,0)</f>
        <v>10</v>
      </c>
      <c r="K53" s="8">
        <f>VLOOKUP(B53,'[1]Theo dõi học tập'!$B$10:$T$74,18,0)</f>
        <v>9.8000000000000007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250</v>
      </c>
      <c r="B54" s="2" t="s">
        <v>251</v>
      </c>
      <c r="C54" s="2" t="s">
        <v>163</v>
      </c>
      <c r="D54" s="2" t="s">
        <v>252</v>
      </c>
      <c r="E54" s="2" t="s">
        <v>253</v>
      </c>
      <c r="F54" s="2" t="s">
        <v>25</v>
      </c>
      <c r="G54" s="2" t="s">
        <v>26</v>
      </c>
      <c r="H54" s="2" t="s">
        <v>20</v>
      </c>
      <c r="I54" s="2" t="s">
        <v>20</v>
      </c>
      <c r="J54" s="8">
        <f>VLOOKUP(B54,'[1]Theo dõi học tập'!$B$10:$T$74,19,0)</f>
        <v>8.5</v>
      </c>
      <c r="K54" s="8">
        <f>VLOOKUP(B54,'[1]Theo dõi học tập'!$B$10:$T$74,18,0)</f>
        <v>8.1999999999999993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254</v>
      </c>
      <c r="B55" s="2" t="s">
        <v>255</v>
      </c>
      <c r="C55" s="2" t="s">
        <v>256</v>
      </c>
      <c r="D55" s="2" t="s">
        <v>257</v>
      </c>
      <c r="E55" s="2" t="s">
        <v>258</v>
      </c>
      <c r="F55" s="2" t="s">
        <v>25</v>
      </c>
      <c r="G55" s="2" t="s">
        <v>26</v>
      </c>
      <c r="H55" s="2" t="s">
        <v>20</v>
      </c>
      <c r="I55" s="2" t="s">
        <v>20</v>
      </c>
      <c r="J55" s="8">
        <f>VLOOKUP(B55,'[1]Theo dõi học tập'!$B$10:$T$74,19,0)</f>
        <v>10</v>
      </c>
      <c r="K55" s="8">
        <f>VLOOKUP(B55,'[1]Theo dõi học tập'!$B$10:$T$74,18,0)</f>
        <v>8.1999999999999993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259</v>
      </c>
      <c r="B56" s="2" t="s">
        <v>260</v>
      </c>
      <c r="C56" s="2" t="s">
        <v>261</v>
      </c>
      <c r="D56" s="2" t="s">
        <v>262</v>
      </c>
      <c r="E56" s="2" t="s">
        <v>263</v>
      </c>
      <c r="F56" s="2" t="s">
        <v>25</v>
      </c>
      <c r="G56" s="2" t="s">
        <v>26</v>
      </c>
      <c r="H56" s="2" t="s">
        <v>20</v>
      </c>
      <c r="I56" s="2" t="s">
        <v>20</v>
      </c>
      <c r="J56" s="8">
        <f>VLOOKUP(B56,'[1]Theo dõi học tập'!$B$10:$T$74,19,0)</f>
        <v>10</v>
      </c>
      <c r="K56" s="8">
        <f>VLOOKUP(B56,'[1]Theo dõi học tập'!$B$10:$T$74,18,0)</f>
        <v>9.1999999999999993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264</v>
      </c>
      <c r="B57" s="2" t="s">
        <v>265</v>
      </c>
      <c r="C57" s="2" t="s">
        <v>266</v>
      </c>
      <c r="D57" s="2" t="s">
        <v>262</v>
      </c>
      <c r="E57" s="2" t="s">
        <v>267</v>
      </c>
      <c r="F57" s="2" t="s">
        <v>25</v>
      </c>
      <c r="G57" s="2" t="s">
        <v>26</v>
      </c>
      <c r="H57" s="2" t="s">
        <v>20</v>
      </c>
      <c r="I57" s="2" t="s">
        <v>20</v>
      </c>
      <c r="J57" s="8">
        <f>VLOOKUP(B57,'[1]Theo dõi học tập'!$B$10:$T$74,19,0)</f>
        <v>10</v>
      </c>
      <c r="K57" s="8">
        <f>VLOOKUP(B57,'[1]Theo dõi học tập'!$B$10:$T$74,18,0)</f>
        <v>8.3000000000000007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268</v>
      </c>
      <c r="B58" s="2" t="s">
        <v>269</v>
      </c>
      <c r="C58" s="2" t="s">
        <v>270</v>
      </c>
      <c r="D58" s="2" t="s">
        <v>271</v>
      </c>
      <c r="E58" s="2" t="s">
        <v>272</v>
      </c>
      <c r="F58" s="2" t="s">
        <v>25</v>
      </c>
      <c r="G58" s="2" t="s">
        <v>26</v>
      </c>
      <c r="H58" s="2" t="s">
        <v>20</v>
      </c>
      <c r="I58" s="2" t="s">
        <v>20</v>
      </c>
      <c r="J58" s="8">
        <f>VLOOKUP(B58,'[1]Theo dõi học tập'!$B$10:$T$74,19,0)</f>
        <v>9.5</v>
      </c>
      <c r="K58" s="8">
        <f>VLOOKUP(B58,'[1]Theo dõi học tập'!$B$10:$T$74,18,0)</f>
        <v>8.6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48" x14ac:dyDescent="0.2">
      <c r="A59" s="2" t="s">
        <v>273</v>
      </c>
      <c r="B59" s="2" t="s">
        <v>274</v>
      </c>
      <c r="C59" s="2" t="s">
        <v>275</v>
      </c>
      <c r="D59" s="2" t="s">
        <v>276</v>
      </c>
      <c r="E59" s="2" t="s">
        <v>221</v>
      </c>
      <c r="F59" s="2" t="s">
        <v>25</v>
      </c>
      <c r="G59" s="2" t="s">
        <v>26</v>
      </c>
      <c r="H59" s="2" t="s">
        <v>20</v>
      </c>
      <c r="I59" s="2" t="s">
        <v>20</v>
      </c>
      <c r="J59" s="8">
        <f>VLOOKUP(B59,'[1]Theo dõi học tập'!$B$10:$T$74,19,0)</f>
        <v>9.5</v>
      </c>
      <c r="K59" s="8">
        <f>VLOOKUP(B59,'[1]Theo dõi học tập'!$B$10:$T$74,18,0)</f>
        <v>8.1999999999999993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277</v>
      </c>
      <c r="B60" s="2" t="s">
        <v>278</v>
      </c>
      <c r="C60" s="2" t="s">
        <v>279</v>
      </c>
      <c r="D60" s="2" t="s">
        <v>280</v>
      </c>
      <c r="E60" s="2" t="s">
        <v>281</v>
      </c>
      <c r="F60" s="2" t="s">
        <v>25</v>
      </c>
      <c r="G60" s="2" t="s">
        <v>26</v>
      </c>
      <c r="H60" s="2" t="s">
        <v>20</v>
      </c>
      <c r="I60" s="2" t="s">
        <v>20</v>
      </c>
      <c r="J60" s="8">
        <f>VLOOKUP(B60,'[1]Theo dõi học tập'!$B$10:$T$74,19,0)</f>
        <v>10</v>
      </c>
      <c r="K60" s="8">
        <f>VLOOKUP(B60,'[1]Theo dõi học tập'!$B$10:$T$74,18,0)</f>
        <v>8.5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282</v>
      </c>
      <c r="B61" s="2" t="s">
        <v>283</v>
      </c>
      <c r="C61" s="2" t="s">
        <v>279</v>
      </c>
      <c r="D61" s="2" t="s">
        <v>280</v>
      </c>
      <c r="E61" s="2" t="s">
        <v>284</v>
      </c>
      <c r="F61" s="2" t="s">
        <v>25</v>
      </c>
      <c r="G61" s="2" t="s">
        <v>26</v>
      </c>
      <c r="H61" s="2" t="s">
        <v>20</v>
      </c>
      <c r="I61" s="2" t="s">
        <v>20</v>
      </c>
      <c r="J61" s="8">
        <f>VLOOKUP(B61,'[1]Theo dõi học tập'!$B$10:$T$74,19,0)</f>
        <v>10</v>
      </c>
      <c r="K61" s="8">
        <f>VLOOKUP(B61,'[1]Theo dõi học tập'!$B$10:$T$74,18,0)</f>
        <v>8.1999999999999993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285</v>
      </c>
      <c r="B62" s="2" t="s">
        <v>286</v>
      </c>
      <c r="C62" s="2" t="s">
        <v>287</v>
      </c>
      <c r="D62" s="2" t="s">
        <v>288</v>
      </c>
      <c r="E62" s="2" t="s">
        <v>289</v>
      </c>
      <c r="F62" s="2" t="s">
        <v>25</v>
      </c>
      <c r="G62" s="2" t="s">
        <v>26</v>
      </c>
      <c r="H62" s="2" t="s">
        <v>20</v>
      </c>
      <c r="I62" s="2" t="s">
        <v>20</v>
      </c>
      <c r="J62" s="8">
        <f>VLOOKUP(B62,'[1]Theo dõi học tập'!$B$10:$T$74,19,0)</f>
        <v>10</v>
      </c>
      <c r="K62" s="8">
        <f>VLOOKUP(B62,'[1]Theo dõi học tập'!$B$10:$T$74,18,0)</f>
        <v>8.1999999999999993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290</v>
      </c>
      <c r="B63" s="2" t="s">
        <v>291</v>
      </c>
      <c r="C63" s="2" t="s">
        <v>292</v>
      </c>
      <c r="D63" s="2" t="s">
        <v>293</v>
      </c>
      <c r="E63" s="2" t="s">
        <v>294</v>
      </c>
      <c r="F63" s="2" t="s">
        <v>25</v>
      </c>
      <c r="G63" s="2" t="s">
        <v>26</v>
      </c>
      <c r="H63" s="2" t="s">
        <v>20</v>
      </c>
      <c r="I63" s="2" t="s">
        <v>20</v>
      </c>
      <c r="J63" s="8">
        <f>VLOOKUP(B63,'[1]Theo dõi học tập'!$B$10:$T$74,19,0)</f>
        <v>9</v>
      </c>
      <c r="K63" s="8">
        <f>VLOOKUP(B63,'[1]Theo dõi học tập'!$B$10:$T$74,18,0)</f>
        <v>8.1999999999999993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2" x14ac:dyDescent="0.2">
      <c r="A64" s="2" t="s">
        <v>295</v>
      </c>
      <c r="B64" s="2" t="s">
        <v>296</v>
      </c>
      <c r="C64" s="2" t="s">
        <v>297</v>
      </c>
      <c r="D64" s="2" t="s">
        <v>298</v>
      </c>
      <c r="E64" s="2" t="s">
        <v>299</v>
      </c>
      <c r="F64" s="2" t="s">
        <v>25</v>
      </c>
      <c r="G64" s="2" t="s">
        <v>26</v>
      </c>
      <c r="H64" s="2" t="s">
        <v>20</v>
      </c>
      <c r="I64" s="2" t="s">
        <v>20</v>
      </c>
      <c r="J64" s="8">
        <f>VLOOKUP(B64,'[1]Theo dõi học tập'!$B$10:$T$74,19,0)</f>
        <v>10</v>
      </c>
      <c r="K64" s="8">
        <f>VLOOKUP(B64,'[1]Theo dõi học tập'!$B$10:$T$74,18,0)</f>
        <v>8.5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2" x14ac:dyDescent="0.2">
      <c r="A65" s="2" t="s">
        <v>300</v>
      </c>
      <c r="B65" s="2" t="s">
        <v>301</v>
      </c>
      <c r="C65" s="2" t="s">
        <v>302</v>
      </c>
      <c r="D65" s="2" t="s">
        <v>298</v>
      </c>
      <c r="E65" s="2" t="s">
        <v>303</v>
      </c>
      <c r="F65" s="2" t="s">
        <v>25</v>
      </c>
      <c r="G65" s="2" t="s">
        <v>26</v>
      </c>
      <c r="H65" s="2" t="s">
        <v>20</v>
      </c>
      <c r="I65" s="2" t="s">
        <v>20</v>
      </c>
      <c r="J65" s="8">
        <v>9.3000000000000007</v>
      </c>
      <c r="K65" s="8">
        <f>VLOOKUP(B65,'[1]Theo dõi học tập'!$B$10:$T$74,18,0)</f>
        <v>8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2" x14ac:dyDescent="0.2">
      <c r="A66" s="2" t="s">
        <v>304</v>
      </c>
      <c r="B66" s="2" t="s">
        <v>305</v>
      </c>
      <c r="C66" s="2" t="s">
        <v>306</v>
      </c>
      <c r="D66" s="2" t="s">
        <v>307</v>
      </c>
      <c r="E66" s="2" t="s">
        <v>308</v>
      </c>
      <c r="F66" s="2" t="s">
        <v>25</v>
      </c>
      <c r="G66" s="2" t="s">
        <v>26</v>
      </c>
      <c r="H66" s="2" t="s">
        <v>20</v>
      </c>
      <c r="I66" s="2" t="s">
        <v>20</v>
      </c>
      <c r="J66" s="8">
        <f>VLOOKUP(B66,'[1]Theo dõi học tập'!$B$10:$T$74,19,0)</f>
        <v>10</v>
      </c>
      <c r="K66" s="8">
        <f>VLOOKUP(B66,'[1]Theo dõi học tập'!$B$10:$T$74,18,0)</f>
        <v>9.8000000000000007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32" x14ac:dyDescent="0.2">
      <c r="A67" s="2" t="s">
        <v>309</v>
      </c>
      <c r="B67" s="2" t="s">
        <v>310</v>
      </c>
      <c r="C67" s="2" t="s">
        <v>311</v>
      </c>
      <c r="D67" s="2" t="s">
        <v>312</v>
      </c>
      <c r="E67" s="2" t="s">
        <v>79</v>
      </c>
      <c r="F67" s="2" t="s">
        <v>25</v>
      </c>
      <c r="G67" s="2" t="s">
        <v>26</v>
      </c>
      <c r="H67" s="2" t="s">
        <v>20</v>
      </c>
      <c r="I67" s="2" t="s">
        <v>20</v>
      </c>
      <c r="J67" s="8">
        <f>VLOOKUP(B67,'[1]Theo dõi học tập'!$B$10:$T$74,19,0)</f>
        <v>10</v>
      </c>
      <c r="K67" s="8">
        <f>VLOOKUP(B67,'[1]Theo dõi học tập'!$B$10:$T$74,18,0)</f>
        <v>6.5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</sheetData>
  <mergeCells count="17">
    <mergeCell ref="S1:S2"/>
    <mergeCell ref="B1:B2"/>
    <mergeCell ref="E1:E2"/>
    <mergeCell ref="F1:F2"/>
    <mergeCell ref="G1:G2"/>
    <mergeCell ref="H1:H2"/>
    <mergeCell ref="M1:M2"/>
    <mergeCell ref="N1:N2"/>
    <mergeCell ref="O1:O2"/>
    <mergeCell ref="P1:P2"/>
    <mergeCell ref="Q1:Q2"/>
    <mergeCell ref="R1:R2"/>
    <mergeCell ref="A1:A2"/>
    <mergeCell ref="C1:C2"/>
    <mergeCell ref="D1:D2"/>
    <mergeCell ref="I1:I2"/>
    <mergeCell ref="J1:L1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2026-04-23T13:40:25Z</dcterms:modified>
</cp:coreProperties>
</file>