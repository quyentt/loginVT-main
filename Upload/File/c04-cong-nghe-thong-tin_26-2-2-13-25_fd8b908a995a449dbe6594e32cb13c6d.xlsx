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ata_Cloud\DuLieuOCungCu\TaiLieu\uni\DHDA\2026\DuLieu\1. CTĐT up APIS-20260131T233314Z-3-001\1. CTĐT up APIS\"/>
    </mc:Choice>
  </mc:AlternateContent>
  <xr:revisionPtr revIDLastSave="0" documentId="8_{A0F751A3-7917-4727-BEEA-F55B06F21C3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CNTT_ApisK10" sheetId="1" r:id="rId1"/>
    <sheet name="CNTT_ApisK11" sheetId="2" r:id="rId2"/>
    <sheet name="CNTT_ApisK12" sheetId="3" r:id="rId3"/>
    <sheet name="CNTT_ApisK13" sheetId="4" r:id="rId4"/>
    <sheet name="CNTT_ApisK14" sheetId="5" r:id="rId5"/>
    <sheet name="CNTT_ApisK15" sheetId="6" r:id="rId6"/>
    <sheet name="CNTT_ApisK16" sheetId="7" r:id="rId7"/>
  </sheets>
  <definedNames>
    <definedName name="_xlnm._FilterDatabase" localSheetId="3" hidden="1">CNTT_ApisK13!$A$2:$AC$66</definedName>
    <definedName name="_xlnm._FilterDatabase" localSheetId="4" hidden="1">CNTT_ApisK14!$A$2:$AC$66</definedName>
    <definedName name="_xlnm._FilterDatabase" localSheetId="5" hidden="1">CNTT_ApisK15!$A$2:$AC$66</definedName>
    <definedName name="_xlnm._FilterDatabase" localSheetId="6" hidden="1">CNTT_ApisK16!$A$2:$AG$66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66" i="7" l="1"/>
  <c r="Z66" i="7"/>
  <c r="Y66" i="7"/>
  <c r="X66" i="7"/>
  <c r="W66" i="7"/>
  <c r="V66" i="7"/>
  <c r="AA65" i="7"/>
  <c r="Z65" i="7"/>
  <c r="Y65" i="7"/>
  <c r="X65" i="7"/>
  <c r="W65" i="7"/>
  <c r="V65" i="7"/>
  <c r="AA64" i="7"/>
  <c r="Z64" i="7"/>
  <c r="Y64" i="7"/>
  <c r="X64" i="7"/>
  <c r="W64" i="7"/>
  <c r="V64" i="7"/>
  <c r="AA63" i="7"/>
  <c r="Z63" i="7"/>
  <c r="Y63" i="7"/>
  <c r="X63" i="7"/>
  <c r="W63" i="7"/>
  <c r="V63" i="7"/>
  <c r="AA62" i="7"/>
  <c r="Z62" i="7"/>
  <c r="Y62" i="7"/>
  <c r="X62" i="7"/>
  <c r="W62" i="7"/>
  <c r="V62" i="7"/>
  <c r="AA61" i="7"/>
  <c r="Z61" i="7"/>
  <c r="Y61" i="7"/>
  <c r="X61" i="7"/>
  <c r="W61" i="7"/>
  <c r="V61" i="7"/>
  <c r="AA60" i="7"/>
  <c r="Z60" i="7"/>
  <c r="Y60" i="7"/>
  <c r="X60" i="7"/>
  <c r="W60" i="7"/>
  <c r="V60" i="7"/>
  <c r="AA59" i="7"/>
  <c r="Z59" i="7"/>
  <c r="Y59" i="7"/>
  <c r="X59" i="7"/>
  <c r="W59" i="7"/>
  <c r="V59" i="7"/>
  <c r="AA58" i="7"/>
  <c r="Z58" i="7"/>
  <c r="Y58" i="7"/>
  <c r="X58" i="7"/>
  <c r="W58" i="7"/>
  <c r="V58" i="7"/>
  <c r="AA57" i="7"/>
  <c r="Z57" i="7"/>
  <c r="Y57" i="7"/>
  <c r="X57" i="7"/>
  <c r="W57" i="7"/>
  <c r="V57" i="7"/>
  <c r="AA56" i="7"/>
  <c r="Z56" i="7"/>
  <c r="Y56" i="7"/>
  <c r="X56" i="7"/>
  <c r="W56" i="7"/>
  <c r="V56" i="7"/>
  <c r="AA55" i="7"/>
  <c r="Z55" i="7"/>
  <c r="Y55" i="7"/>
  <c r="X55" i="7"/>
  <c r="W55" i="7"/>
  <c r="V55" i="7"/>
  <c r="AA54" i="7"/>
  <c r="Z54" i="7"/>
  <c r="Y54" i="7"/>
  <c r="X54" i="7"/>
  <c r="W54" i="7"/>
  <c r="V54" i="7"/>
  <c r="AA53" i="7"/>
  <c r="Z53" i="7"/>
  <c r="Y53" i="7"/>
  <c r="X53" i="7"/>
  <c r="W53" i="7"/>
  <c r="V53" i="7"/>
  <c r="AA52" i="7"/>
  <c r="Z52" i="7"/>
  <c r="Y52" i="7"/>
  <c r="X52" i="7"/>
  <c r="W52" i="7"/>
  <c r="V52" i="7"/>
  <c r="AA51" i="7"/>
  <c r="Z51" i="7"/>
  <c r="Y51" i="7"/>
  <c r="X51" i="7"/>
  <c r="W51" i="7"/>
  <c r="V51" i="7"/>
  <c r="AA50" i="7"/>
  <c r="Z50" i="7"/>
  <c r="Y50" i="7"/>
  <c r="X50" i="7"/>
  <c r="W50" i="7"/>
  <c r="V50" i="7"/>
  <c r="AA49" i="7"/>
  <c r="Z49" i="7"/>
  <c r="Y49" i="7"/>
  <c r="X49" i="7"/>
  <c r="W49" i="7"/>
  <c r="V49" i="7"/>
  <c r="AA48" i="7"/>
  <c r="Z48" i="7"/>
  <c r="Y48" i="7"/>
  <c r="X48" i="7"/>
  <c r="W48" i="7"/>
  <c r="V48" i="7"/>
  <c r="AA47" i="7"/>
  <c r="Z47" i="7"/>
  <c r="Y47" i="7"/>
  <c r="X47" i="7"/>
  <c r="W47" i="7"/>
  <c r="V47" i="7"/>
  <c r="AA46" i="7"/>
  <c r="Z46" i="7"/>
  <c r="Y46" i="7"/>
  <c r="X46" i="7"/>
  <c r="W46" i="7"/>
  <c r="V46" i="7"/>
  <c r="AA45" i="7"/>
  <c r="Z45" i="7"/>
  <c r="Y45" i="7"/>
  <c r="X45" i="7"/>
  <c r="W45" i="7"/>
  <c r="V45" i="7"/>
  <c r="AA44" i="7"/>
  <c r="Z44" i="7"/>
  <c r="Y44" i="7"/>
  <c r="X44" i="7"/>
  <c r="W44" i="7"/>
  <c r="V44" i="7"/>
  <c r="AA43" i="7"/>
  <c r="Z43" i="7"/>
  <c r="Y43" i="7"/>
  <c r="X43" i="7"/>
  <c r="W43" i="7"/>
  <c r="V43" i="7"/>
  <c r="AA42" i="7"/>
  <c r="Z42" i="7"/>
  <c r="Y42" i="7"/>
  <c r="X42" i="7"/>
  <c r="W42" i="7"/>
  <c r="V42" i="7"/>
  <c r="AA41" i="7"/>
  <c r="Z41" i="7"/>
  <c r="Y41" i="7"/>
  <c r="X41" i="7"/>
  <c r="W41" i="7"/>
  <c r="V41" i="7"/>
  <c r="AA40" i="7"/>
  <c r="Z40" i="7"/>
  <c r="Y40" i="7"/>
  <c r="X40" i="7"/>
  <c r="W40" i="7"/>
  <c r="V40" i="7"/>
  <c r="AA39" i="7"/>
  <c r="Z39" i="7"/>
  <c r="Y39" i="7"/>
  <c r="X39" i="7"/>
  <c r="W39" i="7"/>
  <c r="V39" i="7"/>
  <c r="AA38" i="7"/>
  <c r="Z38" i="7"/>
  <c r="Y38" i="7"/>
  <c r="X38" i="7"/>
  <c r="W38" i="7"/>
  <c r="V38" i="7"/>
  <c r="AA37" i="7"/>
  <c r="Z37" i="7"/>
  <c r="Y37" i="7"/>
  <c r="X37" i="7"/>
  <c r="W37" i="7"/>
  <c r="V37" i="7"/>
  <c r="AA36" i="7"/>
  <c r="Z36" i="7"/>
  <c r="Y36" i="7"/>
  <c r="X36" i="7"/>
  <c r="W36" i="7"/>
  <c r="V36" i="7"/>
  <c r="AA35" i="7"/>
  <c r="Z35" i="7"/>
  <c r="Y35" i="7"/>
  <c r="X35" i="7"/>
  <c r="W35" i="7"/>
  <c r="V35" i="7"/>
  <c r="AA34" i="7"/>
  <c r="Z34" i="7"/>
  <c r="Y34" i="7"/>
  <c r="X34" i="7"/>
  <c r="W34" i="7"/>
  <c r="V34" i="7"/>
  <c r="AA33" i="7"/>
  <c r="Z33" i="7"/>
  <c r="Y33" i="7"/>
  <c r="X33" i="7"/>
  <c r="W33" i="7"/>
  <c r="V33" i="7"/>
  <c r="AA32" i="7"/>
  <c r="Z32" i="7"/>
  <c r="Y32" i="7"/>
  <c r="X32" i="7"/>
  <c r="W32" i="7"/>
  <c r="V32" i="7"/>
  <c r="AA31" i="7"/>
  <c r="Z31" i="7"/>
  <c r="Y31" i="7"/>
  <c r="X31" i="7"/>
  <c r="W31" i="7"/>
  <c r="V31" i="7"/>
  <c r="AA30" i="7"/>
  <c r="Z30" i="7"/>
  <c r="Y30" i="7"/>
  <c r="X30" i="7"/>
  <c r="W30" i="7"/>
  <c r="V30" i="7"/>
  <c r="AA29" i="7"/>
  <c r="Z29" i="7"/>
  <c r="Y29" i="7"/>
  <c r="X29" i="7"/>
  <c r="W29" i="7"/>
  <c r="V29" i="7"/>
  <c r="AA28" i="7"/>
  <c r="Z28" i="7"/>
  <c r="Y28" i="7"/>
  <c r="X28" i="7"/>
  <c r="W28" i="7"/>
  <c r="V28" i="7"/>
  <c r="AA27" i="7"/>
  <c r="Z27" i="7"/>
  <c r="Y27" i="7"/>
  <c r="X27" i="7"/>
  <c r="W27" i="7"/>
  <c r="V27" i="7"/>
  <c r="AA26" i="7"/>
  <c r="Z26" i="7"/>
  <c r="Y26" i="7"/>
  <c r="X26" i="7"/>
  <c r="W26" i="7"/>
  <c r="V26" i="7"/>
  <c r="AA25" i="7"/>
  <c r="Z25" i="7"/>
  <c r="Y25" i="7"/>
  <c r="X25" i="7"/>
  <c r="W25" i="7"/>
  <c r="V25" i="7"/>
  <c r="AA24" i="7"/>
  <c r="Z24" i="7"/>
  <c r="Y24" i="7"/>
  <c r="X24" i="7"/>
  <c r="W24" i="7"/>
  <c r="V24" i="7"/>
  <c r="AA23" i="7"/>
  <c r="Z23" i="7"/>
  <c r="Y23" i="7"/>
  <c r="X23" i="7"/>
  <c r="W23" i="7"/>
  <c r="V23" i="7"/>
  <c r="AA22" i="7"/>
  <c r="Z22" i="7"/>
  <c r="Y22" i="7"/>
  <c r="X22" i="7"/>
  <c r="W22" i="7"/>
  <c r="V22" i="7"/>
  <c r="AA21" i="7"/>
  <c r="Z21" i="7"/>
  <c r="Y21" i="7"/>
  <c r="X21" i="7"/>
  <c r="W21" i="7"/>
  <c r="V21" i="7"/>
  <c r="AA20" i="7"/>
  <c r="Z20" i="7"/>
  <c r="Y20" i="7"/>
  <c r="X20" i="7"/>
  <c r="W20" i="7"/>
  <c r="V20" i="7"/>
  <c r="AA19" i="7"/>
  <c r="Z19" i="7"/>
  <c r="Y19" i="7"/>
  <c r="X19" i="7"/>
  <c r="W19" i="7"/>
  <c r="V19" i="7"/>
  <c r="AA18" i="7"/>
  <c r="Z18" i="7"/>
  <c r="Y18" i="7"/>
  <c r="X18" i="7"/>
  <c r="W18" i="7"/>
  <c r="V18" i="7"/>
  <c r="AA17" i="7"/>
  <c r="Z17" i="7"/>
  <c r="Y17" i="7"/>
  <c r="X17" i="7"/>
  <c r="W17" i="7"/>
  <c r="V17" i="7"/>
  <c r="AA16" i="7"/>
  <c r="Z16" i="7"/>
  <c r="Y16" i="7"/>
  <c r="X16" i="7"/>
  <c r="W16" i="7"/>
  <c r="V16" i="7"/>
  <c r="AA15" i="7"/>
  <c r="Z15" i="7"/>
  <c r="Y15" i="7"/>
  <c r="X15" i="7"/>
  <c r="W15" i="7"/>
  <c r="V15" i="7"/>
  <c r="AA14" i="7"/>
  <c r="Z14" i="7"/>
  <c r="Y14" i="7"/>
  <c r="X14" i="7"/>
  <c r="W14" i="7"/>
  <c r="V14" i="7"/>
  <c r="AA13" i="7"/>
  <c r="Z13" i="7"/>
  <c r="Y13" i="7"/>
  <c r="X13" i="7"/>
  <c r="W13" i="7"/>
  <c r="V13" i="7"/>
  <c r="AA12" i="7"/>
  <c r="Z12" i="7"/>
  <c r="Y12" i="7"/>
  <c r="X12" i="7"/>
  <c r="W12" i="7"/>
  <c r="V12" i="7"/>
  <c r="AA11" i="7"/>
  <c r="Z11" i="7"/>
  <c r="Y11" i="7"/>
  <c r="X11" i="7"/>
  <c r="W11" i="7"/>
  <c r="V11" i="7"/>
  <c r="AA10" i="7"/>
  <c r="Z10" i="7"/>
  <c r="Y10" i="7"/>
  <c r="X10" i="7"/>
  <c r="W10" i="7"/>
  <c r="V10" i="7"/>
  <c r="AA9" i="7"/>
  <c r="Z9" i="7"/>
  <c r="Y9" i="7"/>
  <c r="X9" i="7"/>
  <c r="W9" i="7"/>
  <c r="V9" i="7"/>
  <c r="AA8" i="7"/>
  <c r="Z8" i="7"/>
  <c r="Y8" i="7"/>
  <c r="X8" i="7"/>
  <c r="W8" i="7"/>
  <c r="V8" i="7"/>
  <c r="AA7" i="7"/>
  <c r="Z7" i="7"/>
  <c r="Y7" i="7"/>
  <c r="X7" i="7"/>
  <c r="W7" i="7"/>
  <c r="V7" i="7"/>
  <c r="AA6" i="7"/>
  <c r="Z6" i="7"/>
  <c r="Y6" i="7"/>
  <c r="X6" i="7"/>
  <c r="W6" i="7"/>
  <c r="V6" i="7"/>
  <c r="AA5" i="7"/>
  <c r="Z5" i="7"/>
  <c r="Y5" i="7"/>
  <c r="X5" i="7"/>
  <c r="W5" i="7"/>
  <c r="V5" i="7"/>
  <c r="AA4" i="7"/>
  <c r="Z4" i="7"/>
  <c r="Y4" i="7"/>
  <c r="X4" i="7"/>
  <c r="W4" i="7"/>
  <c r="V4" i="7"/>
  <c r="AA3" i="7"/>
  <c r="Z3" i="7"/>
  <c r="Y3" i="7"/>
  <c r="X3" i="7"/>
  <c r="W3" i="7"/>
  <c r="V3" i="7"/>
  <c r="AA2" i="7"/>
  <c r="Z2" i="7"/>
  <c r="Y2" i="7"/>
  <c r="X2" i="7"/>
  <c r="W2" i="7"/>
  <c r="V2" i="7"/>
  <c r="AA66" i="6"/>
  <c r="Z66" i="6"/>
  <c r="Y66" i="6"/>
  <c r="X66" i="6"/>
  <c r="W66" i="6"/>
  <c r="V66" i="6"/>
  <c r="AA65" i="6"/>
  <c r="Z65" i="6"/>
  <c r="Y65" i="6"/>
  <c r="X65" i="6"/>
  <c r="W65" i="6"/>
  <c r="V65" i="6"/>
  <c r="AA64" i="6"/>
  <c r="Z64" i="6"/>
  <c r="Y64" i="6"/>
  <c r="X64" i="6"/>
  <c r="W64" i="6"/>
  <c r="V64" i="6"/>
  <c r="AA63" i="6"/>
  <c r="Z63" i="6"/>
  <c r="Y63" i="6"/>
  <c r="X63" i="6"/>
  <c r="W63" i="6"/>
  <c r="V63" i="6"/>
  <c r="AA62" i="6"/>
  <c r="Z62" i="6"/>
  <c r="Y62" i="6"/>
  <c r="X62" i="6"/>
  <c r="W62" i="6"/>
  <c r="V62" i="6"/>
  <c r="AA61" i="6"/>
  <c r="Z61" i="6"/>
  <c r="Y61" i="6"/>
  <c r="X61" i="6"/>
  <c r="W61" i="6"/>
  <c r="V61" i="6"/>
  <c r="AA60" i="6"/>
  <c r="Z60" i="6"/>
  <c r="Y60" i="6"/>
  <c r="X60" i="6"/>
  <c r="W60" i="6"/>
  <c r="V60" i="6"/>
  <c r="AA59" i="6"/>
  <c r="Z59" i="6"/>
  <c r="Y59" i="6"/>
  <c r="X59" i="6"/>
  <c r="W59" i="6"/>
  <c r="V59" i="6"/>
  <c r="AA58" i="6"/>
  <c r="Z58" i="6"/>
  <c r="Y58" i="6"/>
  <c r="X58" i="6"/>
  <c r="W58" i="6"/>
  <c r="V58" i="6"/>
  <c r="AA57" i="6"/>
  <c r="Z57" i="6"/>
  <c r="Y57" i="6"/>
  <c r="X57" i="6"/>
  <c r="W57" i="6"/>
  <c r="V57" i="6"/>
  <c r="AA56" i="6"/>
  <c r="Z56" i="6"/>
  <c r="Y56" i="6"/>
  <c r="X56" i="6"/>
  <c r="W56" i="6"/>
  <c r="V56" i="6"/>
  <c r="AA55" i="6"/>
  <c r="Z55" i="6"/>
  <c r="Y55" i="6"/>
  <c r="X55" i="6"/>
  <c r="W55" i="6"/>
  <c r="V55" i="6"/>
  <c r="AA54" i="6"/>
  <c r="Z54" i="6"/>
  <c r="Y54" i="6"/>
  <c r="X54" i="6"/>
  <c r="W54" i="6"/>
  <c r="V54" i="6"/>
  <c r="AA53" i="6"/>
  <c r="Z53" i="6"/>
  <c r="Y53" i="6"/>
  <c r="X53" i="6"/>
  <c r="W53" i="6"/>
  <c r="V53" i="6"/>
  <c r="AA52" i="6"/>
  <c r="Z52" i="6"/>
  <c r="Y52" i="6"/>
  <c r="X52" i="6"/>
  <c r="W52" i="6"/>
  <c r="V52" i="6"/>
  <c r="AA51" i="6"/>
  <c r="Z51" i="6"/>
  <c r="Y51" i="6"/>
  <c r="X51" i="6"/>
  <c r="W51" i="6"/>
  <c r="V51" i="6"/>
  <c r="AA50" i="6"/>
  <c r="Z50" i="6"/>
  <c r="Y50" i="6"/>
  <c r="X50" i="6"/>
  <c r="W50" i="6"/>
  <c r="V50" i="6"/>
  <c r="AA49" i="6"/>
  <c r="Z49" i="6"/>
  <c r="Y49" i="6"/>
  <c r="X49" i="6"/>
  <c r="W49" i="6"/>
  <c r="V49" i="6"/>
  <c r="AA48" i="6"/>
  <c r="Z48" i="6"/>
  <c r="Y48" i="6"/>
  <c r="X48" i="6"/>
  <c r="W48" i="6"/>
  <c r="V48" i="6"/>
  <c r="AA47" i="6"/>
  <c r="Z47" i="6"/>
  <c r="Y47" i="6"/>
  <c r="X47" i="6"/>
  <c r="W47" i="6"/>
  <c r="V47" i="6"/>
  <c r="AA46" i="6"/>
  <c r="Z46" i="6"/>
  <c r="Y46" i="6"/>
  <c r="X46" i="6"/>
  <c r="W46" i="6"/>
  <c r="V46" i="6"/>
  <c r="AA45" i="6"/>
  <c r="Z45" i="6"/>
  <c r="Y45" i="6"/>
  <c r="X45" i="6"/>
  <c r="W45" i="6"/>
  <c r="V45" i="6"/>
  <c r="AA44" i="6"/>
  <c r="Z44" i="6"/>
  <c r="Y44" i="6"/>
  <c r="X44" i="6"/>
  <c r="W44" i="6"/>
  <c r="V44" i="6"/>
  <c r="AA43" i="6"/>
  <c r="Z43" i="6"/>
  <c r="Y43" i="6"/>
  <c r="X43" i="6"/>
  <c r="W43" i="6"/>
  <c r="V43" i="6"/>
  <c r="AA42" i="6"/>
  <c r="Z42" i="6"/>
  <c r="Y42" i="6"/>
  <c r="X42" i="6"/>
  <c r="W42" i="6"/>
  <c r="V42" i="6"/>
  <c r="AA41" i="6"/>
  <c r="Z41" i="6"/>
  <c r="Y41" i="6"/>
  <c r="X41" i="6"/>
  <c r="W41" i="6"/>
  <c r="V41" i="6"/>
  <c r="AA40" i="6"/>
  <c r="Z40" i="6"/>
  <c r="Y40" i="6"/>
  <c r="X40" i="6"/>
  <c r="W40" i="6"/>
  <c r="V40" i="6"/>
  <c r="AA39" i="6"/>
  <c r="Z39" i="6"/>
  <c r="Y39" i="6"/>
  <c r="X39" i="6"/>
  <c r="W39" i="6"/>
  <c r="V39" i="6"/>
  <c r="AA38" i="6"/>
  <c r="Z38" i="6"/>
  <c r="Y38" i="6"/>
  <c r="X38" i="6"/>
  <c r="W38" i="6"/>
  <c r="V38" i="6"/>
  <c r="AA37" i="6"/>
  <c r="Z37" i="6"/>
  <c r="Y37" i="6"/>
  <c r="X37" i="6"/>
  <c r="W37" i="6"/>
  <c r="V37" i="6"/>
  <c r="AA36" i="6"/>
  <c r="Z36" i="6"/>
  <c r="Y36" i="6"/>
  <c r="X36" i="6"/>
  <c r="W36" i="6"/>
  <c r="V36" i="6"/>
  <c r="AA35" i="6"/>
  <c r="Z35" i="6"/>
  <c r="Y35" i="6"/>
  <c r="X35" i="6"/>
  <c r="W35" i="6"/>
  <c r="V35" i="6"/>
  <c r="AA34" i="6"/>
  <c r="Z34" i="6"/>
  <c r="Y34" i="6"/>
  <c r="X34" i="6"/>
  <c r="W34" i="6"/>
  <c r="V34" i="6"/>
  <c r="AA33" i="6"/>
  <c r="Z33" i="6"/>
  <c r="Y33" i="6"/>
  <c r="X33" i="6"/>
  <c r="W33" i="6"/>
  <c r="V33" i="6"/>
  <c r="AA32" i="6"/>
  <c r="Z32" i="6"/>
  <c r="Y32" i="6"/>
  <c r="X32" i="6"/>
  <c r="W32" i="6"/>
  <c r="V32" i="6"/>
  <c r="AA31" i="6"/>
  <c r="Z31" i="6"/>
  <c r="Y31" i="6"/>
  <c r="X31" i="6"/>
  <c r="W31" i="6"/>
  <c r="V31" i="6"/>
  <c r="AA30" i="6"/>
  <c r="Z30" i="6"/>
  <c r="Y30" i="6"/>
  <c r="X30" i="6"/>
  <c r="W30" i="6"/>
  <c r="V30" i="6"/>
  <c r="AA29" i="6"/>
  <c r="Z29" i="6"/>
  <c r="Y29" i="6"/>
  <c r="X29" i="6"/>
  <c r="W29" i="6"/>
  <c r="V29" i="6"/>
  <c r="AA28" i="6"/>
  <c r="Z28" i="6"/>
  <c r="Y28" i="6"/>
  <c r="X28" i="6"/>
  <c r="W28" i="6"/>
  <c r="V28" i="6"/>
  <c r="AA27" i="6"/>
  <c r="Z27" i="6"/>
  <c r="Y27" i="6"/>
  <c r="X27" i="6"/>
  <c r="W27" i="6"/>
  <c r="V27" i="6"/>
  <c r="AA26" i="6"/>
  <c r="Z26" i="6"/>
  <c r="Y26" i="6"/>
  <c r="X26" i="6"/>
  <c r="W26" i="6"/>
  <c r="V26" i="6"/>
  <c r="AA25" i="6"/>
  <c r="Z25" i="6"/>
  <c r="Y25" i="6"/>
  <c r="X25" i="6"/>
  <c r="W25" i="6"/>
  <c r="V25" i="6"/>
  <c r="AA24" i="6"/>
  <c r="Z24" i="6"/>
  <c r="Y24" i="6"/>
  <c r="X24" i="6"/>
  <c r="W24" i="6"/>
  <c r="V24" i="6"/>
  <c r="AA23" i="6"/>
  <c r="Z23" i="6"/>
  <c r="Y23" i="6"/>
  <c r="X23" i="6"/>
  <c r="W23" i="6"/>
  <c r="V23" i="6"/>
  <c r="AA22" i="6"/>
  <c r="Z22" i="6"/>
  <c r="Y22" i="6"/>
  <c r="X22" i="6"/>
  <c r="W22" i="6"/>
  <c r="V22" i="6"/>
  <c r="AA21" i="6"/>
  <c r="Z21" i="6"/>
  <c r="Y21" i="6"/>
  <c r="X21" i="6"/>
  <c r="W21" i="6"/>
  <c r="V21" i="6"/>
  <c r="AA20" i="6"/>
  <c r="Z20" i="6"/>
  <c r="Y20" i="6"/>
  <c r="X20" i="6"/>
  <c r="W20" i="6"/>
  <c r="V20" i="6"/>
  <c r="AA19" i="6"/>
  <c r="Z19" i="6"/>
  <c r="Y19" i="6"/>
  <c r="X19" i="6"/>
  <c r="W19" i="6"/>
  <c r="V19" i="6"/>
  <c r="AA18" i="6"/>
  <c r="Z18" i="6"/>
  <c r="Y18" i="6"/>
  <c r="X18" i="6"/>
  <c r="W18" i="6"/>
  <c r="V18" i="6"/>
  <c r="AA17" i="6"/>
  <c r="Z17" i="6"/>
  <c r="Y17" i="6"/>
  <c r="X17" i="6"/>
  <c r="W17" i="6"/>
  <c r="V17" i="6"/>
  <c r="AA16" i="6"/>
  <c r="Z16" i="6"/>
  <c r="Y16" i="6"/>
  <c r="X16" i="6"/>
  <c r="W16" i="6"/>
  <c r="V16" i="6"/>
  <c r="AA15" i="6"/>
  <c r="Z15" i="6"/>
  <c r="Y15" i="6"/>
  <c r="X15" i="6"/>
  <c r="W15" i="6"/>
  <c r="V15" i="6"/>
  <c r="AA14" i="6"/>
  <c r="Z14" i="6"/>
  <c r="Y14" i="6"/>
  <c r="X14" i="6"/>
  <c r="W14" i="6"/>
  <c r="V14" i="6"/>
  <c r="AA13" i="6"/>
  <c r="Z13" i="6"/>
  <c r="Y13" i="6"/>
  <c r="X13" i="6"/>
  <c r="W13" i="6"/>
  <c r="V13" i="6"/>
  <c r="AA12" i="6"/>
  <c r="Z12" i="6"/>
  <c r="Y12" i="6"/>
  <c r="X12" i="6"/>
  <c r="W12" i="6"/>
  <c r="V12" i="6"/>
  <c r="AA11" i="6"/>
  <c r="Z11" i="6"/>
  <c r="Y11" i="6"/>
  <c r="X11" i="6"/>
  <c r="W11" i="6"/>
  <c r="V11" i="6"/>
  <c r="AA10" i="6"/>
  <c r="Z10" i="6"/>
  <c r="Y10" i="6"/>
  <c r="X10" i="6"/>
  <c r="W10" i="6"/>
  <c r="V10" i="6"/>
  <c r="AA9" i="6"/>
  <c r="Z9" i="6"/>
  <c r="Y9" i="6"/>
  <c r="X9" i="6"/>
  <c r="W9" i="6"/>
  <c r="V9" i="6"/>
  <c r="AA8" i="6"/>
  <c r="Z8" i="6"/>
  <c r="Y8" i="6"/>
  <c r="X8" i="6"/>
  <c r="W8" i="6"/>
  <c r="V8" i="6"/>
  <c r="AA7" i="6"/>
  <c r="Z7" i="6"/>
  <c r="Y7" i="6"/>
  <c r="X7" i="6"/>
  <c r="W7" i="6"/>
  <c r="V7" i="6"/>
  <c r="AA6" i="6"/>
  <c r="Z6" i="6"/>
  <c r="Y6" i="6"/>
  <c r="X6" i="6"/>
  <c r="W6" i="6"/>
  <c r="V6" i="6"/>
  <c r="AA5" i="6"/>
  <c r="Z5" i="6"/>
  <c r="Y5" i="6"/>
  <c r="X5" i="6"/>
  <c r="W5" i="6"/>
  <c r="V5" i="6"/>
  <c r="AA4" i="6"/>
  <c r="Z4" i="6"/>
  <c r="Y4" i="6"/>
  <c r="X4" i="6"/>
  <c r="W4" i="6"/>
  <c r="V4" i="6"/>
  <c r="AA3" i="6"/>
  <c r="Z3" i="6"/>
  <c r="Y3" i="6"/>
  <c r="X3" i="6"/>
  <c r="W3" i="6"/>
  <c r="V3" i="6"/>
  <c r="AA2" i="6"/>
  <c r="Z2" i="6"/>
  <c r="Y2" i="6"/>
  <c r="X2" i="6"/>
  <c r="W2" i="6"/>
  <c r="V2" i="6"/>
  <c r="AA66" i="5"/>
  <c r="Z66" i="5"/>
  <c r="Y66" i="5"/>
  <c r="X66" i="5"/>
  <c r="W66" i="5"/>
  <c r="V66" i="5"/>
  <c r="AA65" i="5"/>
  <c r="Z65" i="5"/>
  <c r="Y65" i="5"/>
  <c r="X65" i="5"/>
  <c r="W65" i="5"/>
  <c r="V65" i="5"/>
  <c r="AA64" i="5"/>
  <c r="Z64" i="5"/>
  <c r="Y64" i="5"/>
  <c r="X64" i="5"/>
  <c r="W64" i="5"/>
  <c r="V64" i="5"/>
  <c r="AA63" i="5"/>
  <c r="Z63" i="5"/>
  <c r="Y63" i="5"/>
  <c r="X63" i="5"/>
  <c r="W63" i="5"/>
  <c r="V63" i="5"/>
  <c r="AA62" i="5"/>
  <c r="Z62" i="5"/>
  <c r="Y62" i="5"/>
  <c r="X62" i="5"/>
  <c r="W62" i="5"/>
  <c r="V62" i="5"/>
  <c r="AA61" i="5"/>
  <c r="Z61" i="5"/>
  <c r="Y61" i="5"/>
  <c r="X61" i="5"/>
  <c r="W61" i="5"/>
  <c r="V61" i="5"/>
  <c r="AA60" i="5"/>
  <c r="Z60" i="5"/>
  <c r="Y60" i="5"/>
  <c r="X60" i="5"/>
  <c r="W60" i="5"/>
  <c r="V60" i="5"/>
  <c r="AA59" i="5"/>
  <c r="Z59" i="5"/>
  <c r="Y59" i="5"/>
  <c r="X59" i="5"/>
  <c r="W59" i="5"/>
  <c r="V59" i="5"/>
  <c r="AA58" i="5"/>
  <c r="Z58" i="5"/>
  <c r="Y58" i="5"/>
  <c r="X58" i="5"/>
  <c r="W58" i="5"/>
  <c r="V58" i="5"/>
  <c r="AA57" i="5"/>
  <c r="Z57" i="5"/>
  <c r="Y57" i="5"/>
  <c r="X57" i="5"/>
  <c r="W57" i="5"/>
  <c r="V57" i="5"/>
  <c r="AA56" i="5"/>
  <c r="Z56" i="5"/>
  <c r="Y56" i="5"/>
  <c r="X56" i="5"/>
  <c r="W56" i="5"/>
  <c r="V56" i="5"/>
  <c r="AA55" i="5"/>
  <c r="Z55" i="5"/>
  <c r="Y55" i="5"/>
  <c r="X55" i="5"/>
  <c r="W55" i="5"/>
  <c r="V55" i="5"/>
  <c r="AA54" i="5"/>
  <c r="Z54" i="5"/>
  <c r="Y54" i="5"/>
  <c r="X54" i="5"/>
  <c r="W54" i="5"/>
  <c r="V54" i="5"/>
  <c r="AA53" i="5"/>
  <c r="Z53" i="5"/>
  <c r="Y53" i="5"/>
  <c r="X53" i="5"/>
  <c r="W53" i="5"/>
  <c r="V53" i="5"/>
  <c r="AA52" i="5"/>
  <c r="Z52" i="5"/>
  <c r="Y52" i="5"/>
  <c r="X52" i="5"/>
  <c r="W52" i="5"/>
  <c r="V52" i="5"/>
  <c r="AA51" i="5"/>
  <c r="Z51" i="5"/>
  <c r="Y51" i="5"/>
  <c r="X51" i="5"/>
  <c r="W51" i="5"/>
  <c r="V51" i="5"/>
  <c r="AA50" i="5"/>
  <c r="Z50" i="5"/>
  <c r="Y50" i="5"/>
  <c r="X50" i="5"/>
  <c r="W50" i="5"/>
  <c r="V50" i="5"/>
  <c r="AA49" i="5"/>
  <c r="Z49" i="5"/>
  <c r="Y49" i="5"/>
  <c r="X49" i="5"/>
  <c r="W49" i="5"/>
  <c r="V49" i="5"/>
  <c r="AA48" i="5"/>
  <c r="Z48" i="5"/>
  <c r="Y48" i="5"/>
  <c r="X48" i="5"/>
  <c r="W48" i="5"/>
  <c r="V48" i="5"/>
  <c r="AA47" i="5"/>
  <c r="Z47" i="5"/>
  <c r="Y47" i="5"/>
  <c r="X47" i="5"/>
  <c r="W47" i="5"/>
  <c r="V47" i="5"/>
  <c r="AA46" i="5"/>
  <c r="Z46" i="5"/>
  <c r="Y46" i="5"/>
  <c r="X46" i="5"/>
  <c r="W46" i="5"/>
  <c r="V46" i="5"/>
  <c r="AA45" i="5"/>
  <c r="Z45" i="5"/>
  <c r="Y45" i="5"/>
  <c r="X45" i="5"/>
  <c r="W45" i="5"/>
  <c r="V45" i="5"/>
  <c r="AA44" i="5"/>
  <c r="Z44" i="5"/>
  <c r="Y44" i="5"/>
  <c r="X44" i="5"/>
  <c r="W44" i="5"/>
  <c r="V44" i="5"/>
  <c r="AA43" i="5"/>
  <c r="Z43" i="5"/>
  <c r="Y43" i="5"/>
  <c r="X43" i="5"/>
  <c r="W43" i="5"/>
  <c r="V43" i="5"/>
  <c r="AA42" i="5"/>
  <c r="Z42" i="5"/>
  <c r="Y42" i="5"/>
  <c r="X42" i="5"/>
  <c r="W42" i="5"/>
  <c r="V42" i="5"/>
  <c r="AA41" i="5"/>
  <c r="Z41" i="5"/>
  <c r="Y41" i="5"/>
  <c r="X41" i="5"/>
  <c r="W41" i="5"/>
  <c r="V41" i="5"/>
  <c r="AA40" i="5"/>
  <c r="Z40" i="5"/>
  <c r="Y40" i="5"/>
  <c r="X40" i="5"/>
  <c r="W40" i="5"/>
  <c r="V40" i="5"/>
  <c r="AA39" i="5"/>
  <c r="Z39" i="5"/>
  <c r="Y39" i="5"/>
  <c r="X39" i="5"/>
  <c r="W39" i="5"/>
  <c r="V39" i="5"/>
  <c r="AA38" i="5"/>
  <c r="Z38" i="5"/>
  <c r="Y38" i="5"/>
  <c r="X38" i="5"/>
  <c r="W38" i="5"/>
  <c r="V38" i="5"/>
  <c r="AA37" i="5"/>
  <c r="Z37" i="5"/>
  <c r="Y37" i="5"/>
  <c r="X37" i="5"/>
  <c r="W37" i="5"/>
  <c r="V37" i="5"/>
  <c r="AA36" i="5"/>
  <c r="Z36" i="5"/>
  <c r="Y36" i="5"/>
  <c r="X36" i="5"/>
  <c r="W36" i="5"/>
  <c r="V36" i="5"/>
  <c r="AA35" i="5"/>
  <c r="Z35" i="5"/>
  <c r="Y35" i="5"/>
  <c r="X35" i="5"/>
  <c r="W35" i="5"/>
  <c r="V35" i="5"/>
  <c r="AA34" i="5"/>
  <c r="Z34" i="5"/>
  <c r="Y34" i="5"/>
  <c r="X34" i="5"/>
  <c r="W34" i="5"/>
  <c r="V34" i="5"/>
  <c r="AA33" i="5"/>
  <c r="Z33" i="5"/>
  <c r="Y33" i="5"/>
  <c r="X33" i="5"/>
  <c r="W33" i="5"/>
  <c r="V33" i="5"/>
  <c r="AA32" i="5"/>
  <c r="Z32" i="5"/>
  <c r="Y32" i="5"/>
  <c r="X32" i="5"/>
  <c r="W32" i="5"/>
  <c r="V32" i="5"/>
  <c r="AA31" i="5"/>
  <c r="Z31" i="5"/>
  <c r="Y31" i="5"/>
  <c r="X31" i="5"/>
  <c r="W31" i="5"/>
  <c r="V31" i="5"/>
  <c r="AA30" i="5"/>
  <c r="Z30" i="5"/>
  <c r="Y30" i="5"/>
  <c r="X30" i="5"/>
  <c r="W30" i="5"/>
  <c r="V30" i="5"/>
  <c r="AA29" i="5"/>
  <c r="Z29" i="5"/>
  <c r="Y29" i="5"/>
  <c r="X29" i="5"/>
  <c r="W29" i="5"/>
  <c r="V29" i="5"/>
  <c r="AA28" i="5"/>
  <c r="Z28" i="5"/>
  <c r="Y28" i="5"/>
  <c r="X28" i="5"/>
  <c r="W28" i="5"/>
  <c r="V28" i="5"/>
  <c r="AA27" i="5"/>
  <c r="Z27" i="5"/>
  <c r="Y27" i="5"/>
  <c r="X27" i="5"/>
  <c r="W27" i="5"/>
  <c r="V27" i="5"/>
  <c r="AA26" i="5"/>
  <c r="Z26" i="5"/>
  <c r="Y26" i="5"/>
  <c r="X26" i="5"/>
  <c r="W26" i="5"/>
  <c r="V26" i="5"/>
  <c r="AA25" i="5"/>
  <c r="Z25" i="5"/>
  <c r="Y25" i="5"/>
  <c r="X25" i="5"/>
  <c r="W25" i="5"/>
  <c r="V25" i="5"/>
  <c r="AA24" i="5"/>
  <c r="Z24" i="5"/>
  <c r="Y24" i="5"/>
  <c r="X24" i="5"/>
  <c r="W24" i="5"/>
  <c r="V24" i="5"/>
  <c r="AA23" i="5"/>
  <c r="Z23" i="5"/>
  <c r="Y23" i="5"/>
  <c r="X23" i="5"/>
  <c r="W23" i="5"/>
  <c r="V23" i="5"/>
  <c r="AA22" i="5"/>
  <c r="Z22" i="5"/>
  <c r="Y22" i="5"/>
  <c r="X22" i="5"/>
  <c r="W22" i="5"/>
  <c r="V22" i="5"/>
  <c r="AA21" i="5"/>
  <c r="Z21" i="5"/>
  <c r="Y21" i="5"/>
  <c r="X21" i="5"/>
  <c r="W21" i="5"/>
  <c r="V21" i="5"/>
  <c r="AA20" i="5"/>
  <c r="Z20" i="5"/>
  <c r="Y20" i="5"/>
  <c r="X20" i="5"/>
  <c r="W20" i="5"/>
  <c r="V20" i="5"/>
  <c r="AA19" i="5"/>
  <c r="Z19" i="5"/>
  <c r="Y19" i="5"/>
  <c r="X19" i="5"/>
  <c r="W19" i="5"/>
  <c r="V19" i="5"/>
  <c r="AA18" i="5"/>
  <c r="Z18" i="5"/>
  <c r="Y18" i="5"/>
  <c r="X18" i="5"/>
  <c r="W18" i="5"/>
  <c r="V18" i="5"/>
  <c r="AA17" i="5"/>
  <c r="Z17" i="5"/>
  <c r="Y17" i="5"/>
  <c r="X17" i="5"/>
  <c r="W17" i="5"/>
  <c r="V17" i="5"/>
  <c r="AA16" i="5"/>
  <c r="Z16" i="5"/>
  <c r="Y16" i="5"/>
  <c r="X16" i="5"/>
  <c r="W16" i="5"/>
  <c r="V16" i="5"/>
  <c r="AA15" i="5"/>
  <c r="Z15" i="5"/>
  <c r="Y15" i="5"/>
  <c r="X15" i="5"/>
  <c r="W15" i="5"/>
  <c r="V15" i="5"/>
  <c r="AA14" i="5"/>
  <c r="Z14" i="5"/>
  <c r="Y14" i="5"/>
  <c r="X14" i="5"/>
  <c r="W14" i="5"/>
  <c r="V14" i="5"/>
  <c r="AA13" i="5"/>
  <c r="Z13" i="5"/>
  <c r="Y13" i="5"/>
  <c r="X13" i="5"/>
  <c r="W13" i="5"/>
  <c r="V13" i="5"/>
  <c r="AA12" i="5"/>
  <c r="Z12" i="5"/>
  <c r="Y12" i="5"/>
  <c r="X12" i="5"/>
  <c r="W12" i="5"/>
  <c r="V12" i="5"/>
  <c r="AA11" i="5"/>
  <c r="Z11" i="5"/>
  <c r="Y11" i="5"/>
  <c r="X11" i="5"/>
  <c r="W11" i="5"/>
  <c r="V11" i="5"/>
  <c r="AA10" i="5"/>
  <c r="Z10" i="5"/>
  <c r="Y10" i="5"/>
  <c r="X10" i="5"/>
  <c r="W10" i="5"/>
  <c r="V10" i="5"/>
  <c r="AA9" i="5"/>
  <c r="Z9" i="5"/>
  <c r="Y9" i="5"/>
  <c r="X9" i="5"/>
  <c r="W9" i="5"/>
  <c r="V9" i="5"/>
  <c r="AA8" i="5"/>
  <c r="Z8" i="5"/>
  <c r="Y8" i="5"/>
  <c r="X8" i="5"/>
  <c r="W8" i="5"/>
  <c r="V8" i="5"/>
  <c r="AA7" i="5"/>
  <c r="Z7" i="5"/>
  <c r="Y7" i="5"/>
  <c r="X7" i="5"/>
  <c r="W7" i="5"/>
  <c r="V7" i="5"/>
  <c r="AA6" i="5"/>
  <c r="Z6" i="5"/>
  <c r="Y6" i="5"/>
  <c r="X6" i="5"/>
  <c r="W6" i="5"/>
  <c r="V6" i="5"/>
  <c r="AA5" i="5"/>
  <c r="Z5" i="5"/>
  <c r="Y5" i="5"/>
  <c r="X5" i="5"/>
  <c r="W5" i="5"/>
  <c r="V5" i="5"/>
  <c r="AA4" i="5"/>
  <c r="Z4" i="5"/>
  <c r="Y4" i="5"/>
  <c r="X4" i="5"/>
  <c r="W4" i="5"/>
  <c r="V4" i="5"/>
  <c r="AA3" i="5"/>
  <c r="Z3" i="5"/>
  <c r="Y3" i="5"/>
  <c r="X3" i="5"/>
  <c r="W3" i="5"/>
  <c r="V3" i="5"/>
  <c r="AA2" i="5"/>
  <c r="Z2" i="5"/>
  <c r="Y2" i="5"/>
  <c r="X2" i="5"/>
  <c r="W2" i="5"/>
  <c r="V2" i="5"/>
  <c r="AA66" i="4"/>
  <c r="Z66" i="4"/>
  <c r="Y66" i="4"/>
  <c r="X66" i="4"/>
  <c r="W66" i="4"/>
  <c r="V66" i="4"/>
  <c r="AA65" i="4"/>
  <c r="Z65" i="4"/>
  <c r="Y65" i="4"/>
  <c r="X65" i="4"/>
  <c r="W65" i="4"/>
  <c r="V65" i="4"/>
  <c r="AA64" i="4"/>
  <c r="Z64" i="4"/>
  <c r="Y64" i="4"/>
  <c r="X64" i="4"/>
  <c r="W64" i="4"/>
  <c r="V64" i="4"/>
  <c r="AA63" i="4"/>
  <c r="Z63" i="4"/>
  <c r="Y63" i="4"/>
  <c r="X63" i="4"/>
  <c r="W63" i="4"/>
  <c r="V63" i="4"/>
  <c r="AA62" i="4"/>
  <c r="Z62" i="4"/>
  <c r="Y62" i="4"/>
  <c r="X62" i="4"/>
  <c r="W62" i="4"/>
  <c r="V62" i="4"/>
  <c r="AA61" i="4"/>
  <c r="Z61" i="4"/>
  <c r="Y61" i="4"/>
  <c r="X61" i="4"/>
  <c r="W61" i="4"/>
  <c r="V61" i="4"/>
  <c r="AA60" i="4"/>
  <c r="Z60" i="4"/>
  <c r="Y60" i="4"/>
  <c r="X60" i="4"/>
  <c r="W60" i="4"/>
  <c r="V60" i="4"/>
  <c r="AA59" i="4"/>
  <c r="Z59" i="4"/>
  <c r="Y59" i="4"/>
  <c r="X59" i="4"/>
  <c r="W59" i="4"/>
  <c r="V59" i="4"/>
  <c r="AA58" i="4"/>
  <c r="Z58" i="4"/>
  <c r="Y58" i="4"/>
  <c r="X58" i="4"/>
  <c r="W58" i="4"/>
  <c r="V58" i="4"/>
  <c r="AA57" i="4"/>
  <c r="Z57" i="4"/>
  <c r="Y57" i="4"/>
  <c r="X57" i="4"/>
  <c r="W57" i="4"/>
  <c r="V57" i="4"/>
  <c r="AA56" i="4"/>
  <c r="Z56" i="4"/>
  <c r="Y56" i="4"/>
  <c r="X56" i="4"/>
  <c r="W56" i="4"/>
  <c r="V56" i="4"/>
  <c r="AA55" i="4"/>
  <c r="Z55" i="4"/>
  <c r="Y55" i="4"/>
  <c r="X55" i="4"/>
  <c r="W55" i="4"/>
  <c r="V55" i="4"/>
  <c r="AA54" i="4"/>
  <c r="Z54" i="4"/>
  <c r="Y54" i="4"/>
  <c r="X54" i="4"/>
  <c r="W54" i="4"/>
  <c r="V54" i="4"/>
  <c r="AA53" i="4"/>
  <c r="Z53" i="4"/>
  <c r="Y53" i="4"/>
  <c r="X53" i="4"/>
  <c r="W53" i="4"/>
  <c r="V53" i="4"/>
  <c r="AA52" i="4"/>
  <c r="Z52" i="4"/>
  <c r="Y52" i="4"/>
  <c r="X52" i="4"/>
  <c r="W52" i="4"/>
  <c r="V52" i="4"/>
  <c r="AA51" i="4"/>
  <c r="Z51" i="4"/>
  <c r="Y51" i="4"/>
  <c r="X51" i="4"/>
  <c r="W51" i="4"/>
  <c r="V51" i="4"/>
  <c r="AA50" i="4"/>
  <c r="Z50" i="4"/>
  <c r="Y50" i="4"/>
  <c r="X50" i="4"/>
  <c r="W50" i="4"/>
  <c r="V50" i="4"/>
  <c r="AA49" i="4"/>
  <c r="Z49" i="4"/>
  <c r="Y49" i="4"/>
  <c r="X49" i="4"/>
  <c r="W49" i="4"/>
  <c r="V49" i="4"/>
  <c r="AA48" i="4"/>
  <c r="Y48" i="4"/>
  <c r="X48" i="4"/>
  <c r="M48" i="4"/>
  <c r="W48" i="4" s="1"/>
  <c r="L48" i="4"/>
  <c r="V48" i="4" s="1"/>
  <c r="AA47" i="4"/>
  <c r="Z47" i="4"/>
  <c r="Y47" i="4"/>
  <c r="X47" i="4"/>
  <c r="W47" i="4"/>
  <c r="V47" i="4"/>
  <c r="AA46" i="4"/>
  <c r="Z46" i="4"/>
  <c r="Y46" i="4"/>
  <c r="X46" i="4"/>
  <c r="W46" i="4"/>
  <c r="V46" i="4"/>
  <c r="AA45" i="4"/>
  <c r="Z45" i="4"/>
  <c r="Y45" i="4"/>
  <c r="X45" i="4"/>
  <c r="W45" i="4"/>
  <c r="V45" i="4"/>
  <c r="AA44" i="4"/>
  <c r="Z44" i="4"/>
  <c r="Y44" i="4"/>
  <c r="X44" i="4"/>
  <c r="W44" i="4"/>
  <c r="V44" i="4"/>
  <c r="AA43" i="4"/>
  <c r="Z43" i="4"/>
  <c r="Y43" i="4"/>
  <c r="X43" i="4"/>
  <c r="W43" i="4"/>
  <c r="V43" i="4"/>
  <c r="AA42" i="4"/>
  <c r="Z42" i="4"/>
  <c r="Y42" i="4"/>
  <c r="X42" i="4"/>
  <c r="W42" i="4"/>
  <c r="V42" i="4"/>
  <c r="AA41" i="4"/>
  <c r="Z41" i="4"/>
  <c r="Y41" i="4"/>
  <c r="X41" i="4"/>
  <c r="W41" i="4"/>
  <c r="V41" i="4"/>
  <c r="AA40" i="4"/>
  <c r="Z40" i="4"/>
  <c r="Y40" i="4"/>
  <c r="X40" i="4"/>
  <c r="W40" i="4"/>
  <c r="V40" i="4"/>
  <c r="AA39" i="4"/>
  <c r="Z39" i="4"/>
  <c r="Y39" i="4"/>
  <c r="X39" i="4"/>
  <c r="W39" i="4"/>
  <c r="V39" i="4"/>
  <c r="AA38" i="4"/>
  <c r="Z38" i="4"/>
  <c r="Y38" i="4"/>
  <c r="X38" i="4"/>
  <c r="W38" i="4"/>
  <c r="V38" i="4"/>
  <c r="AA37" i="4"/>
  <c r="Z37" i="4"/>
  <c r="Y37" i="4"/>
  <c r="X37" i="4"/>
  <c r="W37" i="4"/>
  <c r="V37" i="4"/>
  <c r="AA36" i="4"/>
  <c r="Z36" i="4"/>
  <c r="Y36" i="4"/>
  <c r="X36" i="4"/>
  <c r="W36" i="4"/>
  <c r="V36" i="4"/>
  <c r="AA35" i="4"/>
  <c r="Z35" i="4"/>
  <c r="Y35" i="4"/>
  <c r="X35" i="4"/>
  <c r="W35" i="4"/>
  <c r="V35" i="4"/>
  <c r="AA34" i="4"/>
  <c r="Z34" i="4"/>
  <c r="Y34" i="4"/>
  <c r="X34" i="4"/>
  <c r="W34" i="4"/>
  <c r="V34" i="4"/>
  <c r="AA33" i="4"/>
  <c r="Z33" i="4"/>
  <c r="Y33" i="4"/>
  <c r="X33" i="4"/>
  <c r="W33" i="4"/>
  <c r="V33" i="4"/>
  <c r="AA32" i="4"/>
  <c r="Z32" i="4"/>
  <c r="Y32" i="4"/>
  <c r="X32" i="4"/>
  <c r="W32" i="4"/>
  <c r="V32" i="4"/>
  <c r="AA31" i="4"/>
  <c r="Y31" i="4"/>
  <c r="X31" i="4"/>
  <c r="W31" i="4"/>
  <c r="L31" i="4"/>
  <c r="Z31" i="4" s="1"/>
  <c r="AA30" i="4"/>
  <c r="Z30" i="4"/>
  <c r="Y30" i="4"/>
  <c r="X30" i="4"/>
  <c r="W30" i="4"/>
  <c r="V30" i="4"/>
  <c r="AA29" i="4"/>
  <c r="Z29" i="4"/>
  <c r="Y29" i="4"/>
  <c r="X29" i="4"/>
  <c r="W29" i="4"/>
  <c r="V29" i="4"/>
  <c r="AA28" i="4"/>
  <c r="Z28" i="4"/>
  <c r="Y28" i="4"/>
  <c r="X28" i="4"/>
  <c r="W28" i="4"/>
  <c r="V28" i="4"/>
  <c r="AA27" i="4"/>
  <c r="Z27" i="4"/>
  <c r="Y27" i="4"/>
  <c r="X27" i="4"/>
  <c r="W27" i="4"/>
  <c r="V27" i="4"/>
  <c r="AA26" i="4"/>
  <c r="Z26" i="4"/>
  <c r="Y26" i="4"/>
  <c r="X26" i="4"/>
  <c r="W26" i="4"/>
  <c r="V26" i="4"/>
  <c r="AA25" i="4"/>
  <c r="Z25" i="4"/>
  <c r="Y25" i="4"/>
  <c r="X25" i="4"/>
  <c r="W25" i="4"/>
  <c r="V25" i="4"/>
  <c r="AA24" i="4"/>
  <c r="Z24" i="4"/>
  <c r="Y24" i="4"/>
  <c r="X24" i="4"/>
  <c r="W24" i="4"/>
  <c r="V24" i="4"/>
  <c r="AA23" i="4"/>
  <c r="Y23" i="4"/>
  <c r="X23" i="4"/>
  <c r="W23" i="4"/>
  <c r="L23" i="4"/>
  <c r="Z23" i="4" s="1"/>
  <c r="AA22" i="4"/>
  <c r="Z22" i="4"/>
  <c r="Y22" i="4"/>
  <c r="X22" i="4"/>
  <c r="W22" i="4"/>
  <c r="V22" i="4"/>
  <c r="AA21" i="4"/>
  <c r="Z21" i="4"/>
  <c r="Y21" i="4"/>
  <c r="X21" i="4"/>
  <c r="W21" i="4"/>
  <c r="V21" i="4"/>
  <c r="AA20" i="4"/>
  <c r="Z20" i="4"/>
  <c r="Y20" i="4"/>
  <c r="X20" i="4"/>
  <c r="W20" i="4"/>
  <c r="V20" i="4"/>
  <c r="AA19" i="4"/>
  <c r="Y19" i="4"/>
  <c r="X19" i="4"/>
  <c r="M19" i="4"/>
  <c r="W19" i="4" s="1"/>
  <c r="L19" i="4"/>
  <c r="V19" i="4" s="1"/>
  <c r="AA18" i="4"/>
  <c r="Z18" i="4"/>
  <c r="Y18" i="4"/>
  <c r="X18" i="4"/>
  <c r="W18" i="4"/>
  <c r="V18" i="4"/>
  <c r="AA17" i="4"/>
  <c r="Z17" i="4"/>
  <c r="Y17" i="4"/>
  <c r="X17" i="4"/>
  <c r="W17" i="4"/>
  <c r="V17" i="4"/>
  <c r="AA16" i="4"/>
  <c r="Z16" i="4"/>
  <c r="Y16" i="4"/>
  <c r="X16" i="4"/>
  <c r="W16" i="4"/>
  <c r="V16" i="4"/>
  <c r="AA15" i="4"/>
  <c r="Z15" i="4"/>
  <c r="Y15" i="4"/>
  <c r="X15" i="4"/>
  <c r="W15" i="4"/>
  <c r="V15" i="4"/>
  <c r="AA14" i="4"/>
  <c r="Z14" i="4"/>
  <c r="Y14" i="4"/>
  <c r="X14" i="4"/>
  <c r="W14" i="4"/>
  <c r="V14" i="4"/>
  <c r="AA13" i="4"/>
  <c r="Z13" i="4"/>
  <c r="Y13" i="4"/>
  <c r="X13" i="4"/>
  <c r="W13" i="4"/>
  <c r="V13" i="4"/>
  <c r="AA12" i="4"/>
  <c r="Z12" i="4"/>
  <c r="Y12" i="4"/>
  <c r="X12" i="4"/>
  <c r="W12" i="4"/>
  <c r="V12" i="4"/>
  <c r="AA11" i="4"/>
  <c r="Z11" i="4"/>
  <c r="Y11" i="4"/>
  <c r="X11" i="4"/>
  <c r="W11" i="4"/>
  <c r="V11" i="4"/>
  <c r="AA10" i="4"/>
  <c r="Z10" i="4"/>
  <c r="Y10" i="4"/>
  <c r="X10" i="4"/>
  <c r="W10" i="4"/>
  <c r="V10" i="4"/>
  <c r="AA9" i="4"/>
  <c r="Z9" i="4"/>
  <c r="Y9" i="4"/>
  <c r="X9" i="4"/>
  <c r="W9" i="4"/>
  <c r="V9" i="4"/>
  <c r="AA8" i="4"/>
  <c r="Z8" i="4"/>
  <c r="Y8" i="4"/>
  <c r="X8" i="4"/>
  <c r="W8" i="4"/>
  <c r="V8" i="4"/>
  <c r="AA7" i="4"/>
  <c r="Z7" i="4"/>
  <c r="Y7" i="4"/>
  <c r="X7" i="4"/>
  <c r="W7" i="4"/>
  <c r="V7" i="4"/>
  <c r="AA6" i="4"/>
  <c r="Z6" i="4"/>
  <c r="Y6" i="4"/>
  <c r="X6" i="4"/>
  <c r="W6" i="4"/>
  <c r="V6" i="4"/>
  <c r="AA5" i="4"/>
  <c r="Z5" i="4"/>
  <c r="Y5" i="4"/>
  <c r="X5" i="4"/>
  <c r="W5" i="4"/>
  <c r="V5" i="4"/>
  <c r="AA4" i="4"/>
  <c r="Z4" i="4"/>
  <c r="Y4" i="4"/>
  <c r="X4" i="4"/>
  <c r="W4" i="4"/>
  <c r="V4" i="4"/>
  <c r="AA3" i="4"/>
  <c r="Z3" i="4"/>
  <c r="Y3" i="4"/>
  <c r="X3" i="4"/>
  <c r="W3" i="4"/>
  <c r="V3" i="4"/>
  <c r="AA2" i="4"/>
  <c r="Z2" i="4"/>
  <c r="Y2" i="4"/>
  <c r="X2" i="4"/>
  <c r="W2" i="4"/>
  <c r="V2" i="4"/>
  <c r="AA63" i="3"/>
  <c r="Z63" i="3"/>
  <c r="Y63" i="3"/>
  <c r="X63" i="3"/>
  <c r="W63" i="3"/>
  <c r="V63" i="3"/>
  <c r="AA62" i="3"/>
  <c r="Z62" i="3"/>
  <c r="Y62" i="3"/>
  <c r="X62" i="3"/>
  <c r="W62" i="3"/>
  <c r="V62" i="3"/>
  <c r="AA61" i="3"/>
  <c r="Z61" i="3"/>
  <c r="Y61" i="3"/>
  <c r="X61" i="3"/>
  <c r="W61" i="3"/>
  <c r="V61" i="3"/>
  <c r="AA60" i="3"/>
  <c r="Z60" i="3"/>
  <c r="Y60" i="3"/>
  <c r="X60" i="3"/>
  <c r="W60" i="3"/>
  <c r="V60" i="3"/>
  <c r="AA59" i="3"/>
  <c r="Z59" i="3"/>
  <c r="Y59" i="3"/>
  <c r="X59" i="3"/>
  <c r="W59" i="3"/>
  <c r="V59" i="3"/>
  <c r="AA58" i="3"/>
  <c r="Z58" i="3"/>
  <c r="Y58" i="3"/>
  <c r="X58" i="3"/>
  <c r="W58" i="3"/>
  <c r="V58" i="3"/>
  <c r="AA57" i="3"/>
  <c r="Z57" i="3"/>
  <c r="Y57" i="3"/>
  <c r="X57" i="3"/>
  <c r="W57" i="3"/>
  <c r="V57" i="3"/>
  <c r="AA56" i="3"/>
  <c r="Z56" i="3"/>
  <c r="Y56" i="3"/>
  <c r="X56" i="3"/>
  <c r="W56" i="3"/>
  <c r="V56" i="3"/>
  <c r="AA55" i="3"/>
  <c r="Z55" i="3"/>
  <c r="Y55" i="3"/>
  <c r="X55" i="3"/>
  <c r="W55" i="3"/>
  <c r="V55" i="3"/>
  <c r="AA54" i="3"/>
  <c r="Z54" i="3"/>
  <c r="Y54" i="3"/>
  <c r="X54" i="3"/>
  <c r="W54" i="3"/>
  <c r="V54" i="3"/>
  <c r="AA53" i="3"/>
  <c r="Z53" i="3"/>
  <c r="Y53" i="3"/>
  <c r="X53" i="3"/>
  <c r="W53" i="3"/>
  <c r="V53" i="3"/>
  <c r="AA52" i="3"/>
  <c r="Z52" i="3"/>
  <c r="Y52" i="3"/>
  <c r="X52" i="3"/>
  <c r="W52" i="3"/>
  <c r="V52" i="3"/>
  <c r="AA51" i="3"/>
  <c r="Z51" i="3"/>
  <c r="Y51" i="3"/>
  <c r="X51" i="3"/>
  <c r="W51" i="3"/>
  <c r="V51" i="3"/>
  <c r="AA50" i="3"/>
  <c r="Z50" i="3"/>
  <c r="Y50" i="3"/>
  <c r="X50" i="3"/>
  <c r="W50" i="3"/>
  <c r="V50" i="3"/>
  <c r="AA49" i="3"/>
  <c r="Z49" i="3"/>
  <c r="Y49" i="3"/>
  <c r="X49" i="3"/>
  <c r="W49" i="3"/>
  <c r="V49" i="3"/>
  <c r="AA48" i="3"/>
  <c r="Y48" i="3"/>
  <c r="X48" i="3"/>
  <c r="W48" i="3"/>
  <c r="L48" i="3"/>
  <c r="Z48" i="3" s="1"/>
  <c r="AA47" i="3"/>
  <c r="Z47" i="3"/>
  <c r="Y47" i="3"/>
  <c r="X47" i="3"/>
  <c r="W47" i="3"/>
  <c r="V47" i="3"/>
  <c r="AA46" i="3"/>
  <c r="Z46" i="3"/>
  <c r="Y46" i="3"/>
  <c r="X46" i="3"/>
  <c r="W46" i="3"/>
  <c r="V46" i="3"/>
  <c r="AA45" i="3"/>
  <c r="Z45" i="3"/>
  <c r="Y45" i="3"/>
  <c r="X45" i="3"/>
  <c r="W45" i="3"/>
  <c r="V45" i="3"/>
  <c r="AA44" i="3"/>
  <c r="Z44" i="3"/>
  <c r="Y44" i="3"/>
  <c r="X44" i="3"/>
  <c r="W44" i="3"/>
  <c r="V44" i="3"/>
  <c r="AA43" i="3"/>
  <c r="Z43" i="3"/>
  <c r="Y43" i="3"/>
  <c r="X43" i="3"/>
  <c r="W43" i="3"/>
  <c r="V43" i="3"/>
  <c r="AA42" i="3"/>
  <c r="Y42" i="3"/>
  <c r="X42" i="3"/>
  <c r="W42" i="3"/>
  <c r="L42" i="3"/>
  <c r="Z42" i="3" s="1"/>
  <c r="AA41" i="3"/>
  <c r="Z41" i="3"/>
  <c r="Y41" i="3"/>
  <c r="X41" i="3"/>
  <c r="W41" i="3"/>
  <c r="V41" i="3"/>
  <c r="AA40" i="3"/>
  <c r="Z40" i="3"/>
  <c r="Y40" i="3"/>
  <c r="X40" i="3"/>
  <c r="W40" i="3"/>
  <c r="V40" i="3"/>
  <c r="AA39" i="3"/>
  <c r="Z39" i="3"/>
  <c r="Y39" i="3"/>
  <c r="X39" i="3"/>
  <c r="W39" i="3"/>
  <c r="V39" i="3"/>
  <c r="AA38" i="3"/>
  <c r="Z38" i="3"/>
  <c r="Y38" i="3"/>
  <c r="X38" i="3"/>
  <c r="W38" i="3"/>
  <c r="V38" i="3"/>
  <c r="AA37" i="3"/>
  <c r="Y37" i="3"/>
  <c r="X37" i="3"/>
  <c r="W37" i="3"/>
  <c r="L37" i="3"/>
  <c r="V37" i="3" s="1"/>
  <c r="AA36" i="3"/>
  <c r="Z36" i="3"/>
  <c r="Y36" i="3"/>
  <c r="X36" i="3"/>
  <c r="W36" i="3"/>
  <c r="V36" i="3"/>
  <c r="AA35" i="3"/>
  <c r="Z35" i="3"/>
  <c r="Y35" i="3"/>
  <c r="X35" i="3"/>
  <c r="W35" i="3"/>
  <c r="V35" i="3"/>
  <c r="AA34" i="3"/>
  <c r="Z34" i="3"/>
  <c r="Y34" i="3"/>
  <c r="X34" i="3"/>
  <c r="W34" i="3"/>
  <c r="V34" i="3"/>
  <c r="AA33" i="3"/>
  <c r="Z33" i="3"/>
  <c r="Y33" i="3"/>
  <c r="X33" i="3"/>
  <c r="W33" i="3"/>
  <c r="V33" i="3"/>
  <c r="AA32" i="3"/>
  <c r="Z32" i="3"/>
  <c r="Y32" i="3"/>
  <c r="X32" i="3"/>
  <c r="W32" i="3"/>
  <c r="V32" i="3"/>
  <c r="AA31" i="3"/>
  <c r="Z31" i="3"/>
  <c r="Y31" i="3"/>
  <c r="X31" i="3"/>
  <c r="W31" i="3"/>
  <c r="V31" i="3"/>
  <c r="AA30" i="3"/>
  <c r="Z30" i="3"/>
  <c r="Y30" i="3"/>
  <c r="X30" i="3"/>
  <c r="W30" i="3"/>
  <c r="V30" i="3"/>
  <c r="AA29" i="3"/>
  <c r="Y29" i="3"/>
  <c r="X29" i="3"/>
  <c r="W29" i="3"/>
  <c r="L29" i="3"/>
  <c r="V29" i="3" s="1"/>
  <c r="AA28" i="3"/>
  <c r="Z28" i="3"/>
  <c r="Y28" i="3"/>
  <c r="X28" i="3"/>
  <c r="W28" i="3"/>
  <c r="V28" i="3"/>
  <c r="AA27" i="3"/>
  <c r="Z27" i="3"/>
  <c r="Y27" i="3"/>
  <c r="X27" i="3"/>
  <c r="W27" i="3"/>
  <c r="V27" i="3"/>
  <c r="AA26" i="3"/>
  <c r="Z26" i="3"/>
  <c r="Y26" i="3"/>
  <c r="X26" i="3"/>
  <c r="W26" i="3"/>
  <c r="V26" i="3"/>
  <c r="AA25" i="3"/>
  <c r="Z25" i="3"/>
  <c r="Y25" i="3"/>
  <c r="X25" i="3"/>
  <c r="W25" i="3"/>
  <c r="V25" i="3"/>
  <c r="AA24" i="3"/>
  <c r="Z24" i="3"/>
  <c r="Y24" i="3"/>
  <c r="X24" i="3"/>
  <c r="W24" i="3"/>
  <c r="V24" i="3"/>
  <c r="AA23" i="3"/>
  <c r="Y23" i="3"/>
  <c r="X23" i="3"/>
  <c r="M23" i="3"/>
  <c r="L23" i="3"/>
  <c r="V23" i="3" s="1"/>
  <c r="AA22" i="3"/>
  <c r="Z22" i="3"/>
  <c r="Y22" i="3"/>
  <c r="X22" i="3"/>
  <c r="W22" i="3"/>
  <c r="V22" i="3"/>
  <c r="AA21" i="3"/>
  <c r="Z21" i="3"/>
  <c r="Y21" i="3"/>
  <c r="X21" i="3"/>
  <c r="W21" i="3"/>
  <c r="V21" i="3"/>
  <c r="AA20" i="3"/>
  <c r="Z20" i="3"/>
  <c r="Y20" i="3"/>
  <c r="X20" i="3"/>
  <c r="W20" i="3"/>
  <c r="V20" i="3"/>
  <c r="AA19" i="3"/>
  <c r="Y19" i="3"/>
  <c r="X19" i="3"/>
  <c r="W19" i="3"/>
  <c r="L19" i="3"/>
  <c r="V19" i="3" s="1"/>
  <c r="AA18" i="3"/>
  <c r="Z18" i="3"/>
  <c r="Y18" i="3"/>
  <c r="X18" i="3"/>
  <c r="W18" i="3"/>
  <c r="V18" i="3"/>
  <c r="AA17" i="3"/>
  <c r="Z17" i="3"/>
  <c r="Y17" i="3"/>
  <c r="X17" i="3"/>
  <c r="W17" i="3"/>
  <c r="V17" i="3"/>
  <c r="AA16" i="3"/>
  <c r="Z16" i="3"/>
  <c r="Y16" i="3"/>
  <c r="X16" i="3"/>
  <c r="W16" i="3"/>
  <c r="V16" i="3"/>
  <c r="AA15" i="3"/>
  <c r="Z15" i="3"/>
  <c r="Y15" i="3"/>
  <c r="X15" i="3"/>
  <c r="W15" i="3"/>
  <c r="V15" i="3"/>
  <c r="AA14" i="3"/>
  <c r="Z14" i="3"/>
  <c r="Y14" i="3"/>
  <c r="X14" i="3"/>
  <c r="W14" i="3"/>
  <c r="V14" i="3"/>
  <c r="AA13" i="3"/>
  <c r="Z13" i="3"/>
  <c r="Y13" i="3"/>
  <c r="X13" i="3"/>
  <c r="W13" i="3"/>
  <c r="V13" i="3"/>
  <c r="AA12" i="3"/>
  <c r="Z12" i="3"/>
  <c r="Y12" i="3"/>
  <c r="X12" i="3"/>
  <c r="W12" i="3"/>
  <c r="V12" i="3"/>
  <c r="AA11" i="3"/>
  <c r="Z11" i="3"/>
  <c r="Y11" i="3"/>
  <c r="X11" i="3"/>
  <c r="W11" i="3"/>
  <c r="V11" i="3"/>
  <c r="AA10" i="3"/>
  <c r="Z10" i="3"/>
  <c r="Y10" i="3"/>
  <c r="X10" i="3"/>
  <c r="W10" i="3"/>
  <c r="V10" i="3"/>
  <c r="AA9" i="3"/>
  <c r="Z9" i="3"/>
  <c r="Y9" i="3"/>
  <c r="X9" i="3"/>
  <c r="W9" i="3"/>
  <c r="V9" i="3"/>
  <c r="AA8" i="3"/>
  <c r="Z8" i="3"/>
  <c r="Y8" i="3"/>
  <c r="X8" i="3"/>
  <c r="W8" i="3"/>
  <c r="V8" i="3"/>
  <c r="AA7" i="3"/>
  <c r="Z7" i="3"/>
  <c r="Y7" i="3"/>
  <c r="X7" i="3"/>
  <c r="W7" i="3"/>
  <c r="V7" i="3"/>
  <c r="AA6" i="3"/>
  <c r="Z6" i="3"/>
  <c r="Y6" i="3"/>
  <c r="X6" i="3"/>
  <c r="W6" i="3"/>
  <c r="V6" i="3"/>
  <c r="AA5" i="3"/>
  <c r="Z5" i="3"/>
  <c r="Y5" i="3"/>
  <c r="X5" i="3"/>
  <c r="W5" i="3"/>
  <c r="V5" i="3"/>
  <c r="AA4" i="3"/>
  <c r="Z4" i="3"/>
  <c r="Y4" i="3"/>
  <c r="X4" i="3"/>
  <c r="W4" i="3"/>
  <c r="V4" i="3"/>
  <c r="AA3" i="3"/>
  <c r="Z3" i="3"/>
  <c r="Y3" i="3"/>
  <c r="X3" i="3"/>
  <c r="W3" i="3"/>
  <c r="V3" i="3"/>
  <c r="AA2" i="3"/>
  <c r="Z2" i="3"/>
  <c r="Y2" i="3"/>
  <c r="X2" i="3"/>
  <c r="W2" i="3"/>
  <c r="V2" i="3"/>
  <c r="X56" i="2"/>
  <c r="W56" i="2"/>
  <c r="V56" i="2"/>
  <c r="U56" i="2"/>
  <c r="T56" i="2"/>
  <c r="S56" i="2"/>
  <c r="X55" i="2"/>
  <c r="W55" i="2"/>
  <c r="V55" i="2"/>
  <c r="U55" i="2"/>
  <c r="T55" i="2"/>
  <c r="S55" i="2"/>
  <c r="X54" i="2"/>
  <c r="W54" i="2"/>
  <c r="V54" i="2"/>
  <c r="U54" i="2"/>
  <c r="T54" i="2"/>
  <c r="S54" i="2"/>
  <c r="X53" i="2"/>
  <c r="W53" i="2"/>
  <c r="V53" i="2"/>
  <c r="U53" i="2"/>
  <c r="T53" i="2"/>
  <c r="S53" i="2"/>
  <c r="X52" i="2"/>
  <c r="W52" i="2"/>
  <c r="V52" i="2"/>
  <c r="U52" i="2"/>
  <c r="T52" i="2"/>
  <c r="S52" i="2"/>
  <c r="X51" i="2"/>
  <c r="W51" i="2"/>
  <c r="V51" i="2"/>
  <c r="U51" i="2"/>
  <c r="T51" i="2"/>
  <c r="S51" i="2"/>
  <c r="X50" i="2"/>
  <c r="W50" i="2"/>
  <c r="V50" i="2"/>
  <c r="U50" i="2"/>
  <c r="T50" i="2"/>
  <c r="S50" i="2"/>
  <c r="X49" i="2"/>
  <c r="W49" i="2"/>
  <c r="V49" i="2"/>
  <c r="U49" i="2"/>
  <c r="T49" i="2"/>
  <c r="S49" i="2"/>
  <c r="X48" i="2"/>
  <c r="W48" i="2"/>
  <c r="V48" i="2"/>
  <c r="U48" i="2"/>
  <c r="T48" i="2"/>
  <c r="S48" i="2"/>
  <c r="X47" i="2"/>
  <c r="V47" i="2"/>
  <c r="U47" i="2"/>
  <c r="T47" i="2"/>
  <c r="I47" i="2"/>
  <c r="W47" i="2" s="1"/>
  <c r="X46" i="2"/>
  <c r="V46" i="2"/>
  <c r="U46" i="2"/>
  <c r="T46" i="2"/>
  <c r="I46" i="2"/>
  <c r="W46" i="2" s="1"/>
  <c r="X45" i="2"/>
  <c r="V45" i="2"/>
  <c r="U45" i="2"/>
  <c r="T45" i="2"/>
  <c r="I45" i="2"/>
  <c r="S45" i="2" s="1"/>
  <c r="X44" i="2"/>
  <c r="V44" i="2"/>
  <c r="U44" i="2"/>
  <c r="J44" i="2"/>
  <c r="T44" i="2" s="1"/>
  <c r="I44" i="2"/>
  <c r="W44" i="2" s="1"/>
  <c r="X43" i="2"/>
  <c r="W43" i="2"/>
  <c r="V43" i="2"/>
  <c r="U43" i="2"/>
  <c r="T43" i="2"/>
  <c r="S43" i="2"/>
  <c r="X42" i="2"/>
  <c r="W42" i="2"/>
  <c r="V42" i="2"/>
  <c r="U42" i="2"/>
  <c r="T42" i="2"/>
  <c r="S42" i="2"/>
  <c r="X41" i="2"/>
  <c r="W41" i="2"/>
  <c r="V41" i="2"/>
  <c r="U41" i="2"/>
  <c r="T41" i="2"/>
  <c r="S41" i="2"/>
  <c r="X40" i="2"/>
  <c r="W40" i="2"/>
  <c r="V40" i="2"/>
  <c r="U40" i="2"/>
  <c r="T40" i="2"/>
  <c r="S40" i="2"/>
  <c r="X39" i="2"/>
  <c r="W39" i="2"/>
  <c r="V39" i="2"/>
  <c r="U39" i="2"/>
  <c r="T39" i="2"/>
  <c r="S39" i="2"/>
  <c r="X38" i="2"/>
  <c r="W38" i="2"/>
  <c r="V38" i="2"/>
  <c r="U38" i="2"/>
  <c r="T38" i="2"/>
  <c r="S38" i="2"/>
  <c r="X37" i="2"/>
  <c r="W37" i="2"/>
  <c r="V37" i="2"/>
  <c r="U37" i="2"/>
  <c r="T37" i="2"/>
  <c r="S37" i="2"/>
  <c r="X36" i="2"/>
  <c r="W36" i="2"/>
  <c r="V36" i="2"/>
  <c r="U36" i="2"/>
  <c r="T36" i="2"/>
  <c r="S36" i="2"/>
  <c r="X35" i="2"/>
  <c r="W35" i="2"/>
  <c r="V35" i="2"/>
  <c r="U35" i="2"/>
  <c r="T35" i="2"/>
  <c r="S35" i="2"/>
  <c r="X34" i="2"/>
  <c r="W34" i="2"/>
  <c r="V34" i="2"/>
  <c r="U34" i="2"/>
  <c r="T34" i="2"/>
  <c r="S34" i="2"/>
  <c r="X33" i="2"/>
  <c r="W33" i="2"/>
  <c r="V33" i="2"/>
  <c r="U33" i="2"/>
  <c r="T33" i="2"/>
  <c r="S33" i="2"/>
  <c r="X32" i="2"/>
  <c r="W32" i="2"/>
  <c r="V32" i="2"/>
  <c r="U32" i="2"/>
  <c r="T32" i="2"/>
  <c r="S32" i="2"/>
  <c r="X31" i="2"/>
  <c r="W31" i="2"/>
  <c r="V31" i="2"/>
  <c r="U31" i="2"/>
  <c r="T31" i="2"/>
  <c r="S31" i="2"/>
  <c r="X30" i="2"/>
  <c r="W30" i="2"/>
  <c r="V30" i="2"/>
  <c r="U30" i="2"/>
  <c r="T30" i="2"/>
  <c r="S30" i="2"/>
  <c r="X29" i="2"/>
  <c r="W29" i="2"/>
  <c r="V29" i="2"/>
  <c r="U29" i="2"/>
  <c r="T29" i="2"/>
  <c r="S29" i="2"/>
  <c r="X28" i="2"/>
  <c r="W28" i="2"/>
  <c r="V28" i="2"/>
  <c r="U28" i="2"/>
  <c r="T28" i="2"/>
  <c r="S28" i="2"/>
  <c r="X27" i="2"/>
  <c r="V27" i="2"/>
  <c r="U27" i="2"/>
  <c r="J27" i="2"/>
  <c r="T27" i="2" s="1"/>
  <c r="I27" i="2"/>
  <c r="S27" i="2" s="1"/>
  <c r="X26" i="2"/>
  <c r="W26" i="2"/>
  <c r="V26" i="2"/>
  <c r="U26" i="2"/>
  <c r="T26" i="2"/>
  <c r="S26" i="2"/>
  <c r="X25" i="2"/>
  <c r="W25" i="2"/>
  <c r="V25" i="2"/>
  <c r="U25" i="2"/>
  <c r="T25" i="2"/>
  <c r="S25" i="2"/>
  <c r="X24" i="2"/>
  <c r="W24" i="2"/>
  <c r="V24" i="2"/>
  <c r="U24" i="2"/>
  <c r="T24" i="2"/>
  <c r="S24" i="2"/>
  <c r="X23" i="2"/>
  <c r="W23" i="2"/>
  <c r="V23" i="2"/>
  <c r="U23" i="2"/>
  <c r="T23" i="2"/>
  <c r="S23" i="2"/>
  <c r="X22" i="2"/>
  <c r="W22" i="2"/>
  <c r="V22" i="2"/>
  <c r="U22" i="2"/>
  <c r="T22" i="2"/>
  <c r="S22" i="2"/>
  <c r="X21" i="2"/>
  <c r="W21" i="2"/>
  <c r="V21" i="2"/>
  <c r="U21" i="2"/>
  <c r="T21" i="2"/>
  <c r="S21" i="2"/>
  <c r="X20" i="2"/>
  <c r="W20" i="2"/>
  <c r="V20" i="2"/>
  <c r="U20" i="2"/>
  <c r="T20" i="2"/>
  <c r="S20" i="2"/>
  <c r="X19" i="2"/>
  <c r="W19" i="2"/>
  <c r="V19" i="2"/>
  <c r="U19" i="2"/>
  <c r="T19" i="2"/>
  <c r="S19" i="2"/>
  <c r="X18" i="2"/>
  <c r="W18" i="2"/>
  <c r="V18" i="2"/>
  <c r="U18" i="2"/>
  <c r="T18" i="2"/>
  <c r="S18" i="2"/>
  <c r="X17" i="2"/>
  <c r="W17" i="2"/>
  <c r="V17" i="2"/>
  <c r="U17" i="2"/>
  <c r="T17" i="2"/>
  <c r="S17" i="2"/>
  <c r="X16" i="2"/>
  <c r="W16" i="2"/>
  <c r="V16" i="2"/>
  <c r="U16" i="2"/>
  <c r="T16" i="2"/>
  <c r="S16" i="2"/>
  <c r="X15" i="2"/>
  <c r="W15" i="2"/>
  <c r="V15" i="2"/>
  <c r="U15" i="2"/>
  <c r="T15" i="2"/>
  <c r="S15" i="2"/>
  <c r="X14" i="2"/>
  <c r="W14" i="2"/>
  <c r="V14" i="2"/>
  <c r="U14" i="2"/>
  <c r="T14" i="2"/>
  <c r="S14" i="2"/>
  <c r="X13" i="2"/>
  <c r="W13" i="2"/>
  <c r="V13" i="2"/>
  <c r="U13" i="2"/>
  <c r="T13" i="2"/>
  <c r="S13" i="2"/>
  <c r="X12" i="2"/>
  <c r="W12" i="2"/>
  <c r="V12" i="2"/>
  <c r="U12" i="2"/>
  <c r="T12" i="2"/>
  <c r="S12" i="2"/>
  <c r="X11" i="2"/>
  <c r="W11" i="2"/>
  <c r="V11" i="2"/>
  <c r="U11" i="2"/>
  <c r="T11" i="2"/>
  <c r="S11" i="2"/>
  <c r="X10" i="2"/>
  <c r="W10" i="2"/>
  <c r="V10" i="2"/>
  <c r="U10" i="2"/>
  <c r="T10" i="2"/>
  <c r="S10" i="2"/>
  <c r="X9" i="2"/>
  <c r="W9" i="2"/>
  <c r="V9" i="2"/>
  <c r="U9" i="2"/>
  <c r="T9" i="2"/>
  <c r="S9" i="2"/>
  <c r="X8" i="2"/>
  <c r="W8" i="2"/>
  <c r="V8" i="2"/>
  <c r="U8" i="2"/>
  <c r="T8" i="2"/>
  <c r="S8" i="2"/>
  <c r="X7" i="2"/>
  <c r="W7" i="2"/>
  <c r="V7" i="2"/>
  <c r="U7" i="2"/>
  <c r="T7" i="2"/>
  <c r="S7" i="2"/>
  <c r="X6" i="2"/>
  <c r="W6" i="2"/>
  <c r="V6" i="2"/>
  <c r="U6" i="2"/>
  <c r="T6" i="2"/>
  <c r="S6" i="2"/>
  <c r="X5" i="2"/>
  <c r="W5" i="2"/>
  <c r="V5" i="2"/>
  <c r="U5" i="2"/>
  <c r="T5" i="2"/>
  <c r="S5" i="2"/>
  <c r="X4" i="2"/>
  <c r="W4" i="2"/>
  <c r="V4" i="2"/>
  <c r="U4" i="2"/>
  <c r="T4" i="2"/>
  <c r="S4" i="2"/>
  <c r="X3" i="2"/>
  <c r="W3" i="2"/>
  <c r="V3" i="2"/>
  <c r="U3" i="2"/>
  <c r="T3" i="2"/>
  <c r="S3" i="2"/>
  <c r="X2" i="2"/>
  <c r="W2" i="2"/>
  <c r="V2" i="2"/>
  <c r="U2" i="2"/>
  <c r="T2" i="2"/>
  <c r="S2" i="2"/>
  <c r="X51" i="1"/>
  <c r="W51" i="1"/>
  <c r="V51" i="1"/>
  <c r="U51" i="1"/>
  <c r="T51" i="1"/>
  <c r="S51" i="1"/>
  <c r="X50" i="1"/>
  <c r="W50" i="1"/>
  <c r="V50" i="1"/>
  <c r="U50" i="1"/>
  <c r="T50" i="1"/>
  <c r="S50" i="1"/>
  <c r="X49" i="1"/>
  <c r="W49" i="1"/>
  <c r="V49" i="1"/>
  <c r="U49" i="1"/>
  <c r="T49" i="1"/>
  <c r="S49" i="1"/>
  <c r="X48" i="1"/>
  <c r="W48" i="1"/>
  <c r="V48" i="1"/>
  <c r="U48" i="1"/>
  <c r="T48" i="1"/>
  <c r="S48" i="1"/>
  <c r="X47" i="1"/>
  <c r="W47" i="1"/>
  <c r="V47" i="1"/>
  <c r="U47" i="1"/>
  <c r="T47" i="1"/>
  <c r="S47" i="1"/>
  <c r="X46" i="1"/>
  <c r="V46" i="1"/>
  <c r="U46" i="1"/>
  <c r="S46" i="1"/>
  <c r="J46" i="1"/>
  <c r="W46" i="1" s="1"/>
  <c r="X45" i="1"/>
  <c r="W45" i="1"/>
  <c r="V45" i="1"/>
  <c r="U45" i="1"/>
  <c r="T45" i="1"/>
  <c r="S45" i="1"/>
  <c r="X44" i="1"/>
  <c r="V44" i="1"/>
  <c r="U44" i="1"/>
  <c r="S44" i="1"/>
  <c r="J44" i="1"/>
  <c r="W44" i="1" s="1"/>
  <c r="X43" i="1"/>
  <c r="W43" i="1"/>
  <c r="V43" i="1"/>
  <c r="U43" i="1"/>
  <c r="T43" i="1"/>
  <c r="S43" i="1"/>
  <c r="X42" i="1"/>
  <c r="W42" i="1"/>
  <c r="V42" i="1"/>
  <c r="U42" i="1"/>
  <c r="T42" i="1"/>
  <c r="S42" i="1"/>
  <c r="X41" i="1"/>
  <c r="W41" i="1"/>
  <c r="V41" i="1"/>
  <c r="U41" i="1"/>
  <c r="T41" i="1"/>
  <c r="S41" i="1"/>
  <c r="X40" i="1"/>
  <c r="W40" i="1"/>
  <c r="V40" i="1"/>
  <c r="U40" i="1"/>
  <c r="T40" i="1"/>
  <c r="S40" i="1"/>
  <c r="X39" i="1"/>
  <c r="W39" i="1"/>
  <c r="V39" i="1"/>
  <c r="U39" i="1"/>
  <c r="T39" i="1"/>
  <c r="S39" i="1"/>
  <c r="X38" i="1"/>
  <c r="W38" i="1"/>
  <c r="V38" i="1"/>
  <c r="U38" i="1"/>
  <c r="T38" i="1"/>
  <c r="S38" i="1"/>
  <c r="X37" i="1"/>
  <c r="W37" i="1"/>
  <c r="V37" i="1"/>
  <c r="U37" i="1"/>
  <c r="T37" i="1"/>
  <c r="S37" i="1"/>
  <c r="X36" i="1"/>
  <c r="W36" i="1"/>
  <c r="V36" i="1"/>
  <c r="U36" i="1"/>
  <c r="T36" i="1"/>
  <c r="S36" i="1"/>
  <c r="X35" i="1"/>
  <c r="W35" i="1"/>
  <c r="V35" i="1"/>
  <c r="U35" i="1"/>
  <c r="T35" i="1"/>
  <c r="S35" i="1"/>
  <c r="X34" i="1"/>
  <c r="W34" i="1"/>
  <c r="V34" i="1"/>
  <c r="U34" i="1"/>
  <c r="T34" i="1"/>
  <c r="S34" i="1"/>
  <c r="X33" i="1"/>
  <c r="W33" i="1"/>
  <c r="V33" i="1"/>
  <c r="U33" i="1"/>
  <c r="T33" i="1"/>
  <c r="S33" i="1"/>
  <c r="X32" i="1"/>
  <c r="W32" i="1"/>
  <c r="V32" i="1"/>
  <c r="U32" i="1"/>
  <c r="T32" i="1"/>
  <c r="S32" i="1"/>
  <c r="X31" i="1"/>
  <c r="W31" i="1"/>
  <c r="V31" i="1"/>
  <c r="U31" i="1"/>
  <c r="T31" i="1"/>
  <c r="S31" i="1"/>
  <c r="X30" i="1"/>
  <c r="W30" i="1"/>
  <c r="V30" i="1"/>
  <c r="U30" i="1"/>
  <c r="T30" i="1"/>
  <c r="S30" i="1"/>
  <c r="X29" i="1"/>
  <c r="W29" i="1"/>
  <c r="V29" i="1"/>
  <c r="U29" i="1"/>
  <c r="T29" i="1"/>
  <c r="S29" i="1"/>
  <c r="X28" i="1"/>
  <c r="W28" i="1"/>
  <c r="V28" i="1"/>
  <c r="U28" i="1"/>
  <c r="T28" i="1"/>
  <c r="S28" i="1"/>
  <c r="X27" i="1"/>
  <c r="W27" i="1"/>
  <c r="V27" i="1"/>
  <c r="U27" i="1"/>
  <c r="T27" i="1"/>
  <c r="S27" i="1"/>
  <c r="X26" i="1"/>
  <c r="W26" i="1"/>
  <c r="V26" i="1"/>
  <c r="U26" i="1"/>
  <c r="T26" i="1"/>
  <c r="S26" i="1"/>
  <c r="X25" i="1"/>
  <c r="W25" i="1"/>
  <c r="V25" i="1"/>
  <c r="U25" i="1"/>
  <c r="T25" i="1"/>
  <c r="S25" i="1"/>
  <c r="X24" i="1"/>
  <c r="W24" i="1"/>
  <c r="V24" i="1"/>
  <c r="U24" i="1"/>
  <c r="T24" i="1"/>
  <c r="S24" i="1"/>
  <c r="X23" i="1"/>
  <c r="W23" i="1"/>
  <c r="V23" i="1"/>
  <c r="U23" i="1"/>
  <c r="T23" i="1"/>
  <c r="S23" i="1"/>
  <c r="X22" i="1"/>
  <c r="W22" i="1"/>
  <c r="V22" i="1"/>
  <c r="U22" i="1"/>
  <c r="T22" i="1"/>
  <c r="S22" i="1"/>
  <c r="X21" i="1"/>
  <c r="W21" i="1"/>
  <c r="V21" i="1"/>
  <c r="U21" i="1"/>
  <c r="T21" i="1"/>
  <c r="S21" i="1"/>
  <c r="X20" i="1"/>
  <c r="W20" i="1"/>
  <c r="V20" i="1"/>
  <c r="U20" i="1"/>
  <c r="T20" i="1"/>
  <c r="S20" i="1"/>
  <c r="X19" i="1"/>
  <c r="W19" i="1"/>
  <c r="V19" i="1"/>
  <c r="U19" i="1"/>
  <c r="T19" i="1"/>
  <c r="S19" i="1"/>
  <c r="X18" i="1"/>
  <c r="W18" i="1"/>
  <c r="V18" i="1"/>
  <c r="U18" i="1"/>
  <c r="T18" i="1"/>
  <c r="S18" i="1"/>
  <c r="X17" i="1"/>
  <c r="W17" i="1"/>
  <c r="V17" i="1"/>
  <c r="U17" i="1"/>
  <c r="T17" i="1"/>
  <c r="S17" i="1"/>
  <c r="X16" i="1"/>
  <c r="W16" i="1"/>
  <c r="V16" i="1"/>
  <c r="U16" i="1"/>
  <c r="T16" i="1"/>
  <c r="S16" i="1"/>
  <c r="X15" i="1"/>
  <c r="W15" i="1"/>
  <c r="V15" i="1"/>
  <c r="U15" i="1"/>
  <c r="T15" i="1"/>
  <c r="S15" i="1"/>
  <c r="X14" i="1"/>
  <c r="W14" i="1"/>
  <c r="V14" i="1"/>
  <c r="U14" i="1"/>
  <c r="T14" i="1"/>
  <c r="S14" i="1"/>
  <c r="X13" i="1"/>
  <c r="W13" i="1"/>
  <c r="V13" i="1"/>
  <c r="U13" i="1"/>
  <c r="T13" i="1"/>
  <c r="S13" i="1"/>
  <c r="X12" i="1"/>
  <c r="W12" i="1"/>
  <c r="V12" i="1"/>
  <c r="U12" i="1"/>
  <c r="T12" i="1"/>
  <c r="S12" i="1"/>
  <c r="X11" i="1"/>
  <c r="W11" i="1"/>
  <c r="V11" i="1"/>
  <c r="U11" i="1"/>
  <c r="T11" i="1"/>
  <c r="S11" i="1"/>
  <c r="X10" i="1"/>
  <c r="W10" i="1"/>
  <c r="V10" i="1"/>
  <c r="U10" i="1"/>
  <c r="T10" i="1"/>
  <c r="S10" i="1"/>
  <c r="X9" i="1"/>
  <c r="W9" i="1"/>
  <c r="V9" i="1"/>
  <c r="U9" i="1"/>
  <c r="T9" i="1"/>
  <c r="S9" i="1"/>
  <c r="X8" i="1"/>
  <c r="W8" i="1"/>
  <c r="V8" i="1"/>
  <c r="U8" i="1"/>
  <c r="T8" i="1"/>
  <c r="S8" i="1"/>
  <c r="X7" i="1"/>
  <c r="W7" i="1"/>
  <c r="V7" i="1"/>
  <c r="U7" i="1"/>
  <c r="T7" i="1"/>
  <c r="S7" i="1"/>
  <c r="X6" i="1"/>
  <c r="W6" i="1"/>
  <c r="V6" i="1"/>
  <c r="U6" i="1"/>
  <c r="T6" i="1"/>
  <c r="S6" i="1"/>
  <c r="X5" i="1"/>
  <c r="W5" i="1"/>
  <c r="V5" i="1"/>
  <c r="U5" i="1"/>
  <c r="T5" i="1"/>
  <c r="S5" i="1"/>
  <c r="X4" i="1"/>
  <c r="W4" i="1"/>
  <c r="V4" i="1"/>
  <c r="U4" i="1"/>
  <c r="T4" i="1"/>
  <c r="S4" i="1"/>
  <c r="X3" i="1"/>
  <c r="W3" i="1"/>
  <c r="V3" i="1"/>
  <c r="U3" i="1"/>
  <c r="T3" i="1"/>
  <c r="S3" i="1"/>
  <c r="X2" i="1"/>
  <c r="W2" i="1"/>
  <c r="V2" i="1"/>
  <c r="U2" i="1"/>
  <c r="T2" i="1"/>
  <c r="S2" i="1"/>
  <c r="S44" i="2" l="1"/>
  <c r="T46" i="1"/>
  <c r="T44" i="1"/>
  <c r="V23" i="4"/>
  <c r="V31" i="4"/>
  <c r="Z19" i="4"/>
  <c r="Z23" i="3"/>
  <c r="W23" i="3"/>
  <c r="V48" i="3"/>
  <c r="S46" i="2"/>
  <c r="Z48" i="4"/>
  <c r="V42" i="3"/>
  <c r="W45" i="2"/>
  <c r="Z29" i="3"/>
  <c r="W27" i="2"/>
  <c r="Z19" i="3"/>
  <c r="Z37" i="3"/>
  <c r="S47" i="2"/>
</calcChain>
</file>

<file path=xl/sharedStrings.xml><?xml version="1.0" encoding="utf-8"?>
<sst xmlns="http://schemas.openxmlformats.org/spreadsheetml/2006/main" count="2467" uniqueCount="289">
  <si>
    <t>KT1.1</t>
  </si>
  <si>
    <t>Khối kiến thức giáo dục đại cương</t>
  </si>
  <si>
    <t>SSH1201</t>
  </si>
  <si>
    <t>Triết học Mác - Lênin</t>
  </si>
  <si>
    <t>SSH12030</t>
  </si>
  <si>
    <t>Chủ nghĩa xã hội khoa học</t>
  </si>
  <si>
    <t>SSH12020</t>
  </si>
  <si>
    <t>Kinh tế chính trị Mác Lênin</t>
  </si>
  <si>
    <t>SSH12051</t>
  </si>
  <si>
    <t>Lịch sử Đảng Cộng sản VN</t>
  </si>
  <si>
    <t>SSH1205</t>
  </si>
  <si>
    <t>Tư tưởng Hồ Chí Minh</t>
  </si>
  <si>
    <t>MI1204</t>
  </si>
  <si>
    <t>Toán A1 (Giải tích )</t>
  </si>
  <si>
    <t>MI1205</t>
  </si>
  <si>
    <t>Toán A2 (Đại số)</t>
  </si>
  <si>
    <t>FL1206</t>
  </si>
  <si>
    <t>Tiếng Anh 1</t>
  </si>
  <si>
    <t>FL1215</t>
  </si>
  <si>
    <t>Tiếng Anh 2</t>
  </si>
  <si>
    <t>FL1208</t>
  </si>
  <si>
    <t>Tiếng Anh 3</t>
  </si>
  <si>
    <t>FL1210</t>
  </si>
  <si>
    <t>Tiếng Anh 4</t>
  </si>
  <si>
    <t>IT1209</t>
  </si>
  <si>
    <t>Tin học đại cương</t>
  </si>
  <si>
    <t>T</t>
  </si>
  <si>
    <t>SSH1210</t>
  </si>
  <si>
    <t>Pháp luật đại cương</t>
  </si>
  <si>
    <t>IT2211</t>
  </si>
  <si>
    <t xml:space="preserve">Nhập môn ngành </t>
  </si>
  <si>
    <t>MI12130</t>
  </si>
  <si>
    <t>Toán rời rạc</t>
  </si>
  <si>
    <t>PE1213</t>
  </si>
  <si>
    <t>Giáo dục thể chất</t>
  </si>
  <si>
    <t>MIL1225</t>
  </si>
  <si>
    <t>Giáo dục Quốc phòng - an ninh</t>
  </si>
  <si>
    <t>KT2.1</t>
  </si>
  <si>
    <t>Khối kiến thức cơ sở ngành</t>
  </si>
  <si>
    <t>IT2217</t>
  </si>
  <si>
    <t xml:space="preserve">Cơ sở lập trình </t>
  </si>
  <si>
    <t>FL1211</t>
  </si>
  <si>
    <t>Tiếng Anh 5</t>
  </si>
  <si>
    <t>IT2219</t>
  </si>
  <si>
    <t>Cơ sở dữ liệu 1</t>
  </si>
  <si>
    <t>IT2220</t>
  </si>
  <si>
    <t>Thiết kế giao diện người dùng</t>
  </si>
  <si>
    <t>IT2221</t>
  </si>
  <si>
    <t>Hệ thống thông tin quản lý</t>
  </si>
  <si>
    <t>IT2205</t>
  </si>
  <si>
    <t>Phát triển ứng dụng cho thiết bị di động</t>
  </si>
  <si>
    <t>IT2206</t>
  </si>
  <si>
    <t>Thương mại điện tử</t>
  </si>
  <si>
    <t>IT2224</t>
  </si>
  <si>
    <t xml:space="preserve">Cấu trúc dữ liệu và giải thuật </t>
  </si>
  <si>
    <t>IT2225</t>
  </si>
  <si>
    <t xml:space="preserve">Xác suất thống kê </t>
  </si>
  <si>
    <t>IT2226</t>
  </si>
  <si>
    <t>Cơ sở dữ liệu 2</t>
  </si>
  <si>
    <t>KT3.1</t>
  </si>
  <si>
    <t>Khối kiến thức chuyên ngành</t>
  </si>
  <si>
    <t>IT32250</t>
  </si>
  <si>
    <t>Lập trình.NET</t>
  </si>
  <si>
    <t>IT32280</t>
  </si>
  <si>
    <t xml:space="preserve">Kiến trúc máy tính </t>
  </si>
  <si>
    <t>IT3229</t>
  </si>
  <si>
    <t>An toàn bảo mật</t>
  </si>
  <si>
    <t>IT32301</t>
  </si>
  <si>
    <t>Quản trị mạng</t>
  </si>
  <si>
    <t>IT32310</t>
  </si>
  <si>
    <t xml:space="preserve">Nguyên lý hệ điều hành </t>
  </si>
  <si>
    <t>IT32300</t>
  </si>
  <si>
    <t>Hệ quản trị CSDL</t>
  </si>
  <si>
    <t>IT32330</t>
  </si>
  <si>
    <t>Công nghệ đa phương tiện</t>
  </si>
  <si>
    <t>IT32340</t>
  </si>
  <si>
    <t>Lập trình hướng đối tượng</t>
  </si>
  <si>
    <t>IT3220</t>
  </si>
  <si>
    <t>Lập trình Web</t>
  </si>
  <si>
    <t>IT32361</t>
  </si>
  <si>
    <t xml:space="preserve">Ngôn ngữ hình thức </t>
  </si>
  <si>
    <t>IT32370</t>
  </si>
  <si>
    <t>Mạng máy tính</t>
  </si>
  <si>
    <t>IT3223</t>
  </si>
  <si>
    <t>Kỹ năng mềm (Luyện ôn FE)</t>
  </si>
  <si>
    <t>IT3224</t>
  </si>
  <si>
    <t>Linux và phần mềm nguồn mở</t>
  </si>
  <si>
    <t>IT32400</t>
  </si>
  <si>
    <t>Phân tích và thiết kế hệ thống</t>
  </si>
  <si>
    <t>IT3226</t>
  </si>
  <si>
    <t>Công nghệ phần mềm</t>
  </si>
  <si>
    <t>IT32420</t>
  </si>
  <si>
    <t>Thực tập chuyên ngành 1</t>
  </si>
  <si>
    <t>IT32431</t>
  </si>
  <si>
    <t>Thực tập chuyên ngành 2</t>
  </si>
  <si>
    <t>IT3259</t>
  </si>
  <si>
    <t>Thực tập doanh nghiệp</t>
  </si>
  <si>
    <t>N</t>
  </si>
  <si>
    <t>IT3230</t>
  </si>
  <si>
    <t>Quản lý dự án CNTT</t>
  </si>
  <si>
    <t>IT32430</t>
  </si>
  <si>
    <t>Hệ hỗ trợ ra quyết định và KD thông minh</t>
  </si>
  <si>
    <t>IT3246</t>
  </si>
  <si>
    <t>Kiến trúc doanh nghiệp</t>
  </si>
  <si>
    <t>KT4.1</t>
  </si>
  <si>
    <t>Thực tập tốt nghiệp</t>
  </si>
  <si>
    <t>IT4237</t>
  </si>
  <si>
    <t xml:space="preserve">Khóa luận/Đồ án tốt nghiệp </t>
  </si>
  <si>
    <t>IT4238</t>
  </si>
  <si>
    <t>Đồ án tốt nghiệp</t>
  </si>
  <si>
    <t>SSH1202</t>
  </si>
  <si>
    <t>Kinh tế chính trị Mác - Lênin</t>
  </si>
  <si>
    <t>Học trước (d)</t>
  </si>
  <si>
    <t>SSH1203</t>
  </si>
  <si>
    <t>SSH1204</t>
  </si>
  <si>
    <t>Lịch sử Đảng Cộng sản Việt Nam</t>
  </si>
  <si>
    <t>MI1207</t>
  </si>
  <si>
    <t>Giải tích</t>
  </si>
  <si>
    <t>MI1208</t>
  </si>
  <si>
    <t>Đại số</t>
  </si>
  <si>
    <t>FL1214</t>
  </si>
  <si>
    <t>FL1216</t>
  </si>
  <si>
    <t>IT1213</t>
  </si>
  <si>
    <t xml:space="preserve">Tin học đại cương </t>
  </si>
  <si>
    <t>IT2200</t>
  </si>
  <si>
    <t>Kỹ năng mềm</t>
  </si>
  <si>
    <t>IT2201</t>
  </si>
  <si>
    <t>Cơ sở lập trình</t>
  </si>
  <si>
    <t>IT22030</t>
  </si>
  <si>
    <t>IT2204</t>
  </si>
  <si>
    <t>IT2207</t>
  </si>
  <si>
    <t>Cấu trúc dữ liệu và giải thuật</t>
  </si>
  <si>
    <t>MI1216</t>
  </si>
  <si>
    <t>Xác suất thống kê</t>
  </si>
  <si>
    <t>IT22090</t>
  </si>
  <si>
    <t>IT2210</t>
  </si>
  <si>
    <t>Thực tập nhận thức</t>
  </si>
  <si>
    <t>IT3212</t>
  </si>
  <si>
    <t>Lập trình .NET</t>
  </si>
  <si>
    <t>IT3216</t>
  </si>
  <si>
    <t>Nguyên lý hệ điều hành</t>
  </si>
  <si>
    <t>IT3217</t>
  </si>
  <si>
    <t>IT3218</t>
  </si>
  <si>
    <t>IT3219</t>
  </si>
  <si>
    <t>IT3222</t>
  </si>
  <si>
    <t>IT3225</t>
  </si>
  <si>
    <t>IT3227</t>
  </si>
  <si>
    <t>Đồ án chuyên ngành 1</t>
  </si>
  <si>
    <t>IT3228</t>
  </si>
  <si>
    <t>Đồ án chuyên ngành 2</t>
  </si>
  <si>
    <t xml:space="preserve"> IT3265</t>
  </si>
  <si>
    <t>Thực tập kỹ thuật</t>
  </si>
  <si>
    <t>IT3231</t>
  </si>
  <si>
    <t>IT3232</t>
  </si>
  <si>
    <t>IT3233</t>
  </si>
  <si>
    <t>Mật mã và hệ thống</t>
  </si>
  <si>
    <t>IT3234</t>
  </si>
  <si>
    <t>Trí tuệ nhân tạo</t>
  </si>
  <si>
    <t>IT3235</t>
  </si>
  <si>
    <t>Hệ chuyên gia</t>
  </si>
  <si>
    <t>IT3236</t>
  </si>
  <si>
    <t>Kiến trúc hướng dịch vụ</t>
  </si>
  <si>
    <t>SSH1206</t>
  </si>
  <si>
    <t>SSH1207</t>
  </si>
  <si>
    <t>IT1208</t>
  </si>
  <si>
    <t>MI1209</t>
  </si>
  <si>
    <t>MI1212</t>
  </si>
  <si>
    <t>MI1213</t>
  </si>
  <si>
    <t>FL1219</t>
  </si>
  <si>
    <t>FL1220</t>
  </si>
  <si>
    <t>FL1221</t>
  </si>
  <si>
    <t>Cơ sở lập trình với C</t>
  </si>
  <si>
    <t>IT2202</t>
  </si>
  <si>
    <t>Cơ sở dữ liệu</t>
  </si>
  <si>
    <t>IT2203</t>
  </si>
  <si>
    <t>Thiết kế Web</t>
  </si>
  <si>
    <t>IT3264</t>
  </si>
  <si>
    <t>IT3261</t>
  </si>
  <si>
    <t>IT2208</t>
  </si>
  <si>
    <t>Thực tập nhận thức ngành nghề</t>
  </si>
  <si>
    <t>IT2209</t>
  </si>
  <si>
    <t>Phương pháp tính toán tối ưu</t>
  </si>
  <si>
    <t>IT3213</t>
  </si>
  <si>
    <t>Kiến trúc máy tính</t>
  </si>
  <si>
    <t>IT3214</t>
  </si>
  <si>
    <t>An toàn bảo mật thông tin</t>
  </si>
  <si>
    <t>IT3215</t>
  </si>
  <si>
    <t>Quản trị hệ thống Windows Server 1</t>
  </si>
  <si>
    <t>IT3260</t>
  </si>
  <si>
    <t>Hệ quản trị CSDL với Oracle</t>
  </si>
  <si>
    <t>Lập trình hướng đối tượng với Java</t>
  </si>
  <si>
    <t>IT3262</t>
  </si>
  <si>
    <t>Đồ án chuyên ngành</t>
  </si>
  <si>
    <t>IT3237</t>
  </si>
  <si>
    <t>Lập trình mạng</t>
  </si>
  <si>
    <t>IT3238</t>
  </si>
  <si>
    <t>Tiếng anh CN</t>
  </si>
  <si>
    <t>KT3.0.DH1.33</t>
  </si>
  <si>
    <t>DH1</t>
  </si>
  <si>
    <t>IT3240</t>
  </si>
  <si>
    <t>Kiểm thử phần mềm</t>
  </si>
  <si>
    <t>Kỹ thuật đồ họa máy tính</t>
  </si>
  <si>
    <t>IT3242</t>
  </si>
  <si>
    <t>Công nghệ Java</t>
  </si>
  <si>
    <t>IT3243</t>
  </si>
  <si>
    <t>Xử lý ảnh và thị giác máy tính</t>
  </si>
  <si>
    <t>Lập trình Web với PHP</t>
  </si>
  <si>
    <t>IT3241</t>
  </si>
  <si>
    <t>Lập trình ứng dụng với Python</t>
  </si>
  <si>
    <t>Đồ án chuyên ngành CNPM</t>
  </si>
  <si>
    <t>IT3239</t>
  </si>
  <si>
    <t>Tiếng anh CN CNPM</t>
  </si>
  <si>
    <t>KT3.0.DH2.33</t>
  </si>
  <si>
    <t>DH2</t>
  </si>
  <si>
    <t>Hệ thống thông tin</t>
  </si>
  <si>
    <t>IT3249</t>
  </si>
  <si>
    <t xml:space="preserve">Công nghệ Blockchain </t>
  </si>
  <si>
    <t>IT3250</t>
  </si>
  <si>
    <t xml:space="preserve">Quản trị hệ thống Linux </t>
  </si>
  <si>
    <t>IT3251</t>
  </si>
  <si>
    <t>Quản trị hệ thống Windows Server 2</t>
  </si>
  <si>
    <t>IT3252</t>
  </si>
  <si>
    <t>Thiết kế và xây dựng hệ thống mạng doanh nghiệp</t>
  </si>
  <si>
    <t>IT3253</t>
  </si>
  <si>
    <t>Khai phá dữ liệu và ứng dụng</t>
  </si>
  <si>
    <t>IT3254</t>
  </si>
  <si>
    <t>Cơ sở dữ liệu phân tán</t>
  </si>
  <si>
    <t>IT3255</t>
  </si>
  <si>
    <t>Học máy (Machine Learning)</t>
  </si>
  <si>
    <t>IT3258</t>
  </si>
  <si>
    <t>Tiếng anh CN HTTT</t>
  </si>
  <si>
    <t>IT3256</t>
  </si>
  <si>
    <t>Dữ liệu lớn (Big Data)</t>
  </si>
  <si>
    <t>IT3257</t>
  </si>
  <si>
    <t>Đồ án chuyên ngành HTTT</t>
  </si>
  <si>
    <t>KT4.0.9</t>
  </si>
  <si>
    <t>HP tự chọn tốt nghiệp</t>
  </si>
  <si>
    <t>IT4241</t>
  </si>
  <si>
    <t>Chuyên đề tốt nghiệp 1</t>
  </si>
  <si>
    <t>IT4242</t>
  </si>
  <si>
    <t>Chuyên đề tốt nghiệp 2</t>
  </si>
  <si>
    <t>IT4243</t>
  </si>
  <si>
    <t>Chuyên đề tốt nghiệp 3</t>
  </si>
  <si>
    <t>IT3269</t>
  </si>
  <si>
    <t>MI1219</t>
  </si>
  <si>
    <t>Xác suất và thống kê</t>
  </si>
  <si>
    <t>Công nghệ Blockchain</t>
  </si>
  <si>
    <t>Quản trị hệ thống Linux</t>
  </si>
  <si>
    <t>Khóa luận/Đồ án tốt nghiệp</t>
  </si>
  <si>
    <t>KT3.0.9.17.N1</t>
  </si>
  <si>
    <t>ID</t>
  </si>
  <si>
    <t>MAKHOI</t>
  </si>
  <si>
    <t>TENKHOI</t>
  </si>
  <si>
    <t>MAHP</t>
  </si>
  <si>
    <t>TENHP</t>
  </si>
  <si>
    <t>TENHPTA</t>
  </si>
  <si>
    <t>KyThu</t>
  </si>
  <si>
    <t>SoTinHocTap</t>
  </si>
  <si>
    <t>LT_BT</t>
  </si>
  <si>
    <t>TH</t>
  </si>
  <si>
    <t>BTL_DA</t>
  </si>
  <si>
    <t>TT_DA</t>
  </si>
  <si>
    <t>DiaDiemThucHanh_Trong_Ngoai</t>
  </si>
  <si>
    <t>PhanNhomThucHanh</t>
  </si>
  <si>
    <t>HPTuChon</t>
  </si>
  <si>
    <t>NhomTuChon</t>
  </si>
  <si>
    <t>MaHP_DieuKien</t>
  </si>
  <si>
    <t>MaHP_LoaiDieuKien</t>
  </si>
  <si>
    <t>LT_BT_PhanBo</t>
  </si>
  <si>
    <t>TH_PhanBo</t>
  </si>
  <si>
    <t>BTL_DA_PhanBo</t>
  </si>
  <si>
    <t>TT_DA_PhanBo</t>
  </si>
  <si>
    <t>SoGio_TuHoc1</t>
  </si>
  <si>
    <t>SoGio_TuHoc2</t>
  </si>
  <si>
    <t>MaDonVi</t>
  </si>
  <si>
    <t>TinhDiem_KhongTinhDiem</t>
  </si>
  <si>
    <t>SoTinTinhPhi</t>
  </si>
  <si>
    <t>KT3.0.9.N1</t>
  </si>
  <si>
    <t>IT2201,IT2202</t>
  </si>
  <si>
    <t>IT2201,IT3225</t>
  </si>
  <si>
    <t>IT2201,IT2207</t>
  </si>
  <si>
    <t>IT2203,IT2202</t>
  </si>
  <si>
    <t>MaDinhHuong</t>
  </si>
  <si>
    <t>TenDinhHong</t>
  </si>
  <si>
    <t>TuChonKhoi</t>
  </si>
  <si>
    <t>MaHP</t>
  </si>
  <si>
    <t>TenHP</t>
  </si>
  <si>
    <t>IT2202,IT3225</t>
  </si>
  <si>
    <t>IT2201, IT2207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</si>
</sst>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1"/>
      <color rgb="FF000000"/>
      <name val="Calibri"/>
      <scheme val="minor"/>
    </font>
    <font>
      <sz val="11"/>
      <color theme="1"/>
      <name val="Times New Roman"/>
    </font>
    <font>
      <sz val="12"/>
      <color theme="1"/>
      <name val="Times New Roman"/>
    </font>
    <font>
      <sz val="11"/>
      <color theme="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164" fontId="2" fillId="6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51"/>
  <sheetViews>
    <sheetView tabSelected="1" workbookViewId="0">
      <selection activeCell="I2" sqref="A2:XFD4"/>
    </sheetView>
  </sheetViews>
  <sheetFormatPr defaultColWidth="14.42578125" defaultRowHeight="15" customHeight="1" x14ac:dyDescent="0.25"/>
  <cols>
    <col min="1" max="1" width="5.140625" customWidth="1"/>
    <col min="2" max="2" width="29" customWidth="1"/>
    <col min="3" max="3" width="26.5703125" customWidth="1"/>
    <col min="4" max="4" width="12.85546875" customWidth="1"/>
    <col min="5" max="5" width="29.85546875" customWidth="1"/>
    <col min="7" max="7" width="7.42578125" customWidth="1"/>
    <col min="8" max="8" width="10.28515625" customWidth="1"/>
    <col min="26" max="26" width="17.42578125" customWidth="1"/>
  </cols>
  <sheetData>
    <row r="1" spans="1:27" ht="15" customHeight="1" x14ac:dyDescent="0.25">
      <c r="A1" t="s">
        <v>250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  <c r="Q1" t="s">
        <v>266</v>
      </c>
      <c r="R1" t="s">
        <v>267</v>
      </c>
      <c r="S1" t="s">
        <v>268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</row>
    <row r="2" spans="1:27" ht="31.5" x14ac:dyDescent="0.25">
      <c r="A2" s="1">
        <v>1</v>
      </c>
      <c r="B2" s="2" t="s">
        <v>0</v>
      </c>
      <c r="C2" s="2" t="s">
        <v>1</v>
      </c>
      <c r="D2" s="3" t="s">
        <v>2</v>
      </c>
      <c r="E2" s="4" t="s">
        <v>3</v>
      </c>
      <c r="F2" s="5"/>
      <c r="G2" s="2">
        <v>3</v>
      </c>
      <c r="H2" s="6">
        <v>3</v>
      </c>
      <c r="I2" s="7">
        <v>3</v>
      </c>
      <c r="J2" s="8"/>
      <c r="K2" s="9"/>
      <c r="L2" s="10"/>
      <c r="M2" s="5"/>
      <c r="N2" s="5"/>
      <c r="O2" s="2">
        <v>1</v>
      </c>
      <c r="P2" s="2">
        <v>6</v>
      </c>
      <c r="Q2" s="5"/>
      <c r="R2" s="5"/>
      <c r="S2" s="11">
        <f t="shared" ref="S2:S51" si="0">I2*15</f>
        <v>45</v>
      </c>
      <c r="T2" s="12">
        <f t="shared" ref="T2:T51" si="1">IF(J2="",0,IF(M2="T",J2*15*2,IF(M2="N",J2*15*3,"fail")))</f>
        <v>0</v>
      </c>
      <c r="U2" s="13">
        <f t="shared" ref="U2:U51" si="2">K2*15</f>
        <v>0</v>
      </c>
      <c r="V2" s="14">
        <f t="shared" ref="V2:V25" si="3">IF(L2="",0,IF(M2="T",L2*15*2,L2*15*3))</f>
        <v>0</v>
      </c>
      <c r="W2" s="15">
        <f t="shared" ref="W2:W51" si="4">(I2*2+J2+K2*3+L2*3)*15</f>
        <v>90</v>
      </c>
      <c r="X2" s="15">
        <f t="shared" ref="X2:X51" si="5">H2*5</f>
        <v>15</v>
      </c>
      <c r="Y2" s="5"/>
      <c r="Z2" s="5">
        <v>1</v>
      </c>
      <c r="AA2" s="5"/>
    </row>
    <row r="3" spans="1:27" ht="31.5" x14ac:dyDescent="0.25">
      <c r="A3" s="1">
        <v>2</v>
      </c>
      <c r="B3" s="2" t="s">
        <v>0</v>
      </c>
      <c r="C3" s="2" t="s">
        <v>1</v>
      </c>
      <c r="D3" s="3" t="s">
        <v>4</v>
      </c>
      <c r="E3" s="4" t="s">
        <v>5</v>
      </c>
      <c r="F3" s="5"/>
      <c r="G3" s="2">
        <v>3</v>
      </c>
      <c r="H3" s="6">
        <v>2</v>
      </c>
      <c r="I3" s="7">
        <v>2</v>
      </c>
      <c r="J3" s="8"/>
      <c r="K3" s="9"/>
      <c r="L3" s="10"/>
      <c r="M3" s="5"/>
      <c r="N3" s="5"/>
      <c r="O3" s="2">
        <v>0</v>
      </c>
      <c r="P3" s="2">
        <v>0</v>
      </c>
      <c r="Q3" s="3" t="s">
        <v>2</v>
      </c>
      <c r="R3" s="5"/>
      <c r="S3" s="11">
        <f t="shared" si="0"/>
        <v>30</v>
      </c>
      <c r="T3" s="12">
        <f t="shared" si="1"/>
        <v>0</v>
      </c>
      <c r="U3" s="13">
        <f t="shared" si="2"/>
        <v>0</v>
      </c>
      <c r="V3" s="14">
        <f t="shared" si="3"/>
        <v>0</v>
      </c>
      <c r="W3" s="15">
        <f t="shared" si="4"/>
        <v>60</v>
      </c>
      <c r="X3" s="15">
        <f t="shared" si="5"/>
        <v>10</v>
      </c>
      <c r="Y3" s="5"/>
      <c r="Z3" s="5">
        <v>1</v>
      </c>
      <c r="AA3" s="5"/>
    </row>
    <row r="4" spans="1:27" ht="31.5" x14ac:dyDescent="0.25">
      <c r="A4" s="1">
        <v>3</v>
      </c>
      <c r="B4" s="2" t="s">
        <v>0</v>
      </c>
      <c r="C4" s="2" t="s">
        <v>1</v>
      </c>
      <c r="D4" s="3" t="s">
        <v>6</v>
      </c>
      <c r="E4" s="4" t="s">
        <v>7</v>
      </c>
      <c r="F4" s="5"/>
      <c r="G4" s="2">
        <v>3</v>
      </c>
      <c r="H4" s="6">
        <v>2</v>
      </c>
      <c r="I4" s="7">
        <v>2</v>
      </c>
      <c r="J4" s="8"/>
      <c r="K4" s="9"/>
      <c r="L4" s="10"/>
      <c r="M4" s="5"/>
      <c r="N4" s="5"/>
      <c r="O4" s="2">
        <v>1</v>
      </c>
      <c r="P4" s="2">
        <v>6</v>
      </c>
      <c r="Q4" s="3" t="s">
        <v>2</v>
      </c>
      <c r="R4" s="5"/>
      <c r="S4" s="11">
        <f t="shared" si="0"/>
        <v>30</v>
      </c>
      <c r="T4" s="12">
        <f t="shared" si="1"/>
        <v>0</v>
      </c>
      <c r="U4" s="13">
        <f t="shared" si="2"/>
        <v>0</v>
      </c>
      <c r="V4" s="14">
        <f t="shared" si="3"/>
        <v>0</v>
      </c>
      <c r="W4" s="15">
        <f t="shared" si="4"/>
        <v>60</v>
      </c>
      <c r="X4" s="15">
        <f t="shared" si="5"/>
        <v>10</v>
      </c>
      <c r="Y4" s="5"/>
      <c r="Z4" s="5">
        <v>1</v>
      </c>
      <c r="AA4" s="5"/>
    </row>
    <row r="5" spans="1:27" ht="31.5" x14ac:dyDescent="0.25">
      <c r="A5" s="1">
        <v>4</v>
      </c>
      <c r="B5" s="2" t="s">
        <v>0</v>
      </c>
      <c r="C5" s="2" t="s">
        <v>1</v>
      </c>
      <c r="D5" s="3" t="s">
        <v>8</v>
      </c>
      <c r="E5" s="4" t="s">
        <v>9</v>
      </c>
      <c r="F5" s="5"/>
      <c r="G5" s="2">
        <v>3</v>
      </c>
      <c r="H5" s="6">
        <v>2</v>
      </c>
      <c r="I5" s="7">
        <v>2</v>
      </c>
      <c r="J5" s="8"/>
      <c r="K5" s="9"/>
      <c r="L5" s="10"/>
      <c r="M5" s="5"/>
      <c r="N5" s="5"/>
      <c r="O5" s="2">
        <v>1</v>
      </c>
      <c r="P5" s="2">
        <v>17</v>
      </c>
      <c r="Q5" s="5"/>
      <c r="R5" s="5"/>
      <c r="S5" s="11">
        <f t="shared" si="0"/>
        <v>30</v>
      </c>
      <c r="T5" s="12">
        <f t="shared" si="1"/>
        <v>0</v>
      </c>
      <c r="U5" s="13">
        <f t="shared" si="2"/>
        <v>0</v>
      </c>
      <c r="V5" s="14">
        <f t="shared" si="3"/>
        <v>0</v>
      </c>
      <c r="W5" s="15">
        <f t="shared" si="4"/>
        <v>60</v>
      </c>
      <c r="X5" s="15">
        <f t="shared" si="5"/>
        <v>10</v>
      </c>
      <c r="Y5" s="5"/>
      <c r="Z5" s="5">
        <v>1</v>
      </c>
      <c r="AA5" s="5"/>
    </row>
    <row r="6" spans="1:27" ht="31.5" x14ac:dyDescent="0.25">
      <c r="A6" s="1">
        <v>5</v>
      </c>
      <c r="B6" s="2" t="s">
        <v>0</v>
      </c>
      <c r="C6" s="2" t="s">
        <v>1</v>
      </c>
      <c r="D6" s="3" t="s">
        <v>10</v>
      </c>
      <c r="E6" s="4" t="s">
        <v>11</v>
      </c>
      <c r="F6" s="5"/>
      <c r="G6" s="2">
        <v>4</v>
      </c>
      <c r="H6" s="6">
        <v>2</v>
      </c>
      <c r="I6" s="7">
        <v>2</v>
      </c>
      <c r="J6" s="8"/>
      <c r="K6" s="9"/>
      <c r="L6" s="10"/>
      <c r="M6" s="5"/>
      <c r="N6" s="5"/>
      <c r="O6" s="2">
        <v>0</v>
      </c>
      <c r="P6" s="2">
        <v>0</v>
      </c>
      <c r="Q6" s="5"/>
      <c r="R6" s="5"/>
      <c r="S6" s="11">
        <f t="shared" si="0"/>
        <v>30</v>
      </c>
      <c r="T6" s="12">
        <f t="shared" si="1"/>
        <v>0</v>
      </c>
      <c r="U6" s="13">
        <f t="shared" si="2"/>
        <v>0</v>
      </c>
      <c r="V6" s="14">
        <f t="shared" si="3"/>
        <v>0</v>
      </c>
      <c r="W6" s="15">
        <f t="shared" si="4"/>
        <v>60</v>
      </c>
      <c r="X6" s="15">
        <f t="shared" si="5"/>
        <v>10</v>
      </c>
      <c r="Y6" s="5"/>
      <c r="Z6" s="5">
        <v>1</v>
      </c>
      <c r="AA6" s="5"/>
    </row>
    <row r="7" spans="1:27" ht="31.5" x14ac:dyDescent="0.25">
      <c r="A7" s="1">
        <v>6</v>
      </c>
      <c r="B7" s="2" t="s">
        <v>0</v>
      </c>
      <c r="C7" s="2" t="s">
        <v>1</v>
      </c>
      <c r="D7" s="3" t="s">
        <v>12</v>
      </c>
      <c r="E7" s="4" t="s">
        <v>13</v>
      </c>
      <c r="F7" s="5"/>
      <c r="G7" s="2">
        <v>1</v>
      </c>
      <c r="H7" s="6">
        <v>2</v>
      </c>
      <c r="I7" s="7">
        <v>2</v>
      </c>
      <c r="J7" s="8"/>
      <c r="K7" s="9"/>
      <c r="L7" s="10"/>
      <c r="M7" s="5"/>
      <c r="N7" s="5"/>
      <c r="O7" s="2">
        <v>1</v>
      </c>
      <c r="P7" s="2">
        <v>19</v>
      </c>
      <c r="Q7" s="5"/>
      <c r="R7" s="5"/>
      <c r="S7" s="11">
        <f t="shared" si="0"/>
        <v>30</v>
      </c>
      <c r="T7" s="12">
        <f t="shared" si="1"/>
        <v>0</v>
      </c>
      <c r="U7" s="13">
        <f t="shared" si="2"/>
        <v>0</v>
      </c>
      <c r="V7" s="14">
        <f t="shared" si="3"/>
        <v>0</v>
      </c>
      <c r="W7" s="15">
        <f t="shared" si="4"/>
        <v>60</v>
      </c>
      <c r="X7" s="15">
        <f t="shared" si="5"/>
        <v>10</v>
      </c>
      <c r="Y7" s="5"/>
      <c r="Z7" s="5">
        <v>1</v>
      </c>
      <c r="AA7" s="5"/>
    </row>
    <row r="8" spans="1:27" ht="31.5" x14ac:dyDescent="0.25">
      <c r="A8" s="1">
        <v>7</v>
      </c>
      <c r="B8" s="2" t="s">
        <v>0</v>
      </c>
      <c r="C8" s="2" t="s">
        <v>1</v>
      </c>
      <c r="D8" s="3" t="s">
        <v>14</v>
      </c>
      <c r="E8" s="4" t="s">
        <v>15</v>
      </c>
      <c r="F8" s="5"/>
      <c r="G8" s="2">
        <v>2</v>
      </c>
      <c r="H8" s="6">
        <v>2</v>
      </c>
      <c r="I8" s="7">
        <v>2</v>
      </c>
      <c r="J8" s="8"/>
      <c r="K8" s="9"/>
      <c r="L8" s="10"/>
      <c r="M8" s="5"/>
      <c r="N8" s="5"/>
      <c r="O8" s="2">
        <v>1</v>
      </c>
      <c r="P8" s="2">
        <v>21</v>
      </c>
      <c r="Q8" s="5"/>
      <c r="R8" s="5"/>
      <c r="S8" s="11">
        <f t="shared" si="0"/>
        <v>30</v>
      </c>
      <c r="T8" s="12">
        <f t="shared" si="1"/>
        <v>0</v>
      </c>
      <c r="U8" s="13">
        <f t="shared" si="2"/>
        <v>0</v>
      </c>
      <c r="V8" s="14">
        <f t="shared" si="3"/>
        <v>0</v>
      </c>
      <c r="W8" s="15">
        <f t="shared" si="4"/>
        <v>60</v>
      </c>
      <c r="X8" s="15">
        <f t="shared" si="5"/>
        <v>10</v>
      </c>
      <c r="Y8" s="5"/>
      <c r="Z8" s="5">
        <v>1</v>
      </c>
      <c r="AA8" s="5"/>
    </row>
    <row r="9" spans="1:27" ht="31.5" x14ac:dyDescent="0.25">
      <c r="A9" s="1">
        <v>8</v>
      </c>
      <c r="B9" s="2" t="s">
        <v>0</v>
      </c>
      <c r="C9" s="2" t="s">
        <v>1</v>
      </c>
      <c r="D9" s="3" t="s">
        <v>16</v>
      </c>
      <c r="E9" s="4" t="s">
        <v>17</v>
      </c>
      <c r="F9" s="5"/>
      <c r="G9" s="2">
        <v>1</v>
      </c>
      <c r="H9" s="6">
        <v>3</v>
      </c>
      <c r="I9" s="7">
        <v>3</v>
      </c>
      <c r="J9" s="8"/>
      <c r="K9" s="9"/>
      <c r="L9" s="10"/>
      <c r="M9" s="5"/>
      <c r="N9" s="5"/>
      <c r="O9" s="2">
        <v>0</v>
      </c>
      <c r="P9" s="2">
        <v>0</v>
      </c>
      <c r="Q9" s="5"/>
      <c r="R9" s="5"/>
      <c r="S9" s="11">
        <f t="shared" si="0"/>
        <v>45</v>
      </c>
      <c r="T9" s="12">
        <f t="shared" si="1"/>
        <v>0</v>
      </c>
      <c r="U9" s="13">
        <f t="shared" si="2"/>
        <v>0</v>
      </c>
      <c r="V9" s="14">
        <f t="shared" si="3"/>
        <v>0</v>
      </c>
      <c r="W9" s="15">
        <f t="shared" si="4"/>
        <v>90</v>
      </c>
      <c r="X9" s="15">
        <f t="shared" si="5"/>
        <v>15</v>
      </c>
      <c r="Y9" s="5"/>
      <c r="Z9" s="5">
        <v>1</v>
      </c>
      <c r="AA9" s="5"/>
    </row>
    <row r="10" spans="1:27" ht="31.5" x14ac:dyDescent="0.25">
      <c r="A10" s="1">
        <v>9</v>
      </c>
      <c r="B10" s="2" t="s">
        <v>0</v>
      </c>
      <c r="C10" s="2" t="s">
        <v>1</v>
      </c>
      <c r="D10" s="3" t="s">
        <v>18</v>
      </c>
      <c r="E10" s="4" t="s">
        <v>19</v>
      </c>
      <c r="F10" s="5"/>
      <c r="G10" s="2">
        <v>2</v>
      </c>
      <c r="H10" s="6">
        <v>3</v>
      </c>
      <c r="I10" s="7">
        <v>3</v>
      </c>
      <c r="J10" s="8"/>
      <c r="K10" s="9"/>
      <c r="L10" s="10"/>
      <c r="M10" s="5"/>
      <c r="N10" s="5"/>
      <c r="O10" s="2">
        <v>1</v>
      </c>
      <c r="P10" s="2">
        <v>14</v>
      </c>
      <c r="Q10" s="3" t="s">
        <v>16</v>
      </c>
      <c r="R10" s="5"/>
      <c r="S10" s="11">
        <f t="shared" si="0"/>
        <v>45</v>
      </c>
      <c r="T10" s="12">
        <f t="shared" si="1"/>
        <v>0</v>
      </c>
      <c r="U10" s="13">
        <f t="shared" si="2"/>
        <v>0</v>
      </c>
      <c r="V10" s="14">
        <f t="shared" si="3"/>
        <v>0</v>
      </c>
      <c r="W10" s="15">
        <f t="shared" si="4"/>
        <v>90</v>
      </c>
      <c r="X10" s="15">
        <f t="shared" si="5"/>
        <v>15</v>
      </c>
      <c r="Y10" s="5"/>
      <c r="Z10" s="5">
        <v>1</v>
      </c>
      <c r="AA10" s="5"/>
    </row>
    <row r="11" spans="1:27" ht="31.5" x14ac:dyDescent="0.25">
      <c r="A11" s="1">
        <v>10</v>
      </c>
      <c r="B11" s="2" t="s">
        <v>0</v>
      </c>
      <c r="C11" s="2" t="s">
        <v>1</v>
      </c>
      <c r="D11" s="3" t="s">
        <v>20</v>
      </c>
      <c r="E11" s="4" t="s">
        <v>21</v>
      </c>
      <c r="F11" s="5"/>
      <c r="G11" s="2">
        <v>3</v>
      </c>
      <c r="H11" s="6">
        <v>3</v>
      </c>
      <c r="I11" s="7">
        <v>3</v>
      </c>
      <c r="J11" s="8"/>
      <c r="K11" s="9"/>
      <c r="L11" s="10"/>
      <c r="M11" s="5"/>
      <c r="N11" s="5"/>
      <c r="O11" s="2">
        <v>0</v>
      </c>
      <c r="P11" s="2">
        <v>0</v>
      </c>
      <c r="Q11" s="3" t="s">
        <v>18</v>
      </c>
      <c r="R11" s="5"/>
      <c r="S11" s="11">
        <f t="shared" si="0"/>
        <v>45</v>
      </c>
      <c r="T11" s="12">
        <f t="shared" si="1"/>
        <v>0</v>
      </c>
      <c r="U11" s="13">
        <f t="shared" si="2"/>
        <v>0</v>
      </c>
      <c r="V11" s="14">
        <f t="shared" si="3"/>
        <v>0</v>
      </c>
      <c r="W11" s="15">
        <f t="shared" si="4"/>
        <v>90</v>
      </c>
      <c r="X11" s="15">
        <f t="shared" si="5"/>
        <v>15</v>
      </c>
      <c r="Y11" s="5"/>
      <c r="Z11" s="5">
        <v>1</v>
      </c>
      <c r="AA11" s="5"/>
    </row>
    <row r="12" spans="1:27" ht="31.5" x14ac:dyDescent="0.25">
      <c r="A12" s="1">
        <v>11</v>
      </c>
      <c r="B12" s="2" t="s">
        <v>0</v>
      </c>
      <c r="C12" s="2" t="s">
        <v>1</v>
      </c>
      <c r="D12" s="3" t="s">
        <v>22</v>
      </c>
      <c r="E12" s="4" t="s">
        <v>23</v>
      </c>
      <c r="F12" s="5"/>
      <c r="G12" s="2">
        <v>4</v>
      </c>
      <c r="H12" s="6">
        <v>3</v>
      </c>
      <c r="I12" s="7">
        <v>3</v>
      </c>
      <c r="J12" s="8"/>
      <c r="K12" s="9"/>
      <c r="L12" s="10"/>
      <c r="M12" s="5"/>
      <c r="N12" s="5"/>
      <c r="O12" s="2">
        <v>0</v>
      </c>
      <c r="P12" s="2">
        <v>0</v>
      </c>
      <c r="Q12" s="3" t="s">
        <v>20</v>
      </c>
      <c r="R12" s="5"/>
      <c r="S12" s="11">
        <f t="shared" si="0"/>
        <v>45</v>
      </c>
      <c r="T12" s="12">
        <f t="shared" si="1"/>
        <v>0</v>
      </c>
      <c r="U12" s="13">
        <f t="shared" si="2"/>
        <v>0</v>
      </c>
      <c r="V12" s="14">
        <f t="shared" si="3"/>
        <v>0</v>
      </c>
      <c r="W12" s="15">
        <f t="shared" si="4"/>
        <v>90</v>
      </c>
      <c r="X12" s="15">
        <f t="shared" si="5"/>
        <v>15</v>
      </c>
      <c r="Y12" s="5"/>
      <c r="Z12" s="5">
        <v>1</v>
      </c>
      <c r="AA12" s="5"/>
    </row>
    <row r="13" spans="1:27" ht="31.5" x14ac:dyDescent="0.25">
      <c r="A13" s="1">
        <v>12</v>
      </c>
      <c r="B13" s="2" t="s">
        <v>0</v>
      </c>
      <c r="C13" s="2" t="s">
        <v>1</v>
      </c>
      <c r="D13" s="3" t="s">
        <v>24</v>
      </c>
      <c r="E13" s="4" t="s">
        <v>25</v>
      </c>
      <c r="F13" s="5"/>
      <c r="G13" s="2">
        <v>1</v>
      </c>
      <c r="H13" s="6">
        <v>3</v>
      </c>
      <c r="I13" s="7">
        <v>2</v>
      </c>
      <c r="J13" s="8">
        <v>1</v>
      </c>
      <c r="K13" s="9"/>
      <c r="L13" s="10"/>
      <c r="M13" s="5" t="s">
        <v>26</v>
      </c>
      <c r="N13" s="5"/>
      <c r="O13" s="2">
        <v>0</v>
      </c>
      <c r="P13" s="2">
        <v>0</v>
      </c>
      <c r="Q13" s="5"/>
      <c r="R13" s="5"/>
      <c r="S13" s="11">
        <f t="shared" si="0"/>
        <v>30</v>
      </c>
      <c r="T13" s="12">
        <f t="shared" si="1"/>
        <v>30</v>
      </c>
      <c r="U13" s="13">
        <f t="shared" si="2"/>
        <v>0</v>
      </c>
      <c r="V13" s="14">
        <f t="shared" si="3"/>
        <v>0</v>
      </c>
      <c r="W13" s="15">
        <f t="shared" si="4"/>
        <v>75</v>
      </c>
      <c r="X13" s="15">
        <f t="shared" si="5"/>
        <v>15</v>
      </c>
      <c r="Y13" s="5"/>
      <c r="Z13" s="5">
        <v>1</v>
      </c>
      <c r="AA13" s="5"/>
    </row>
    <row r="14" spans="1:27" ht="31.5" x14ac:dyDescent="0.25">
      <c r="A14" s="1">
        <v>13</v>
      </c>
      <c r="B14" s="2" t="s">
        <v>0</v>
      </c>
      <c r="C14" s="2" t="s">
        <v>1</v>
      </c>
      <c r="D14" s="3" t="s">
        <v>27</v>
      </c>
      <c r="E14" s="4" t="s">
        <v>28</v>
      </c>
      <c r="F14" s="5"/>
      <c r="G14" s="2">
        <v>2</v>
      </c>
      <c r="H14" s="6">
        <v>2</v>
      </c>
      <c r="I14" s="7">
        <v>2</v>
      </c>
      <c r="J14" s="8"/>
      <c r="K14" s="9"/>
      <c r="L14" s="10"/>
      <c r="M14" s="5"/>
      <c r="N14" s="5"/>
      <c r="O14" s="2">
        <v>1</v>
      </c>
      <c r="P14" s="2">
        <v>12</v>
      </c>
      <c r="Q14" s="5"/>
      <c r="R14" s="5"/>
      <c r="S14" s="11">
        <f t="shared" si="0"/>
        <v>30</v>
      </c>
      <c r="T14" s="12">
        <f t="shared" si="1"/>
        <v>0</v>
      </c>
      <c r="U14" s="13">
        <f t="shared" si="2"/>
        <v>0</v>
      </c>
      <c r="V14" s="14">
        <f t="shared" si="3"/>
        <v>0</v>
      </c>
      <c r="W14" s="15">
        <f t="shared" si="4"/>
        <v>60</v>
      </c>
      <c r="X14" s="15">
        <f t="shared" si="5"/>
        <v>10</v>
      </c>
      <c r="Y14" s="5"/>
      <c r="Z14" s="5">
        <v>1</v>
      </c>
      <c r="AA14" s="5"/>
    </row>
    <row r="15" spans="1:27" ht="31.5" x14ac:dyDescent="0.25">
      <c r="A15" s="1">
        <v>14</v>
      </c>
      <c r="B15" s="2" t="s">
        <v>0</v>
      </c>
      <c r="C15" s="2" t="s">
        <v>1</v>
      </c>
      <c r="D15" s="3" t="s">
        <v>29</v>
      </c>
      <c r="E15" s="4" t="s">
        <v>30</v>
      </c>
      <c r="F15" s="5"/>
      <c r="G15" s="2">
        <v>1</v>
      </c>
      <c r="H15" s="6">
        <v>2</v>
      </c>
      <c r="I15" s="7">
        <v>2</v>
      </c>
      <c r="J15" s="8"/>
      <c r="K15" s="9"/>
      <c r="L15" s="10"/>
      <c r="M15" s="5"/>
      <c r="N15" s="5"/>
      <c r="O15" s="2">
        <v>1</v>
      </c>
      <c r="P15" s="2">
        <v>10</v>
      </c>
      <c r="Q15" s="5"/>
      <c r="R15" s="5"/>
      <c r="S15" s="11">
        <f t="shared" si="0"/>
        <v>30</v>
      </c>
      <c r="T15" s="12">
        <f t="shared" si="1"/>
        <v>0</v>
      </c>
      <c r="U15" s="13">
        <f t="shared" si="2"/>
        <v>0</v>
      </c>
      <c r="V15" s="14">
        <f t="shared" si="3"/>
        <v>0</v>
      </c>
      <c r="W15" s="15">
        <f t="shared" si="4"/>
        <v>60</v>
      </c>
      <c r="X15" s="15">
        <f t="shared" si="5"/>
        <v>10</v>
      </c>
      <c r="Y15" s="5"/>
      <c r="Z15" s="5">
        <v>1</v>
      </c>
      <c r="AA15" s="5"/>
    </row>
    <row r="16" spans="1:27" ht="31.5" x14ac:dyDescent="0.25">
      <c r="A16" s="1">
        <v>15</v>
      </c>
      <c r="B16" s="2" t="s">
        <v>0</v>
      </c>
      <c r="C16" s="2" t="s">
        <v>1</v>
      </c>
      <c r="D16" s="3" t="s">
        <v>31</v>
      </c>
      <c r="E16" s="4" t="s">
        <v>32</v>
      </c>
      <c r="F16" s="5"/>
      <c r="G16" s="2">
        <v>2</v>
      </c>
      <c r="H16" s="6">
        <v>3</v>
      </c>
      <c r="I16" s="7">
        <v>3</v>
      </c>
      <c r="J16" s="8"/>
      <c r="K16" s="9"/>
      <c r="L16" s="10"/>
      <c r="M16" s="5"/>
      <c r="N16" s="5"/>
      <c r="O16" s="2">
        <v>1</v>
      </c>
      <c r="P16" s="2">
        <v>15</v>
      </c>
      <c r="Q16" s="5"/>
      <c r="R16" s="5"/>
      <c r="S16" s="11">
        <f t="shared" si="0"/>
        <v>45</v>
      </c>
      <c r="T16" s="12">
        <f t="shared" si="1"/>
        <v>0</v>
      </c>
      <c r="U16" s="13">
        <f t="shared" si="2"/>
        <v>0</v>
      </c>
      <c r="V16" s="14">
        <f t="shared" si="3"/>
        <v>0</v>
      </c>
      <c r="W16" s="15">
        <f t="shared" si="4"/>
        <v>90</v>
      </c>
      <c r="X16" s="15">
        <f t="shared" si="5"/>
        <v>15</v>
      </c>
      <c r="Y16" s="5"/>
      <c r="Z16" s="5">
        <v>1</v>
      </c>
      <c r="AA16" s="5"/>
    </row>
    <row r="17" spans="1:27" ht="31.5" x14ac:dyDescent="0.25">
      <c r="A17" s="1">
        <v>16</v>
      </c>
      <c r="B17" s="2" t="s">
        <v>0</v>
      </c>
      <c r="C17" s="2" t="s">
        <v>1</v>
      </c>
      <c r="D17" s="3" t="s">
        <v>33</v>
      </c>
      <c r="E17" s="4" t="s">
        <v>34</v>
      </c>
      <c r="F17" s="5"/>
      <c r="G17" s="2">
        <v>6</v>
      </c>
      <c r="H17" s="6">
        <v>3</v>
      </c>
      <c r="I17" s="7">
        <v>1</v>
      </c>
      <c r="J17" s="8">
        <v>2</v>
      </c>
      <c r="K17" s="9"/>
      <c r="L17" s="10"/>
      <c r="M17" s="5" t="s">
        <v>26</v>
      </c>
      <c r="N17" s="5"/>
      <c r="O17" s="2">
        <v>1</v>
      </c>
      <c r="P17" s="2">
        <v>22</v>
      </c>
      <c r="Q17" s="5"/>
      <c r="R17" s="5"/>
      <c r="S17" s="11">
        <f t="shared" si="0"/>
        <v>15</v>
      </c>
      <c r="T17" s="12">
        <f t="shared" si="1"/>
        <v>60</v>
      </c>
      <c r="U17" s="13">
        <f t="shared" si="2"/>
        <v>0</v>
      </c>
      <c r="V17" s="14">
        <f t="shared" si="3"/>
        <v>0</v>
      </c>
      <c r="W17" s="15">
        <f t="shared" si="4"/>
        <v>60</v>
      </c>
      <c r="X17" s="15">
        <f t="shared" si="5"/>
        <v>15</v>
      </c>
      <c r="Y17" s="5"/>
      <c r="Z17" s="5">
        <v>0</v>
      </c>
      <c r="AA17" s="5"/>
    </row>
    <row r="18" spans="1:27" ht="31.5" x14ac:dyDescent="0.25">
      <c r="A18" s="1">
        <v>17</v>
      </c>
      <c r="B18" s="2" t="s">
        <v>0</v>
      </c>
      <c r="C18" s="2" t="s">
        <v>1</v>
      </c>
      <c r="D18" s="3" t="s">
        <v>35</v>
      </c>
      <c r="E18" s="4" t="s">
        <v>36</v>
      </c>
      <c r="F18" s="5"/>
      <c r="G18" s="2">
        <v>1</v>
      </c>
      <c r="H18" s="6">
        <v>8</v>
      </c>
      <c r="I18" s="7"/>
      <c r="J18" s="8"/>
      <c r="K18" s="9"/>
      <c r="L18" s="10"/>
      <c r="M18" s="5"/>
      <c r="N18" s="5"/>
      <c r="O18" s="2">
        <v>1</v>
      </c>
      <c r="P18" s="2">
        <v>20</v>
      </c>
      <c r="Q18" s="5"/>
      <c r="R18" s="5"/>
      <c r="S18" s="11">
        <f t="shared" si="0"/>
        <v>0</v>
      </c>
      <c r="T18" s="12">
        <f t="shared" si="1"/>
        <v>0</v>
      </c>
      <c r="U18" s="13">
        <f t="shared" si="2"/>
        <v>0</v>
      </c>
      <c r="V18" s="14">
        <f t="shared" si="3"/>
        <v>0</v>
      </c>
      <c r="W18" s="15">
        <f t="shared" si="4"/>
        <v>0</v>
      </c>
      <c r="X18" s="15">
        <f t="shared" si="5"/>
        <v>40</v>
      </c>
      <c r="Y18" s="5"/>
      <c r="Z18" s="5">
        <v>0</v>
      </c>
      <c r="AA18" s="5"/>
    </row>
    <row r="19" spans="1:27" ht="15.75" x14ac:dyDescent="0.25">
      <c r="A19" s="1">
        <v>18</v>
      </c>
      <c r="B19" s="2" t="s">
        <v>37</v>
      </c>
      <c r="C19" s="2" t="s">
        <v>38</v>
      </c>
      <c r="D19" s="3" t="s">
        <v>39</v>
      </c>
      <c r="E19" s="4" t="s">
        <v>40</v>
      </c>
      <c r="F19" s="5"/>
      <c r="G19" s="2">
        <v>1</v>
      </c>
      <c r="H19" s="6">
        <v>3</v>
      </c>
      <c r="I19" s="7">
        <v>3</v>
      </c>
      <c r="J19" s="8"/>
      <c r="K19" s="9"/>
      <c r="L19" s="10"/>
      <c r="M19" s="5"/>
      <c r="N19" s="5"/>
      <c r="O19" s="2">
        <v>0</v>
      </c>
      <c r="P19" s="2">
        <v>0</v>
      </c>
      <c r="Q19" s="5"/>
      <c r="R19" s="5"/>
      <c r="S19" s="11">
        <f t="shared" si="0"/>
        <v>45</v>
      </c>
      <c r="T19" s="12">
        <f t="shared" si="1"/>
        <v>0</v>
      </c>
      <c r="U19" s="13">
        <f t="shared" si="2"/>
        <v>0</v>
      </c>
      <c r="V19" s="14">
        <f t="shared" si="3"/>
        <v>0</v>
      </c>
      <c r="W19" s="15">
        <f t="shared" si="4"/>
        <v>90</v>
      </c>
      <c r="X19" s="15">
        <f t="shared" si="5"/>
        <v>15</v>
      </c>
      <c r="Y19" s="5"/>
      <c r="Z19" s="5">
        <v>1</v>
      </c>
      <c r="AA19" s="5"/>
    </row>
    <row r="20" spans="1:27" ht="15.75" x14ac:dyDescent="0.25">
      <c r="A20" s="1">
        <v>19</v>
      </c>
      <c r="B20" s="2" t="s">
        <v>37</v>
      </c>
      <c r="C20" s="2" t="s">
        <v>38</v>
      </c>
      <c r="D20" s="3" t="s">
        <v>41</v>
      </c>
      <c r="E20" s="4" t="s">
        <v>42</v>
      </c>
      <c r="F20" s="5"/>
      <c r="G20" s="2">
        <v>5</v>
      </c>
      <c r="H20" s="6">
        <v>3</v>
      </c>
      <c r="I20" s="7">
        <v>3</v>
      </c>
      <c r="J20" s="8"/>
      <c r="K20" s="9"/>
      <c r="L20" s="10"/>
      <c r="M20" s="5"/>
      <c r="N20" s="5"/>
      <c r="O20" s="2">
        <v>0</v>
      </c>
      <c r="P20" s="2">
        <v>0</v>
      </c>
      <c r="Q20" s="3" t="s">
        <v>22</v>
      </c>
      <c r="R20" s="5"/>
      <c r="S20" s="11">
        <f t="shared" si="0"/>
        <v>45</v>
      </c>
      <c r="T20" s="12">
        <f t="shared" si="1"/>
        <v>0</v>
      </c>
      <c r="U20" s="13">
        <f t="shared" si="2"/>
        <v>0</v>
      </c>
      <c r="V20" s="14">
        <f t="shared" si="3"/>
        <v>0</v>
      </c>
      <c r="W20" s="15">
        <f t="shared" si="4"/>
        <v>90</v>
      </c>
      <c r="X20" s="15">
        <f t="shared" si="5"/>
        <v>15</v>
      </c>
      <c r="Y20" s="5"/>
      <c r="Z20" s="5">
        <v>1</v>
      </c>
      <c r="AA20" s="5"/>
    </row>
    <row r="21" spans="1:27" ht="15.75" x14ac:dyDescent="0.25">
      <c r="A21" s="1">
        <v>20</v>
      </c>
      <c r="B21" s="2" t="s">
        <v>37</v>
      </c>
      <c r="C21" s="2" t="s">
        <v>38</v>
      </c>
      <c r="D21" s="3" t="s">
        <v>43</v>
      </c>
      <c r="E21" s="4" t="s">
        <v>44</v>
      </c>
      <c r="F21" s="5"/>
      <c r="G21" s="2">
        <v>2</v>
      </c>
      <c r="H21" s="6">
        <v>2</v>
      </c>
      <c r="I21" s="7">
        <v>2</v>
      </c>
      <c r="J21" s="8"/>
      <c r="K21" s="9"/>
      <c r="L21" s="10"/>
      <c r="M21" s="5"/>
      <c r="N21" s="5"/>
      <c r="O21" s="2">
        <v>1</v>
      </c>
      <c r="P21" s="2">
        <v>18</v>
      </c>
      <c r="Q21" s="5"/>
      <c r="R21" s="5"/>
      <c r="S21" s="11">
        <f t="shared" si="0"/>
        <v>30</v>
      </c>
      <c r="T21" s="12">
        <f t="shared" si="1"/>
        <v>0</v>
      </c>
      <c r="U21" s="13">
        <f t="shared" si="2"/>
        <v>0</v>
      </c>
      <c r="V21" s="14">
        <f t="shared" si="3"/>
        <v>0</v>
      </c>
      <c r="W21" s="15">
        <f t="shared" si="4"/>
        <v>60</v>
      </c>
      <c r="X21" s="15">
        <f t="shared" si="5"/>
        <v>10</v>
      </c>
      <c r="Y21" s="5"/>
      <c r="Z21" s="5">
        <v>1</v>
      </c>
      <c r="AA21" s="5"/>
    </row>
    <row r="22" spans="1:27" ht="15.75" x14ac:dyDescent="0.25">
      <c r="A22" s="1">
        <v>21</v>
      </c>
      <c r="B22" s="2" t="s">
        <v>37</v>
      </c>
      <c r="C22" s="2" t="s">
        <v>38</v>
      </c>
      <c r="D22" s="3" t="s">
        <v>45</v>
      </c>
      <c r="E22" s="4" t="s">
        <v>46</v>
      </c>
      <c r="F22" s="5"/>
      <c r="G22" s="2">
        <v>3</v>
      </c>
      <c r="H22" s="6">
        <v>3</v>
      </c>
      <c r="I22" s="7">
        <v>2</v>
      </c>
      <c r="J22" s="8">
        <v>1</v>
      </c>
      <c r="K22" s="9"/>
      <c r="L22" s="10"/>
      <c r="M22" s="5" t="s">
        <v>26</v>
      </c>
      <c r="N22" s="5"/>
      <c r="O22" s="2">
        <v>0</v>
      </c>
      <c r="P22" s="2">
        <v>0</v>
      </c>
      <c r="Q22" s="5"/>
      <c r="R22" s="5"/>
      <c r="S22" s="11">
        <f t="shared" si="0"/>
        <v>30</v>
      </c>
      <c r="T22" s="12">
        <f t="shared" si="1"/>
        <v>30</v>
      </c>
      <c r="U22" s="13">
        <f t="shared" si="2"/>
        <v>0</v>
      </c>
      <c r="V22" s="14">
        <f t="shared" si="3"/>
        <v>0</v>
      </c>
      <c r="W22" s="15">
        <f t="shared" si="4"/>
        <v>75</v>
      </c>
      <c r="X22" s="15">
        <f t="shared" si="5"/>
        <v>15</v>
      </c>
      <c r="Y22" s="5"/>
      <c r="Z22" s="5">
        <v>1</v>
      </c>
      <c r="AA22" s="5"/>
    </row>
    <row r="23" spans="1:27" ht="15.75" x14ac:dyDescent="0.25">
      <c r="A23" s="1">
        <v>22</v>
      </c>
      <c r="B23" s="2" t="s">
        <v>37</v>
      </c>
      <c r="C23" s="2" t="s">
        <v>38</v>
      </c>
      <c r="D23" s="3" t="s">
        <v>47</v>
      </c>
      <c r="E23" s="4" t="s">
        <v>48</v>
      </c>
      <c r="F23" s="5"/>
      <c r="G23" s="2">
        <v>3</v>
      </c>
      <c r="H23" s="6">
        <v>3</v>
      </c>
      <c r="I23" s="7">
        <v>3</v>
      </c>
      <c r="J23" s="8"/>
      <c r="K23" s="9"/>
      <c r="L23" s="10"/>
      <c r="M23" s="5"/>
      <c r="N23" s="5"/>
      <c r="O23" s="2">
        <v>1</v>
      </c>
      <c r="P23" s="2">
        <v>4</v>
      </c>
      <c r="Q23" s="5"/>
      <c r="R23" s="5"/>
      <c r="S23" s="11">
        <f t="shared" si="0"/>
        <v>45</v>
      </c>
      <c r="T23" s="12">
        <f t="shared" si="1"/>
        <v>0</v>
      </c>
      <c r="U23" s="13">
        <f t="shared" si="2"/>
        <v>0</v>
      </c>
      <c r="V23" s="14">
        <f t="shared" si="3"/>
        <v>0</v>
      </c>
      <c r="W23" s="15">
        <f t="shared" si="4"/>
        <v>90</v>
      </c>
      <c r="X23" s="15">
        <f t="shared" si="5"/>
        <v>15</v>
      </c>
      <c r="Y23" s="5"/>
      <c r="Z23" s="5">
        <v>1</v>
      </c>
      <c r="AA23" s="5"/>
    </row>
    <row r="24" spans="1:27" ht="31.5" x14ac:dyDescent="0.25">
      <c r="A24" s="1">
        <v>23</v>
      </c>
      <c r="B24" s="2" t="s">
        <v>37</v>
      </c>
      <c r="C24" s="2" t="s">
        <v>38</v>
      </c>
      <c r="D24" s="3" t="s">
        <v>49</v>
      </c>
      <c r="E24" s="4" t="s">
        <v>50</v>
      </c>
      <c r="F24" s="5"/>
      <c r="G24" s="2">
        <v>6</v>
      </c>
      <c r="H24" s="6">
        <v>3</v>
      </c>
      <c r="I24" s="7">
        <v>3</v>
      </c>
      <c r="J24" s="8"/>
      <c r="K24" s="9"/>
      <c r="L24" s="10"/>
      <c r="M24" s="5"/>
      <c r="N24" s="5"/>
      <c r="O24" s="2">
        <v>0</v>
      </c>
      <c r="P24" s="2">
        <v>0</v>
      </c>
      <c r="Q24" s="5"/>
      <c r="R24" s="5"/>
      <c r="S24" s="11">
        <f t="shared" si="0"/>
        <v>45</v>
      </c>
      <c r="T24" s="12">
        <f t="shared" si="1"/>
        <v>0</v>
      </c>
      <c r="U24" s="13">
        <f t="shared" si="2"/>
        <v>0</v>
      </c>
      <c r="V24" s="14">
        <f t="shared" si="3"/>
        <v>0</v>
      </c>
      <c r="W24" s="15">
        <f t="shared" si="4"/>
        <v>90</v>
      </c>
      <c r="X24" s="15">
        <f t="shared" si="5"/>
        <v>15</v>
      </c>
      <c r="Y24" s="5"/>
      <c r="Z24" s="5">
        <v>1</v>
      </c>
      <c r="AA24" s="5"/>
    </row>
    <row r="25" spans="1:27" ht="15.75" x14ac:dyDescent="0.25">
      <c r="A25" s="1">
        <v>24</v>
      </c>
      <c r="B25" s="2" t="s">
        <v>37</v>
      </c>
      <c r="C25" s="2" t="s">
        <v>38</v>
      </c>
      <c r="D25" s="3" t="s">
        <v>51</v>
      </c>
      <c r="E25" s="4" t="s">
        <v>52</v>
      </c>
      <c r="F25" s="5"/>
      <c r="G25" s="2">
        <v>6</v>
      </c>
      <c r="H25" s="6">
        <v>3</v>
      </c>
      <c r="I25" s="7">
        <v>3</v>
      </c>
      <c r="J25" s="8"/>
      <c r="K25" s="9"/>
      <c r="L25" s="10"/>
      <c r="M25" s="5"/>
      <c r="N25" s="5"/>
      <c r="O25" s="2">
        <v>0</v>
      </c>
      <c r="P25" s="2">
        <v>0</v>
      </c>
      <c r="Q25" s="5"/>
      <c r="R25" s="5"/>
      <c r="S25" s="11">
        <f t="shared" si="0"/>
        <v>45</v>
      </c>
      <c r="T25" s="12">
        <f t="shared" si="1"/>
        <v>0</v>
      </c>
      <c r="U25" s="13">
        <f t="shared" si="2"/>
        <v>0</v>
      </c>
      <c r="V25" s="14">
        <f t="shared" si="3"/>
        <v>0</v>
      </c>
      <c r="W25" s="15">
        <f t="shared" si="4"/>
        <v>90</v>
      </c>
      <c r="X25" s="15">
        <f t="shared" si="5"/>
        <v>15</v>
      </c>
      <c r="Y25" s="5"/>
      <c r="Z25" s="5">
        <v>1</v>
      </c>
      <c r="AA25" s="5"/>
    </row>
    <row r="26" spans="1:27" ht="15.75" x14ac:dyDescent="0.25">
      <c r="A26" s="1">
        <v>25</v>
      </c>
      <c r="B26" s="2" t="s">
        <v>37</v>
      </c>
      <c r="C26" s="2" t="s">
        <v>38</v>
      </c>
      <c r="D26" s="3" t="s">
        <v>53</v>
      </c>
      <c r="E26" s="4" t="s">
        <v>54</v>
      </c>
      <c r="F26" s="5"/>
      <c r="G26" s="2">
        <v>4</v>
      </c>
      <c r="H26" s="6">
        <v>3</v>
      </c>
      <c r="I26" s="7">
        <v>3</v>
      </c>
      <c r="J26" s="8"/>
      <c r="K26" s="9"/>
      <c r="L26" s="10"/>
      <c r="M26" s="5"/>
      <c r="N26" s="5"/>
      <c r="O26" s="2">
        <v>1</v>
      </c>
      <c r="P26" s="2">
        <v>1</v>
      </c>
      <c r="Q26" s="5"/>
      <c r="R26" s="5"/>
      <c r="S26" s="11">
        <f t="shared" si="0"/>
        <v>45</v>
      </c>
      <c r="T26" s="12">
        <f t="shared" si="1"/>
        <v>0</v>
      </c>
      <c r="U26" s="13">
        <f t="shared" si="2"/>
        <v>0</v>
      </c>
      <c r="V26" s="14">
        <f>IF(L26="",0,IF(M26="T",L26*15*2,IF(M26="N",L26*15*3,"fail")))</f>
        <v>0</v>
      </c>
      <c r="W26" s="15">
        <f t="shared" si="4"/>
        <v>90</v>
      </c>
      <c r="X26" s="15">
        <f t="shared" si="5"/>
        <v>15</v>
      </c>
      <c r="Y26" s="5"/>
      <c r="Z26" s="5">
        <v>1</v>
      </c>
      <c r="AA26" s="5"/>
    </row>
    <row r="27" spans="1:27" ht="15.75" x14ac:dyDescent="0.25">
      <c r="A27" s="1">
        <v>26</v>
      </c>
      <c r="B27" s="2" t="s">
        <v>37</v>
      </c>
      <c r="C27" s="2" t="s">
        <v>38</v>
      </c>
      <c r="D27" s="3" t="s">
        <v>55</v>
      </c>
      <c r="E27" s="4" t="s">
        <v>56</v>
      </c>
      <c r="F27" s="5"/>
      <c r="G27" s="2">
        <v>3</v>
      </c>
      <c r="H27" s="6">
        <v>3</v>
      </c>
      <c r="I27" s="7">
        <v>3</v>
      </c>
      <c r="J27" s="8"/>
      <c r="K27" s="9"/>
      <c r="L27" s="10"/>
      <c r="M27" s="5"/>
      <c r="N27" s="5"/>
      <c r="O27" s="2">
        <v>1</v>
      </c>
      <c r="P27" s="2">
        <v>16</v>
      </c>
      <c r="Q27" s="5"/>
      <c r="R27" s="5"/>
      <c r="S27" s="11">
        <f t="shared" si="0"/>
        <v>45</v>
      </c>
      <c r="T27" s="12">
        <f t="shared" si="1"/>
        <v>0</v>
      </c>
      <c r="U27" s="13">
        <f t="shared" si="2"/>
        <v>0</v>
      </c>
      <c r="V27" s="14">
        <f t="shared" ref="V27:V30" si="6">IF(L27="",0,IF(M27="T",L27*15*2,L27*15*3))</f>
        <v>0</v>
      </c>
      <c r="W27" s="15">
        <f t="shared" si="4"/>
        <v>90</v>
      </c>
      <c r="X27" s="15">
        <f t="shared" si="5"/>
        <v>15</v>
      </c>
      <c r="Y27" s="5"/>
      <c r="Z27" s="5">
        <v>1</v>
      </c>
      <c r="AA27" s="5"/>
    </row>
    <row r="28" spans="1:27" ht="15.75" x14ac:dyDescent="0.25">
      <c r="A28" s="1">
        <v>27</v>
      </c>
      <c r="B28" s="2" t="s">
        <v>37</v>
      </c>
      <c r="C28" s="2" t="s">
        <v>38</v>
      </c>
      <c r="D28" s="3" t="s">
        <v>57</v>
      </c>
      <c r="E28" s="4" t="s">
        <v>58</v>
      </c>
      <c r="F28" s="5"/>
      <c r="G28" s="2">
        <v>3</v>
      </c>
      <c r="H28" s="6">
        <v>2</v>
      </c>
      <c r="I28" s="7">
        <v>2</v>
      </c>
      <c r="J28" s="8"/>
      <c r="K28" s="9"/>
      <c r="L28" s="10"/>
      <c r="M28" s="5"/>
      <c r="N28" s="5"/>
      <c r="O28" s="2">
        <v>0</v>
      </c>
      <c r="P28" s="2">
        <v>0</v>
      </c>
      <c r="Q28" s="5"/>
      <c r="R28" s="5"/>
      <c r="S28" s="11">
        <f t="shared" si="0"/>
        <v>30</v>
      </c>
      <c r="T28" s="12">
        <f t="shared" si="1"/>
        <v>0</v>
      </c>
      <c r="U28" s="13">
        <f t="shared" si="2"/>
        <v>0</v>
      </c>
      <c r="V28" s="14">
        <f t="shared" si="6"/>
        <v>0</v>
      </c>
      <c r="W28" s="15">
        <f t="shared" si="4"/>
        <v>60</v>
      </c>
      <c r="X28" s="15">
        <f t="shared" si="5"/>
        <v>10</v>
      </c>
      <c r="Y28" s="5"/>
      <c r="Z28" s="5">
        <v>1</v>
      </c>
      <c r="AA28" s="5"/>
    </row>
    <row r="29" spans="1:27" ht="15.75" x14ac:dyDescent="0.25">
      <c r="A29" s="1">
        <v>28</v>
      </c>
      <c r="B29" s="2" t="s">
        <v>59</v>
      </c>
      <c r="C29" s="2" t="s">
        <v>60</v>
      </c>
      <c r="D29" s="3" t="s">
        <v>61</v>
      </c>
      <c r="E29" s="4" t="s">
        <v>62</v>
      </c>
      <c r="F29" s="5"/>
      <c r="G29" s="2">
        <v>4</v>
      </c>
      <c r="H29" s="6">
        <v>3</v>
      </c>
      <c r="I29" s="7">
        <v>3</v>
      </c>
      <c r="J29" s="8"/>
      <c r="K29" s="9"/>
      <c r="L29" s="10"/>
      <c r="M29" s="5"/>
      <c r="N29" s="5"/>
      <c r="O29" s="2">
        <v>0</v>
      </c>
      <c r="P29" s="2">
        <v>0</v>
      </c>
      <c r="Q29" s="5"/>
      <c r="R29" s="5"/>
      <c r="S29" s="11">
        <f t="shared" si="0"/>
        <v>45</v>
      </c>
      <c r="T29" s="12">
        <f t="shared" si="1"/>
        <v>0</v>
      </c>
      <c r="U29" s="13">
        <f t="shared" si="2"/>
        <v>0</v>
      </c>
      <c r="V29" s="14">
        <f t="shared" si="6"/>
        <v>0</v>
      </c>
      <c r="W29" s="15">
        <f t="shared" si="4"/>
        <v>90</v>
      </c>
      <c r="X29" s="15">
        <f t="shared" si="5"/>
        <v>15</v>
      </c>
      <c r="Y29" s="5"/>
      <c r="Z29" s="5">
        <v>1</v>
      </c>
      <c r="AA29" s="5"/>
    </row>
    <row r="30" spans="1:27" ht="15.75" x14ac:dyDescent="0.25">
      <c r="A30" s="1">
        <v>29</v>
      </c>
      <c r="B30" s="2" t="s">
        <v>59</v>
      </c>
      <c r="C30" s="2" t="s">
        <v>60</v>
      </c>
      <c r="D30" s="3" t="s">
        <v>63</v>
      </c>
      <c r="E30" s="4" t="s">
        <v>64</v>
      </c>
      <c r="F30" s="5"/>
      <c r="G30" s="2">
        <v>2</v>
      </c>
      <c r="H30" s="6">
        <v>2</v>
      </c>
      <c r="I30" s="7">
        <v>2</v>
      </c>
      <c r="J30" s="8"/>
      <c r="K30" s="9"/>
      <c r="L30" s="10"/>
      <c r="M30" s="5"/>
      <c r="N30" s="5"/>
      <c r="O30" s="2">
        <v>1</v>
      </c>
      <c r="P30" s="2">
        <v>5</v>
      </c>
      <c r="Q30" s="5"/>
      <c r="R30" s="5"/>
      <c r="S30" s="11">
        <f t="shared" si="0"/>
        <v>30</v>
      </c>
      <c r="T30" s="12">
        <f t="shared" si="1"/>
        <v>0</v>
      </c>
      <c r="U30" s="13">
        <f t="shared" si="2"/>
        <v>0</v>
      </c>
      <c r="V30" s="14">
        <f t="shared" si="6"/>
        <v>0</v>
      </c>
      <c r="W30" s="15">
        <f t="shared" si="4"/>
        <v>60</v>
      </c>
      <c r="X30" s="15">
        <f t="shared" si="5"/>
        <v>10</v>
      </c>
      <c r="Y30" s="5"/>
      <c r="Z30" s="5">
        <v>1</v>
      </c>
      <c r="AA30" s="5"/>
    </row>
    <row r="31" spans="1:27" ht="15.75" x14ac:dyDescent="0.25">
      <c r="A31" s="1">
        <v>30</v>
      </c>
      <c r="B31" s="2" t="s">
        <v>59</v>
      </c>
      <c r="C31" s="2" t="s">
        <v>60</v>
      </c>
      <c r="D31" s="3" t="s">
        <v>65</v>
      </c>
      <c r="E31" s="4" t="s">
        <v>66</v>
      </c>
      <c r="F31" s="5"/>
      <c r="G31" s="2">
        <v>6</v>
      </c>
      <c r="H31" s="6">
        <v>3</v>
      </c>
      <c r="I31" s="7">
        <v>3</v>
      </c>
      <c r="J31" s="8"/>
      <c r="K31" s="9"/>
      <c r="L31" s="10"/>
      <c r="M31" s="5"/>
      <c r="N31" s="5"/>
      <c r="O31" s="2">
        <v>0</v>
      </c>
      <c r="P31" s="2">
        <v>0</v>
      </c>
      <c r="Q31" s="5"/>
      <c r="R31" s="5"/>
      <c r="S31" s="11">
        <f t="shared" si="0"/>
        <v>45</v>
      </c>
      <c r="T31" s="12">
        <f t="shared" si="1"/>
        <v>0</v>
      </c>
      <c r="U31" s="13">
        <f t="shared" si="2"/>
        <v>0</v>
      </c>
      <c r="V31" s="14">
        <f>IF(L31="",0,IF(M31="T",L31*15*2,IF(M31="N",L31*15*3,"fail")))</f>
        <v>0</v>
      </c>
      <c r="W31" s="15">
        <f t="shared" si="4"/>
        <v>90</v>
      </c>
      <c r="X31" s="15">
        <f t="shared" si="5"/>
        <v>15</v>
      </c>
      <c r="Y31" s="5"/>
      <c r="Z31" s="5">
        <v>1</v>
      </c>
      <c r="AA31" s="5"/>
    </row>
    <row r="32" spans="1:27" ht="15.75" x14ac:dyDescent="0.25">
      <c r="A32" s="1">
        <v>31</v>
      </c>
      <c r="B32" s="2" t="s">
        <v>59</v>
      </c>
      <c r="C32" s="2" t="s">
        <v>60</v>
      </c>
      <c r="D32" s="3" t="s">
        <v>67</v>
      </c>
      <c r="E32" s="4" t="s">
        <v>68</v>
      </c>
      <c r="F32" s="5"/>
      <c r="G32" s="2">
        <v>7</v>
      </c>
      <c r="H32" s="6">
        <v>4</v>
      </c>
      <c r="I32" s="7">
        <v>4</v>
      </c>
      <c r="J32" s="8"/>
      <c r="K32" s="9"/>
      <c r="L32" s="10"/>
      <c r="M32" s="5"/>
      <c r="N32" s="5"/>
      <c r="O32" s="2">
        <v>0</v>
      </c>
      <c r="P32" s="2">
        <v>0</v>
      </c>
      <c r="Q32" s="5"/>
      <c r="R32" s="5"/>
      <c r="S32" s="11">
        <f t="shared" si="0"/>
        <v>60</v>
      </c>
      <c r="T32" s="12">
        <f t="shared" si="1"/>
        <v>0</v>
      </c>
      <c r="U32" s="13">
        <f t="shared" si="2"/>
        <v>0</v>
      </c>
      <c r="V32" s="14">
        <f t="shared" ref="V32:V51" si="7">IF(L32="",0,IF(M32="T",L32*15*2,L32*15*3))</f>
        <v>0</v>
      </c>
      <c r="W32" s="15">
        <f t="shared" si="4"/>
        <v>120</v>
      </c>
      <c r="X32" s="15">
        <f t="shared" si="5"/>
        <v>20</v>
      </c>
      <c r="Y32" s="5"/>
      <c r="Z32" s="5">
        <v>1</v>
      </c>
      <c r="AA32" s="5"/>
    </row>
    <row r="33" spans="1:27" ht="15.75" x14ac:dyDescent="0.25">
      <c r="A33" s="1">
        <v>32</v>
      </c>
      <c r="B33" s="2" t="s">
        <v>59</v>
      </c>
      <c r="C33" s="2" t="s">
        <v>60</v>
      </c>
      <c r="D33" s="3" t="s">
        <v>69</v>
      </c>
      <c r="E33" s="4" t="s">
        <v>70</v>
      </c>
      <c r="F33" s="5"/>
      <c r="G33" s="2">
        <v>2</v>
      </c>
      <c r="H33" s="6">
        <v>2</v>
      </c>
      <c r="I33" s="7">
        <v>2</v>
      </c>
      <c r="J33" s="8"/>
      <c r="K33" s="9"/>
      <c r="L33" s="10"/>
      <c r="M33" s="5"/>
      <c r="N33" s="5"/>
      <c r="O33" s="2">
        <v>1</v>
      </c>
      <c r="P33" s="2">
        <v>9</v>
      </c>
      <c r="Q33" s="5"/>
      <c r="R33" s="5"/>
      <c r="S33" s="11">
        <f t="shared" si="0"/>
        <v>30</v>
      </c>
      <c r="T33" s="12">
        <f t="shared" si="1"/>
        <v>0</v>
      </c>
      <c r="U33" s="13">
        <f t="shared" si="2"/>
        <v>0</v>
      </c>
      <c r="V33" s="14">
        <f t="shared" si="7"/>
        <v>0</v>
      </c>
      <c r="W33" s="15">
        <f t="shared" si="4"/>
        <v>60</v>
      </c>
      <c r="X33" s="15">
        <f t="shared" si="5"/>
        <v>10</v>
      </c>
      <c r="Y33" s="5"/>
      <c r="Z33" s="5">
        <v>1</v>
      </c>
      <c r="AA33" s="5"/>
    </row>
    <row r="34" spans="1:27" ht="15.75" x14ac:dyDescent="0.25">
      <c r="A34" s="1">
        <v>33</v>
      </c>
      <c r="B34" s="2" t="s">
        <v>59</v>
      </c>
      <c r="C34" s="2" t="s">
        <v>60</v>
      </c>
      <c r="D34" s="3" t="s">
        <v>71</v>
      </c>
      <c r="E34" s="4" t="s">
        <v>72</v>
      </c>
      <c r="F34" s="5"/>
      <c r="G34" s="2">
        <v>5</v>
      </c>
      <c r="H34" s="6">
        <v>3</v>
      </c>
      <c r="I34" s="7">
        <v>3</v>
      </c>
      <c r="J34" s="8"/>
      <c r="K34" s="9"/>
      <c r="L34" s="10"/>
      <c r="M34" s="5"/>
      <c r="N34" s="5"/>
      <c r="O34" s="2">
        <v>1</v>
      </c>
      <c r="P34" s="2">
        <v>3</v>
      </c>
      <c r="Q34" s="5"/>
      <c r="R34" s="5"/>
      <c r="S34" s="11">
        <f t="shared" si="0"/>
        <v>45</v>
      </c>
      <c r="T34" s="12">
        <f t="shared" si="1"/>
        <v>0</v>
      </c>
      <c r="U34" s="13">
        <f t="shared" si="2"/>
        <v>0</v>
      </c>
      <c r="V34" s="14">
        <f t="shared" si="7"/>
        <v>0</v>
      </c>
      <c r="W34" s="15">
        <f t="shared" si="4"/>
        <v>90</v>
      </c>
      <c r="X34" s="15">
        <f t="shared" si="5"/>
        <v>15</v>
      </c>
      <c r="Y34" s="5"/>
      <c r="Z34" s="5">
        <v>1</v>
      </c>
      <c r="AA34" s="5"/>
    </row>
    <row r="35" spans="1:27" ht="15.75" x14ac:dyDescent="0.25">
      <c r="A35" s="1">
        <v>34</v>
      </c>
      <c r="B35" s="2" t="s">
        <v>59</v>
      </c>
      <c r="C35" s="2" t="s">
        <v>60</v>
      </c>
      <c r="D35" s="3" t="s">
        <v>73</v>
      </c>
      <c r="E35" s="4" t="s">
        <v>74</v>
      </c>
      <c r="F35" s="5"/>
      <c r="G35" s="2">
        <v>4</v>
      </c>
      <c r="H35" s="6">
        <v>3</v>
      </c>
      <c r="I35" s="7">
        <v>3</v>
      </c>
      <c r="J35" s="8"/>
      <c r="K35" s="9"/>
      <c r="L35" s="10"/>
      <c r="M35" s="5"/>
      <c r="N35" s="5"/>
      <c r="O35" s="2">
        <v>1</v>
      </c>
      <c r="P35" s="2">
        <v>2</v>
      </c>
      <c r="Q35" s="5"/>
      <c r="R35" s="5"/>
      <c r="S35" s="11">
        <f t="shared" si="0"/>
        <v>45</v>
      </c>
      <c r="T35" s="12">
        <f t="shared" si="1"/>
        <v>0</v>
      </c>
      <c r="U35" s="13">
        <f t="shared" si="2"/>
        <v>0</v>
      </c>
      <c r="V35" s="14">
        <f t="shared" si="7"/>
        <v>0</v>
      </c>
      <c r="W35" s="15">
        <f t="shared" si="4"/>
        <v>90</v>
      </c>
      <c r="X35" s="15">
        <f t="shared" si="5"/>
        <v>15</v>
      </c>
      <c r="Y35" s="5"/>
      <c r="Z35" s="5">
        <v>1</v>
      </c>
      <c r="AA35" s="5"/>
    </row>
    <row r="36" spans="1:27" ht="15.75" x14ac:dyDescent="0.25">
      <c r="A36" s="1">
        <v>35</v>
      </c>
      <c r="B36" s="2" t="s">
        <v>59</v>
      </c>
      <c r="C36" s="2" t="s">
        <v>60</v>
      </c>
      <c r="D36" s="3" t="s">
        <v>75</v>
      </c>
      <c r="E36" s="4" t="s">
        <v>76</v>
      </c>
      <c r="F36" s="5"/>
      <c r="G36" s="2">
        <v>3</v>
      </c>
      <c r="H36" s="6">
        <v>3</v>
      </c>
      <c r="I36" s="7">
        <v>3</v>
      </c>
      <c r="J36" s="8"/>
      <c r="K36" s="9"/>
      <c r="L36" s="10"/>
      <c r="M36" s="5"/>
      <c r="N36" s="5"/>
      <c r="O36" s="2">
        <v>0</v>
      </c>
      <c r="P36" s="2">
        <v>0</v>
      </c>
      <c r="Q36" s="5"/>
      <c r="R36" s="5"/>
      <c r="S36" s="11">
        <f t="shared" si="0"/>
        <v>45</v>
      </c>
      <c r="T36" s="12">
        <f t="shared" si="1"/>
        <v>0</v>
      </c>
      <c r="U36" s="13">
        <f t="shared" si="2"/>
        <v>0</v>
      </c>
      <c r="V36" s="14">
        <f t="shared" si="7"/>
        <v>0</v>
      </c>
      <c r="W36" s="15">
        <f t="shared" si="4"/>
        <v>90</v>
      </c>
      <c r="X36" s="15">
        <f t="shared" si="5"/>
        <v>15</v>
      </c>
      <c r="Y36" s="5"/>
      <c r="Z36" s="5">
        <v>1</v>
      </c>
      <c r="AA36" s="5"/>
    </row>
    <row r="37" spans="1:27" ht="15.75" x14ac:dyDescent="0.25">
      <c r="A37" s="1">
        <v>36</v>
      </c>
      <c r="B37" s="2" t="s">
        <v>59</v>
      </c>
      <c r="C37" s="2" t="s">
        <v>60</v>
      </c>
      <c r="D37" s="3" t="s">
        <v>77</v>
      </c>
      <c r="E37" s="4" t="s">
        <v>78</v>
      </c>
      <c r="F37" s="5"/>
      <c r="G37" s="2">
        <v>5</v>
      </c>
      <c r="H37" s="6">
        <v>3</v>
      </c>
      <c r="I37" s="7">
        <v>3</v>
      </c>
      <c r="J37" s="8"/>
      <c r="K37" s="9"/>
      <c r="L37" s="10"/>
      <c r="M37" s="5"/>
      <c r="N37" s="5"/>
      <c r="O37" s="2">
        <v>1</v>
      </c>
      <c r="P37" s="2">
        <v>7</v>
      </c>
      <c r="Q37" s="5"/>
      <c r="R37" s="5"/>
      <c r="S37" s="11">
        <f t="shared" si="0"/>
        <v>45</v>
      </c>
      <c r="T37" s="12">
        <f t="shared" si="1"/>
        <v>0</v>
      </c>
      <c r="U37" s="13">
        <f t="shared" si="2"/>
        <v>0</v>
      </c>
      <c r="V37" s="14">
        <f t="shared" si="7"/>
        <v>0</v>
      </c>
      <c r="W37" s="15">
        <f t="shared" si="4"/>
        <v>90</v>
      </c>
      <c r="X37" s="15">
        <f t="shared" si="5"/>
        <v>15</v>
      </c>
      <c r="Y37" s="5"/>
      <c r="Z37" s="5">
        <v>1</v>
      </c>
      <c r="AA37" s="5"/>
    </row>
    <row r="38" spans="1:27" ht="15.75" x14ac:dyDescent="0.25">
      <c r="A38" s="1">
        <v>37</v>
      </c>
      <c r="B38" s="2" t="s">
        <v>59</v>
      </c>
      <c r="C38" s="2" t="s">
        <v>60</v>
      </c>
      <c r="D38" s="3" t="s">
        <v>79</v>
      </c>
      <c r="E38" s="4" t="s">
        <v>80</v>
      </c>
      <c r="F38" s="5"/>
      <c r="G38" s="2">
        <v>5</v>
      </c>
      <c r="H38" s="6">
        <v>2</v>
      </c>
      <c r="I38" s="7">
        <v>2</v>
      </c>
      <c r="J38" s="8"/>
      <c r="K38" s="9"/>
      <c r="L38" s="10"/>
      <c r="M38" s="5"/>
      <c r="N38" s="5"/>
      <c r="O38" s="2">
        <v>0</v>
      </c>
      <c r="P38" s="2">
        <v>0</v>
      </c>
      <c r="Q38" s="5"/>
      <c r="R38" s="5"/>
      <c r="S38" s="11">
        <f t="shared" si="0"/>
        <v>30</v>
      </c>
      <c r="T38" s="12">
        <f t="shared" si="1"/>
        <v>0</v>
      </c>
      <c r="U38" s="13">
        <f t="shared" si="2"/>
        <v>0</v>
      </c>
      <c r="V38" s="14">
        <f t="shared" si="7"/>
        <v>0</v>
      </c>
      <c r="W38" s="15">
        <f t="shared" si="4"/>
        <v>60</v>
      </c>
      <c r="X38" s="15">
        <f t="shared" si="5"/>
        <v>10</v>
      </c>
      <c r="Y38" s="5"/>
      <c r="Z38" s="5">
        <v>1</v>
      </c>
      <c r="AA38" s="5"/>
    </row>
    <row r="39" spans="1:27" ht="15.75" x14ac:dyDescent="0.25">
      <c r="A39" s="1">
        <v>38</v>
      </c>
      <c r="B39" s="2" t="s">
        <v>59</v>
      </c>
      <c r="C39" s="2" t="s">
        <v>60</v>
      </c>
      <c r="D39" s="3" t="s">
        <v>81</v>
      </c>
      <c r="E39" s="4" t="s">
        <v>82</v>
      </c>
      <c r="F39" s="5"/>
      <c r="G39" s="2">
        <v>4</v>
      </c>
      <c r="H39" s="6">
        <v>3</v>
      </c>
      <c r="I39" s="7">
        <v>3</v>
      </c>
      <c r="J39" s="8"/>
      <c r="K39" s="9"/>
      <c r="L39" s="10"/>
      <c r="M39" s="5"/>
      <c r="N39" s="5"/>
      <c r="O39" s="2">
        <v>1</v>
      </c>
      <c r="P39" s="2">
        <v>8</v>
      </c>
      <c r="Q39" s="5"/>
      <c r="R39" s="5"/>
      <c r="S39" s="11">
        <f t="shared" si="0"/>
        <v>45</v>
      </c>
      <c r="T39" s="12">
        <f t="shared" si="1"/>
        <v>0</v>
      </c>
      <c r="U39" s="13">
        <f t="shared" si="2"/>
        <v>0</v>
      </c>
      <c r="V39" s="14">
        <f t="shared" si="7"/>
        <v>0</v>
      </c>
      <c r="W39" s="15">
        <f t="shared" si="4"/>
        <v>90</v>
      </c>
      <c r="X39" s="15">
        <f t="shared" si="5"/>
        <v>15</v>
      </c>
      <c r="Y39" s="5"/>
      <c r="Z39" s="5">
        <v>1</v>
      </c>
      <c r="AA39" s="5"/>
    </row>
    <row r="40" spans="1:27" ht="15.75" x14ac:dyDescent="0.25">
      <c r="A40" s="1">
        <v>39</v>
      </c>
      <c r="B40" s="2" t="s">
        <v>59</v>
      </c>
      <c r="C40" s="2" t="s">
        <v>60</v>
      </c>
      <c r="D40" s="3" t="s">
        <v>83</v>
      </c>
      <c r="E40" s="4" t="s">
        <v>84</v>
      </c>
      <c r="F40" s="5"/>
      <c r="G40" s="2">
        <v>7</v>
      </c>
      <c r="H40" s="6">
        <v>5</v>
      </c>
      <c r="I40" s="7">
        <v>5</v>
      </c>
      <c r="J40" s="8"/>
      <c r="K40" s="9"/>
      <c r="L40" s="10"/>
      <c r="M40" s="5"/>
      <c r="N40" s="5"/>
      <c r="O40" s="2">
        <v>0</v>
      </c>
      <c r="P40" s="2">
        <v>0</v>
      </c>
      <c r="Q40" s="5"/>
      <c r="R40" s="5"/>
      <c r="S40" s="11">
        <f t="shared" si="0"/>
        <v>75</v>
      </c>
      <c r="T40" s="12">
        <f t="shared" si="1"/>
        <v>0</v>
      </c>
      <c r="U40" s="13">
        <f t="shared" si="2"/>
        <v>0</v>
      </c>
      <c r="V40" s="14">
        <f t="shared" si="7"/>
        <v>0</v>
      </c>
      <c r="W40" s="15">
        <f t="shared" si="4"/>
        <v>150</v>
      </c>
      <c r="X40" s="15">
        <f t="shared" si="5"/>
        <v>25</v>
      </c>
      <c r="Y40" s="5"/>
      <c r="Z40" s="5">
        <v>1</v>
      </c>
      <c r="AA40" s="5"/>
    </row>
    <row r="41" spans="1:27" ht="15.75" x14ac:dyDescent="0.25">
      <c r="A41" s="1">
        <v>40</v>
      </c>
      <c r="B41" s="2" t="s">
        <v>59</v>
      </c>
      <c r="C41" s="2" t="s">
        <v>60</v>
      </c>
      <c r="D41" s="3" t="s">
        <v>85</v>
      </c>
      <c r="E41" s="4" t="s">
        <v>86</v>
      </c>
      <c r="F41" s="5"/>
      <c r="G41" s="2">
        <v>6</v>
      </c>
      <c r="H41" s="6">
        <v>2</v>
      </c>
      <c r="I41" s="7">
        <v>2</v>
      </c>
      <c r="J41" s="8"/>
      <c r="K41" s="9"/>
      <c r="L41" s="10"/>
      <c r="M41" s="5"/>
      <c r="N41" s="5"/>
      <c r="O41" s="2">
        <v>0</v>
      </c>
      <c r="P41" s="2">
        <v>0</v>
      </c>
      <c r="Q41" s="5"/>
      <c r="R41" s="5"/>
      <c r="S41" s="11">
        <f t="shared" si="0"/>
        <v>30</v>
      </c>
      <c r="T41" s="12">
        <f t="shared" si="1"/>
        <v>0</v>
      </c>
      <c r="U41" s="13">
        <f t="shared" si="2"/>
        <v>0</v>
      </c>
      <c r="V41" s="14">
        <f t="shared" si="7"/>
        <v>0</v>
      </c>
      <c r="W41" s="15">
        <f t="shared" si="4"/>
        <v>60</v>
      </c>
      <c r="X41" s="15">
        <f t="shared" si="5"/>
        <v>10</v>
      </c>
      <c r="Y41" s="5"/>
      <c r="Z41" s="5">
        <v>1</v>
      </c>
      <c r="AA41" s="5"/>
    </row>
    <row r="42" spans="1:27" ht="15.75" x14ac:dyDescent="0.25">
      <c r="A42" s="1">
        <v>41</v>
      </c>
      <c r="B42" s="2" t="s">
        <v>59</v>
      </c>
      <c r="C42" s="2" t="s">
        <v>60</v>
      </c>
      <c r="D42" s="3" t="s">
        <v>87</v>
      </c>
      <c r="E42" s="4" t="s">
        <v>88</v>
      </c>
      <c r="F42" s="5"/>
      <c r="G42" s="2">
        <v>5</v>
      </c>
      <c r="H42" s="6">
        <v>3</v>
      </c>
      <c r="I42" s="7">
        <v>3</v>
      </c>
      <c r="J42" s="8"/>
      <c r="K42" s="9"/>
      <c r="L42" s="10"/>
      <c r="M42" s="5"/>
      <c r="N42" s="5"/>
      <c r="O42" s="2">
        <v>1</v>
      </c>
      <c r="P42" s="2">
        <v>11</v>
      </c>
      <c r="Q42" s="5"/>
      <c r="R42" s="5"/>
      <c r="S42" s="11">
        <f t="shared" si="0"/>
        <v>45</v>
      </c>
      <c r="T42" s="12">
        <f t="shared" si="1"/>
        <v>0</v>
      </c>
      <c r="U42" s="13">
        <f t="shared" si="2"/>
        <v>0</v>
      </c>
      <c r="V42" s="14">
        <f t="shared" si="7"/>
        <v>0</v>
      </c>
      <c r="W42" s="15">
        <f t="shared" si="4"/>
        <v>90</v>
      </c>
      <c r="X42" s="15">
        <f t="shared" si="5"/>
        <v>15</v>
      </c>
      <c r="Y42" s="5"/>
      <c r="Z42" s="5">
        <v>1</v>
      </c>
      <c r="AA42" s="5"/>
    </row>
    <row r="43" spans="1:27" ht="15.75" x14ac:dyDescent="0.25">
      <c r="A43" s="1">
        <v>42</v>
      </c>
      <c r="B43" s="2" t="s">
        <v>59</v>
      </c>
      <c r="C43" s="2" t="s">
        <v>60</v>
      </c>
      <c r="D43" s="3" t="s">
        <v>89</v>
      </c>
      <c r="E43" s="4" t="s">
        <v>90</v>
      </c>
      <c r="F43" s="5"/>
      <c r="G43" s="2">
        <v>6</v>
      </c>
      <c r="H43" s="6">
        <v>2</v>
      </c>
      <c r="I43" s="7">
        <v>2</v>
      </c>
      <c r="J43" s="8"/>
      <c r="K43" s="9"/>
      <c r="L43" s="10"/>
      <c r="M43" s="5"/>
      <c r="N43" s="5"/>
      <c r="O43" s="2">
        <v>0</v>
      </c>
      <c r="P43" s="2">
        <v>0</v>
      </c>
      <c r="Q43" s="5"/>
      <c r="R43" s="5"/>
      <c r="S43" s="11">
        <f t="shared" si="0"/>
        <v>30</v>
      </c>
      <c r="T43" s="12">
        <f t="shared" si="1"/>
        <v>0</v>
      </c>
      <c r="U43" s="13">
        <f t="shared" si="2"/>
        <v>0</v>
      </c>
      <c r="V43" s="14">
        <f t="shared" si="7"/>
        <v>0</v>
      </c>
      <c r="W43" s="15">
        <f t="shared" si="4"/>
        <v>60</v>
      </c>
      <c r="X43" s="15">
        <f t="shared" si="5"/>
        <v>10</v>
      </c>
      <c r="Y43" s="5"/>
      <c r="Z43" s="5">
        <v>1</v>
      </c>
      <c r="AA43" s="5"/>
    </row>
    <row r="44" spans="1:27" ht="15.75" x14ac:dyDescent="0.25">
      <c r="A44" s="1">
        <v>43</v>
      </c>
      <c r="B44" s="2" t="s">
        <v>59</v>
      </c>
      <c r="C44" s="2" t="s">
        <v>60</v>
      </c>
      <c r="D44" s="3" t="s">
        <v>91</v>
      </c>
      <c r="E44" s="4" t="s">
        <v>92</v>
      </c>
      <c r="F44" s="5"/>
      <c r="G44" s="2">
        <v>4</v>
      </c>
      <c r="H44" s="6">
        <v>5</v>
      </c>
      <c r="I44" s="7"/>
      <c r="J44" s="8">
        <f>75/15</f>
        <v>5</v>
      </c>
      <c r="K44" s="9"/>
      <c r="L44" s="10"/>
      <c r="M44" s="5" t="s">
        <v>26</v>
      </c>
      <c r="N44" s="5"/>
      <c r="O44" s="2">
        <v>1</v>
      </c>
      <c r="P44" s="2">
        <v>13</v>
      </c>
      <c r="Q44" s="5"/>
      <c r="R44" s="5"/>
      <c r="S44" s="11">
        <f t="shared" si="0"/>
        <v>0</v>
      </c>
      <c r="T44" s="12">
        <f t="shared" si="1"/>
        <v>150</v>
      </c>
      <c r="U44" s="13">
        <f t="shared" si="2"/>
        <v>0</v>
      </c>
      <c r="V44" s="14">
        <f t="shared" si="7"/>
        <v>0</v>
      </c>
      <c r="W44" s="15">
        <f t="shared" si="4"/>
        <v>75</v>
      </c>
      <c r="X44" s="15">
        <f t="shared" si="5"/>
        <v>25</v>
      </c>
      <c r="Y44" s="5"/>
      <c r="Z44" s="5">
        <v>1</v>
      </c>
      <c r="AA44" s="5"/>
    </row>
    <row r="45" spans="1:27" ht="15.75" x14ac:dyDescent="0.25">
      <c r="A45" s="1">
        <v>44</v>
      </c>
      <c r="B45" s="2" t="s">
        <v>59</v>
      </c>
      <c r="C45" s="2" t="s">
        <v>60</v>
      </c>
      <c r="D45" s="3" t="s">
        <v>93</v>
      </c>
      <c r="E45" s="4" t="s">
        <v>94</v>
      </c>
      <c r="F45" s="5"/>
      <c r="G45" s="2">
        <v>6</v>
      </c>
      <c r="H45" s="6">
        <v>5</v>
      </c>
      <c r="I45" s="7"/>
      <c r="J45" s="8">
        <v>5</v>
      </c>
      <c r="K45" s="9"/>
      <c r="L45" s="10"/>
      <c r="M45" s="5" t="s">
        <v>26</v>
      </c>
      <c r="N45" s="5"/>
      <c r="O45" s="2">
        <v>1</v>
      </c>
      <c r="P45" s="2">
        <v>13</v>
      </c>
      <c r="Q45" s="5"/>
      <c r="R45" s="5"/>
      <c r="S45" s="11">
        <f t="shared" si="0"/>
        <v>0</v>
      </c>
      <c r="T45" s="12">
        <f t="shared" si="1"/>
        <v>150</v>
      </c>
      <c r="U45" s="13">
        <f t="shared" si="2"/>
        <v>0</v>
      </c>
      <c r="V45" s="14">
        <f t="shared" si="7"/>
        <v>0</v>
      </c>
      <c r="W45" s="15">
        <f t="shared" si="4"/>
        <v>75</v>
      </c>
      <c r="X45" s="15">
        <f t="shared" si="5"/>
        <v>25</v>
      </c>
      <c r="Y45" s="5"/>
      <c r="Z45" s="5">
        <v>1</v>
      </c>
      <c r="AA45" s="5"/>
    </row>
    <row r="46" spans="1:27" ht="15.75" x14ac:dyDescent="0.25">
      <c r="A46" s="1">
        <v>45</v>
      </c>
      <c r="B46" s="2" t="s">
        <v>59</v>
      </c>
      <c r="C46" s="2" t="s">
        <v>60</v>
      </c>
      <c r="D46" s="3" t="s">
        <v>95</v>
      </c>
      <c r="E46" s="4" t="s">
        <v>96</v>
      </c>
      <c r="F46" s="5"/>
      <c r="G46" s="2">
        <v>7</v>
      </c>
      <c r="H46" s="6">
        <v>9</v>
      </c>
      <c r="I46" s="7"/>
      <c r="J46" s="8">
        <f>135/15</f>
        <v>9</v>
      </c>
      <c r="K46" s="9"/>
      <c r="L46" s="10"/>
      <c r="M46" s="5" t="s">
        <v>97</v>
      </c>
      <c r="N46" s="5"/>
      <c r="O46" s="2">
        <v>0</v>
      </c>
      <c r="P46" s="2">
        <v>0</v>
      </c>
      <c r="Q46" s="5"/>
      <c r="R46" s="5"/>
      <c r="S46" s="11">
        <f t="shared" si="0"/>
        <v>0</v>
      </c>
      <c r="T46" s="12">
        <f t="shared" si="1"/>
        <v>405</v>
      </c>
      <c r="U46" s="13">
        <f t="shared" si="2"/>
        <v>0</v>
      </c>
      <c r="V46" s="14">
        <f t="shared" si="7"/>
        <v>0</v>
      </c>
      <c r="W46" s="15">
        <f t="shared" si="4"/>
        <v>135</v>
      </c>
      <c r="X46" s="15">
        <f t="shared" si="5"/>
        <v>45</v>
      </c>
      <c r="Y46" s="5"/>
      <c r="Z46" s="5">
        <v>1</v>
      </c>
      <c r="AA46" s="5"/>
    </row>
    <row r="47" spans="1:27" ht="15.75" x14ac:dyDescent="0.25">
      <c r="A47" s="1">
        <v>46</v>
      </c>
      <c r="B47" s="2" t="s">
        <v>249</v>
      </c>
      <c r="C47" s="2" t="s">
        <v>60</v>
      </c>
      <c r="D47" s="3" t="s">
        <v>98</v>
      </c>
      <c r="E47" s="4" t="s">
        <v>99</v>
      </c>
      <c r="F47" s="5"/>
      <c r="G47" s="2">
        <v>6</v>
      </c>
      <c r="H47" s="6">
        <v>3</v>
      </c>
      <c r="I47" s="7">
        <v>3</v>
      </c>
      <c r="J47" s="8"/>
      <c r="K47" s="9"/>
      <c r="L47" s="10"/>
      <c r="M47" s="5"/>
      <c r="N47" s="5"/>
      <c r="O47" s="2">
        <v>1</v>
      </c>
      <c r="P47" s="2">
        <v>0</v>
      </c>
      <c r="Q47" s="5"/>
      <c r="R47" s="5"/>
      <c r="S47" s="11">
        <f t="shared" si="0"/>
        <v>45</v>
      </c>
      <c r="T47" s="12">
        <f t="shared" si="1"/>
        <v>0</v>
      </c>
      <c r="U47" s="13">
        <f t="shared" si="2"/>
        <v>0</v>
      </c>
      <c r="V47" s="14">
        <f t="shared" si="7"/>
        <v>0</v>
      </c>
      <c r="W47" s="15">
        <f t="shared" si="4"/>
        <v>90</v>
      </c>
      <c r="X47" s="15">
        <f t="shared" si="5"/>
        <v>15</v>
      </c>
      <c r="Y47" s="5"/>
      <c r="Z47" s="5">
        <v>1</v>
      </c>
      <c r="AA47" s="5"/>
    </row>
    <row r="48" spans="1:27" ht="31.5" x14ac:dyDescent="0.25">
      <c r="A48" s="1">
        <v>47</v>
      </c>
      <c r="B48" s="2" t="s">
        <v>249</v>
      </c>
      <c r="C48" s="2" t="s">
        <v>60</v>
      </c>
      <c r="D48" s="3" t="s">
        <v>100</v>
      </c>
      <c r="E48" s="4" t="s">
        <v>101</v>
      </c>
      <c r="F48" s="5"/>
      <c r="G48" s="2">
        <v>5</v>
      </c>
      <c r="H48" s="6">
        <v>3</v>
      </c>
      <c r="I48" s="7">
        <v>3</v>
      </c>
      <c r="J48" s="8"/>
      <c r="K48" s="9"/>
      <c r="L48" s="10"/>
      <c r="M48" s="5"/>
      <c r="N48" s="5"/>
      <c r="O48" s="2">
        <v>1</v>
      </c>
      <c r="P48" s="2">
        <v>0</v>
      </c>
      <c r="Q48" s="5"/>
      <c r="R48" s="5"/>
      <c r="S48" s="11">
        <f t="shared" si="0"/>
        <v>45</v>
      </c>
      <c r="T48" s="12">
        <f t="shared" si="1"/>
        <v>0</v>
      </c>
      <c r="U48" s="13">
        <f t="shared" si="2"/>
        <v>0</v>
      </c>
      <c r="V48" s="14">
        <f t="shared" si="7"/>
        <v>0</v>
      </c>
      <c r="W48" s="15">
        <f t="shared" si="4"/>
        <v>90</v>
      </c>
      <c r="X48" s="15">
        <f t="shared" si="5"/>
        <v>15</v>
      </c>
      <c r="Y48" s="5"/>
      <c r="Z48" s="5">
        <v>1</v>
      </c>
      <c r="AA48" s="5"/>
    </row>
    <row r="49" spans="1:27" ht="15.75" x14ac:dyDescent="0.25">
      <c r="A49" s="1">
        <v>48</v>
      </c>
      <c r="B49" s="2" t="s">
        <v>249</v>
      </c>
      <c r="C49" s="2" t="s">
        <v>60</v>
      </c>
      <c r="D49" s="3" t="s">
        <v>102</v>
      </c>
      <c r="E49" s="4" t="s">
        <v>103</v>
      </c>
      <c r="F49" s="5"/>
      <c r="G49" s="2">
        <v>5</v>
      </c>
      <c r="H49" s="6">
        <v>3</v>
      </c>
      <c r="I49" s="7">
        <v>2</v>
      </c>
      <c r="J49" s="8">
        <v>1</v>
      </c>
      <c r="K49" s="9"/>
      <c r="L49" s="10"/>
      <c r="M49" s="5" t="s">
        <v>26</v>
      </c>
      <c r="N49" s="5"/>
      <c r="O49" s="2">
        <v>1</v>
      </c>
      <c r="P49" s="2">
        <v>0</v>
      </c>
      <c r="Q49" s="5"/>
      <c r="R49" s="5"/>
      <c r="S49" s="11">
        <f t="shared" si="0"/>
        <v>30</v>
      </c>
      <c r="T49" s="12">
        <f t="shared" si="1"/>
        <v>30</v>
      </c>
      <c r="U49" s="13">
        <f t="shared" si="2"/>
        <v>0</v>
      </c>
      <c r="V49" s="14">
        <f t="shared" si="7"/>
        <v>0</v>
      </c>
      <c r="W49" s="15">
        <f t="shared" si="4"/>
        <v>75</v>
      </c>
      <c r="X49" s="15">
        <f t="shared" si="5"/>
        <v>15</v>
      </c>
      <c r="Y49" s="5"/>
      <c r="Z49" s="5">
        <v>1</v>
      </c>
      <c r="AA49" s="5"/>
    </row>
    <row r="50" spans="1:27" ht="15.75" x14ac:dyDescent="0.25">
      <c r="A50" s="1">
        <v>49</v>
      </c>
      <c r="B50" s="2" t="s">
        <v>104</v>
      </c>
      <c r="C50" s="2" t="s">
        <v>105</v>
      </c>
      <c r="D50" s="3" t="s">
        <v>106</v>
      </c>
      <c r="E50" s="4" t="s">
        <v>105</v>
      </c>
      <c r="F50" s="5"/>
      <c r="G50" s="2">
        <v>7</v>
      </c>
      <c r="H50" s="6">
        <v>8</v>
      </c>
      <c r="I50" s="7"/>
      <c r="J50" s="8"/>
      <c r="K50" s="9"/>
      <c r="L50" s="10">
        <v>8</v>
      </c>
      <c r="M50" s="5" t="s">
        <v>97</v>
      </c>
      <c r="N50" s="5"/>
      <c r="O50" s="2">
        <v>0</v>
      </c>
      <c r="P50" s="2">
        <v>0</v>
      </c>
      <c r="Q50" s="5"/>
      <c r="R50" s="5"/>
      <c r="S50" s="11">
        <f t="shared" si="0"/>
        <v>0</v>
      </c>
      <c r="T50" s="12">
        <f t="shared" si="1"/>
        <v>0</v>
      </c>
      <c r="U50" s="13">
        <f t="shared" si="2"/>
        <v>0</v>
      </c>
      <c r="V50" s="14">
        <f t="shared" si="7"/>
        <v>360</v>
      </c>
      <c r="W50" s="15">
        <f t="shared" si="4"/>
        <v>360</v>
      </c>
      <c r="X50" s="15">
        <f t="shared" si="5"/>
        <v>40</v>
      </c>
      <c r="Y50" s="5"/>
      <c r="Z50" s="5">
        <v>1</v>
      </c>
      <c r="AA50" s="5"/>
    </row>
    <row r="51" spans="1:27" ht="15.75" x14ac:dyDescent="0.25">
      <c r="A51" s="1">
        <v>50</v>
      </c>
      <c r="B51" s="2" t="s">
        <v>104</v>
      </c>
      <c r="C51" s="2" t="s">
        <v>107</v>
      </c>
      <c r="D51" s="3" t="s">
        <v>108</v>
      </c>
      <c r="E51" s="4" t="s">
        <v>109</v>
      </c>
      <c r="F51" s="5"/>
      <c r="G51" s="2">
        <v>8</v>
      </c>
      <c r="H51" s="6">
        <v>7</v>
      </c>
      <c r="I51" s="7"/>
      <c r="J51" s="8"/>
      <c r="K51" s="9"/>
      <c r="L51" s="10">
        <v>7</v>
      </c>
      <c r="M51" s="5"/>
      <c r="N51" s="5"/>
      <c r="O51" s="2">
        <v>0</v>
      </c>
      <c r="P51" s="2">
        <v>0</v>
      </c>
      <c r="Q51" s="5"/>
      <c r="R51" s="5"/>
      <c r="S51" s="11">
        <f t="shared" si="0"/>
        <v>0</v>
      </c>
      <c r="T51" s="12">
        <f t="shared" si="1"/>
        <v>0</v>
      </c>
      <c r="U51" s="13">
        <f t="shared" si="2"/>
        <v>0</v>
      </c>
      <c r="V51" s="14">
        <f t="shared" si="7"/>
        <v>315</v>
      </c>
      <c r="W51" s="15">
        <f t="shared" si="4"/>
        <v>315</v>
      </c>
      <c r="X51" s="15">
        <f t="shared" si="5"/>
        <v>35</v>
      </c>
      <c r="Y51" s="5"/>
      <c r="Z51" s="5">
        <v>1</v>
      </c>
      <c r="AA51" s="5"/>
    </row>
  </sheetData>
  <dataValidations count="5">
    <dataValidation type="list" allowBlank="1" showErrorMessage="1" sqref="Y2:Y51" xr:uid="{00000000-0002-0000-0000-000000000000}">
      <formula1>#REF!</formula1>
    </dataValidation>
    <dataValidation type="list" allowBlank="1" showErrorMessage="1" sqref="Z2:Z51" xr:uid="{00000000-0002-0000-0000-000001000000}">
      <formula1>"1,0"</formula1>
    </dataValidation>
    <dataValidation type="list" allowBlank="1" showErrorMessage="1" sqref="R2:R51" xr:uid="{00000000-0002-0000-0000-000002000000}">
      <formula1>"Tiên quyết (c),Học trước (d),Song hành (e)"</formula1>
    </dataValidation>
    <dataValidation type="list" allowBlank="1" showErrorMessage="1" sqref="N2:N51" xr:uid="{00000000-0002-0000-0000-000003000000}">
      <formula1>"Nhóm 1,Nhóm 2,Nhóm 3,Nhóm 4"</formula1>
    </dataValidation>
    <dataValidation type="list" allowBlank="1" showErrorMessage="1" sqref="M2:M51" xr:uid="{00000000-0002-0000-0000-000004000000}">
      <formula1>"T,N"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56"/>
  <sheetViews>
    <sheetView topLeftCell="A7" workbookViewId="0">
      <selection activeCell="I2" sqref="A2:XFD4"/>
    </sheetView>
  </sheetViews>
  <sheetFormatPr defaultColWidth="14.42578125" defaultRowHeight="15" customHeight="1" x14ac:dyDescent="0.25"/>
  <cols>
    <col min="1" max="1" width="5.140625" customWidth="1"/>
    <col min="2" max="2" width="17.5703125" customWidth="1"/>
    <col min="3" max="3" width="30" customWidth="1"/>
    <col min="4" max="4" width="12.85546875" customWidth="1"/>
    <col min="5" max="5" width="29.5703125" customWidth="1"/>
    <col min="7" max="7" width="7.42578125" customWidth="1"/>
    <col min="8" max="8" width="9.7109375" customWidth="1"/>
    <col min="26" max="26" width="16.5703125" customWidth="1"/>
  </cols>
  <sheetData>
    <row r="1" spans="1:27" ht="15" customHeight="1" x14ac:dyDescent="0.25">
      <c r="A1" t="s">
        <v>250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  <c r="N1" t="s">
        <v>263</v>
      </c>
      <c r="O1" t="s">
        <v>264</v>
      </c>
      <c r="P1" t="s">
        <v>265</v>
      </c>
      <c r="Q1" t="s">
        <v>266</v>
      </c>
      <c r="R1" t="s">
        <v>267</v>
      </c>
      <c r="S1" t="s">
        <v>268</v>
      </c>
      <c r="T1" t="s">
        <v>269</v>
      </c>
      <c r="U1" t="s">
        <v>270</v>
      </c>
      <c r="V1" t="s">
        <v>271</v>
      </c>
      <c r="W1" t="s">
        <v>272</v>
      </c>
      <c r="X1" t="s">
        <v>273</v>
      </c>
      <c r="Y1" t="s">
        <v>274</v>
      </c>
      <c r="Z1" t="s">
        <v>275</v>
      </c>
      <c r="AA1" t="s">
        <v>276</v>
      </c>
    </row>
    <row r="2" spans="1:27" ht="31.5" x14ac:dyDescent="0.25">
      <c r="A2" s="1">
        <v>1</v>
      </c>
      <c r="B2" s="2" t="s">
        <v>0</v>
      </c>
      <c r="C2" s="2" t="s">
        <v>1</v>
      </c>
      <c r="D2" s="3" t="s">
        <v>2</v>
      </c>
      <c r="E2" s="4" t="s">
        <v>3</v>
      </c>
      <c r="F2" s="5"/>
      <c r="G2" s="2">
        <v>2</v>
      </c>
      <c r="H2" s="6">
        <v>3</v>
      </c>
      <c r="I2" s="16">
        <v>3</v>
      </c>
      <c r="J2" s="17"/>
      <c r="K2" s="9"/>
      <c r="L2" s="10"/>
      <c r="M2" s="5"/>
      <c r="N2" s="5"/>
      <c r="O2" s="2">
        <v>0</v>
      </c>
      <c r="P2" s="2">
        <v>0</v>
      </c>
      <c r="Q2" s="5"/>
      <c r="R2" s="5"/>
      <c r="S2" s="11">
        <f t="shared" ref="S2:S56" si="0">I2*15</f>
        <v>45</v>
      </c>
      <c r="T2" s="12">
        <f t="shared" ref="T2:T56" si="1">IF(J2="",0,IF(M2="T",J2*15*2,IF(M2="N",J2*15*3,"fail")))</f>
        <v>0</v>
      </c>
      <c r="U2" s="13">
        <f t="shared" ref="U2:U56" si="2">K2*15</f>
        <v>0</v>
      </c>
      <c r="V2" s="14">
        <f t="shared" ref="V2:V4" si="3">IF(L2="",0,IF(M2="T",L2*15*2,IF(M2="N",L2*15*3,"fail")))</f>
        <v>0</v>
      </c>
      <c r="W2" s="15">
        <f t="shared" ref="W2:W56" si="4">(I2*2+J2+K2*3+L2*3)*15</f>
        <v>90</v>
      </c>
      <c r="X2" s="15">
        <f t="shared" ref="X2:X56" si="5">H2*5</f>
        <v>15</v>
      </c>
      <c r="Y2" s="5"/>
      <c r="Z2" s="5">
        <v>1</v>
      </c>
      <c r="AA2" s="5"/>
    </row>
    <row r="3" spans="1:27" ht="31.5" x14ac:dyDescent="0.25">
      <c r="A3" s="1">
        <v>2</v>
      </c>
      <c r="B3" s="2" t="s">
        <v>0</v>
      </c>
      <c r="C3" s="2" t="s">
        <v>1</v>
      </c>
      <c r="D3" s="3" t="s">
        <v>110</v>
      </c>
      <c r="E3" s="4" t="s">
        <v>111</v>
      </c>
      <c r="F3" s="5"/>
      <c r="G3" s="2">
        <v>3</v>
      </c>
      <c r="H3" s="6">
        <v>2</v>
      </c>
      <c r="I3" s="16">
        <v>2</v>
      </c>
      <c r="J3" s="17"/>
      <c r="K3" s="9"/>
      <c r="L3" s="10"/>
      <c r="M3" s="5"/>
      <c r="N3" s="5"/>
      <c r="O3" s="2">
        <v>0</v>
      </c>
      <c r="P3" s="2">
        <v>0</v>
      </c>
      <c r="Q3" s="3" t="s">
        <v>2</v>
      </c>
      <c r="R3" s="5" t="s">
        <v>112</v>
      </c>
      <c r="S3" s="11">
        <f t="shared" si="0"/>
        <v>30</v>
      </c>
      <c r="T3" s="12">
        <f t="shared" si="1"/>
        <v>0</v>
      </c>
      <c r="U3" s="13">
        <f t="shared" si="2"/>
        <v>0</v>
      </c>
      <c r="V3" s="14">
        <f t="shared" si="3"/>
        <v>0</v>
      </c>
      <c r="W3" s="15">
        <f t="shared" si="4"/>
        <v>60</v>
      </c>
      <c r="X3" s="15">
        <f t="shared" si="5"/>
        <v>10</v>
      </c>
      <c r="Y3" s="5"/>
      <c r="Z3" s="5">
        <v>1</v>
      </c>
      <c r="AA3" s="5"/>
    </row>
    <row r="4" spans="1:27" ht="31.5" x14ac:dyDescent="0.25">
      <c r="A4" s="1">
        <v>3</v>
      </c>
      <c r="B4" s="2" t="s">
        <v>0</v>
      </c>
      <c r="C4" s="2" t="s">
        <v>1</v>
      </c>
      <c r="D4" s="3" t="s">
        <v>113</v>
      </c>
      <c r="E4" s="4" t="s">
        <v>5</v>
      </c>
      <c r="F4" s="5"/>
      <c r="G4" s="2">
        <v>3</v>
      </c>
      <c r="H4" s="6">
        <v>2</v>
      </c>
      <c r="I4" s="16">
        <v>2</v>
      </c>
      <c r="J4" s="17"/>
      <c r="K4" s="9"/>
      <c r="L4" s="10"/>
      <c r="M4" s="5"/>
      <c r="N4" s="5"/>
      <c r="O4" s="2">
        <v>0</v>
      </c>
      <c r="P4" s="2">
        <v>0</v>
      </c>
      <c r="Q4" s="3"/>
      <c r="R4" s="5"/>
      <c r="S4" s="11">
        <f t="shared" si="0"/>
        <v>30</v>
      </c>
      <c r="T4" s="12">
        <f t="shared" si="1"/>
        <v>0</v>
      </c>
      <c r="U4" s="13">
        <f t="shared" si="2"/>
        <v>0</v>
      </c>
      <c r="V4" s="14">
        <f t="shared" si="3"/>
        <v>0</v>
      </c>
      <c r="W4" s="15">
        <f t="shared" si="4"/>
        <v>60</v>
      </c>
      <c r="X4" s="15">
        <f t="shared" si="5"/>
        <v>10</v>
      </c>
      <c r="Y4" s="5"/>
      <c r="Z4" s="5">
        <v>1</v>
      </c>
      <c r="AA4" s="5"/>
    </row>
    <row r="5" spans="1:27" ht="31.5" x14ac:dyDescent="0.25">
      <c r="A5" s="1">
        <v>4</v>
      </c>
      <c r="B5" s="2" t="s">
        <v>0</v>
      </c>
      <c r="C5" s="2" t="s">
        <v>1</v>
      </c>
      <c r="D5" s="3" t="s">
        <v>114</v>
      </c>
      <c r="E5" s="4" t="s">
        <v>115</v>
      </c>
      <c r="F5" s="5"/>
      <c r="G5" s="2">
        <v>5</v>
      </c>
      <c r="H5" s="6">
        <v>2</v>
      </c>
      <c r="I5" s="16">
        <v>2</v>
      </c>
      <c r="J5" s="17"/>
      <c r="K5" s="9"/>
      <c r="L5" s="10"/>
      <c r="M5" s="5"/>
      <c r="N5" s="5"/>
      <c r="O5" s="2">
        <v>0</v>
      </c>
      <c r="P5" s="2">
        <v>0</v>
      </c>
      <c r="Q5" s="5"/>
      <c r="R5" s="5"/>
      <c r="S5" s="11">
        <f t="shared" si="0"/>
        <v>30</v>
      </c>
      <c r="T5" s="12">
        <f t="shared" si="1"/>
        <v>0</v>
      </c>
      <c r="U5" s="13">
        <f t="shared" si="2"/>
        <v>0</v>
      </c>
      <c r="V5" s="14">
        <f t="shared" ref="V5:V56" si="6">IF(L5="",0,IF(M5="T",L5*15*2,L5*15*3))</f>
        <v>0</v>
      </c>
      <c r="W5" s="15">
        <f t="shared" si="4"/>
        <v>60</v>
      </c>
      <c r="X5" s="15">
        <f t="shared" si="5"/>
        <v>10</v>
      </c>
      <c r="Y5" s="5"/>
      <c r="Z5" s="5">
        <v>1</v>
      </c>
      <c r="AA5" s="5"/>
    </row>
    <row r="6" spans="1:27" ht="31.5" x14ac:dyDescent="0.25">
      <c r="A6" s="1">
        <v>5</v>
      </c>
      <c r="B6" s="2" t="s">
        <v>0</v>
      </c>
      <c r="C6" s="2" t="s">
        <v>1</v>
      </c>
      <c r="D6" s="3" t="s">
        <v>10</v>
      </c>
      <c r="E6" s="4" t="s">
        <v>11</v>
      </c>
      <c r="F6" s="5"/>
      <c r="G6" s="2">
        <v>4</v>
      </c>
      <c r="H6" s="6">
        <v>2</v>
      </c>
      <c r="I6" s="16">
        <v>2</v>
      </c>
      <c r="J6" s="17"/>
      <c r="K6" s="9"/>
      <c r="L6" s="10"/>
      <c r="M6" s="5"/>
      <c r="N6" s="5"/>
      <c r="O6" s="2">
        <v>0</v>
      </c>
      <c r="P6" s="2">
        <v>0</v>
      </c>
      <c r="Q6" s="5"/>
      <c r="R6" s="5"/>
      <c r="S6" s="11">
        <f t="shared" si="0"/>
        <v>30</v>
      </c>
      <c r="T6" s="12">
        <f t="shared" si="1"/>
        <v>0</v>
      </c>
      <c r="U6" s="13">
        <f t="shared" si="2"/>
        <v>0</v>
      </c>
      <c r="V6" s="14">
        <f t="shared" si="6"/>
        <v>0</v>
      </c>
      <c r="W6" s="15">
        <f t="shared" si="4"/>
        <v>60</v>
      </c>
      <c r="X6" s="15">
        <f t="shared" si="5"/>
        <v>10</v>
      </c>
      <c r="Y6" s="5"/>
      <c r="Z6" s="5">
        <v>1</v>
      </c>
      <c r="AA6" s="5"/>
    </row>
    <row r="7" spans="1:27" ht="31.5" x14ac:dyDescent="0.25">
      <c r="A7" s="1">
        <v>6</v>
      </c>
      <c r="B7" s="2" t="s">
        <v>0</v>
      </c>
      <c r="C7" s="2" t="s">
        <v>1</v>
      </c>
      <c r="D7" s="3" t="s">
        <v>116</v>
      </c>
      <c r="E7" s="4" t="s">
        <v>117</v>
      </c>
      <c r="F7" s="5"/>
      <c r="G7" s="2">
        <v>1</v>
      </c>
      <c r="H7" s="6">
        <v>2</v>
      </c>
      <c r="I7" s="16">
        <v>2</v>
      </c>
      <c r="J7" s="17"/>
      <c r="K7" s="9"/>
      <c r="L7" s="10"/>
      <c r="M7" s="5"/>
      <c r="N7" s="5"/>
      <c r="O7" s="2">
        <v>1</v>
      </c>
      <c r="P7" s="2">
        <v>7</v>
      </c>
      <c r="Q7" s="5"/>
      <c r="R7" s="5"/>
      <c r="S7" s="11">
        <f t="shared" si="0"/>
        <v>30</v>
      </c>
      <c r="T7" s="12">
        <f t="shared" si="1"/>
        <v>0</v>
      </c>
      <c r="U7" s="13">
        <f t="shared" si="2"/>
        <v>0</v>
      </c>
      <c r="V7" s="14">
        <f t="shared" si="6"/>
        <v>0</v>
      </c>
      <c r="W7" s="15">
        <f t="shared" si="4"/>
        <v>60</v>
      </c>
      <c r="X7" s="15">
        <f t="shared" si="5"/>
        <v>10</v>
      </c>
      <c r="Y7" s="5"/>
      <c r="Z7" s="5">
        <v>1</v>
      </c>
      <c r="AA7" s="5"/>
    </row>
    <row r="8" spans="1:27" ht="31.5" x14ac:dyDescent="0.25">
      <c r="A8" s="1">
        <v>7</v>
      </c>
      <c r="B8" s="2" t="s">
        <v>0</v>
      </c>
      <c r="C8" s="2" t="s">
        <v>1</v>
      </c>
      <c r="D8" s="3" t="s">
        <v>118</v>
      </c>
      <c r="E8" s="4" t="s">
        <v>119</v>
      </c>
      <c r="F8" s="5"/>
      <c r="G8" s="2">
        <v>1</v>
      </c>
      <c r="H8" s="6">
        <v>2</v>
      </c>
      <c r="I8" s="16">
        <v>2</v>
      </c>
      <c r="J8" s="17"/>
      <c r="K8" s="9"/>
      <c r="L8" s="10"/>
      <c r="M8" s="5"/>
      <c r="N8" s="5"/>
      <c r="O8" s="2">
        <v>1</v>
      </c>
      <c r="P8" s="2">
        <v>4</v>
      </c>
      <c r="Q8" s="5"/>
      <c r="R8" s="5"/>
      <c r="S8" s="11">
        <f t="shared" si="0"/>
        <v>30</v>
      </c>
      <c r="T8" s="12">
        <f t="shared" si="1"/>
        <v>0</v>
      </c>
      <c r="U8" s="13">
        <f t="shared" si="2"/>
        <v>0</v>
      </c>
      <c r="V8" s="14">
        <f t="shared" si="6"/>
        <v>0</v>
      </c>
      <c r="W8" s="15">
        <f t="shared" si="4"/>
        <v>60</v>
      </c>
      <c r="X8" s="15">
        <f t="shared" si="5"/>
        <v>10</v>
      </c>
      <c r="Y8" s="5"/>
      <c r="Z8" s="5">
        <v>1</v>
      </c>
      <c r="AA8" s="5"/>
    </row>
    <row r="9" spans="1:27" ht="31.5" x14ac:dyDescent="0.25">
      <c r="A9" s="1">
        <v>8</v>
      </c>
      <c r="B9" s="2" t="s">
        <v>0</v>
      </c>
      <c r="C9" s="2" t="s">
        <v>1</v>
      </c>
      <c r="D9" s="3" t="s">
        <v>120</v>
      </c>
      <c r="E9" s="4" t="s">
        <v>17</v>
      </c>
      <c r="F9" s="5"/>
      <c r="G9" s="2">
        <v>1</v>
      </c>
      <c r="H9" s="6">
        <v>3</v>
      </c>
      <c r="I9" s="16">
        <v>3</v>
      </c>
      <c r="J9" s="17"/>
      <c r="K9" s="9"/>
      <c r="L9" s="10"/>
      <c r="M9" s="5"/>
      <c r="N9" s="5"/>
      <c r="O9" s="2">
        <v>1</v>
      </c>
      <c r="P9" s="2">
        <v>14</v>
      </c>
      <c r="Q9" s="5"/>
      <c r="R9" s="5"/>
      <c r="S9" s="11">
        <f t="shared" si="0"/>
        <v>45</v>
      </c>
      <c r="T9" s="12">
        <f t="shared" si="1"/>
        <v>0</v>
      </c>
      <c r="U9" s="13">
        <f t="shared" si="2"/>
        <v>0</v>
      </c>
      <c r="V9" s="14">
        <f t="shared" si="6"/>
        <v>0</v>
      </c>
      <c r="W9" s="15">
        <f t="shared" si="4"/>
        <v>90</v>
      </c>
      <c r="X9" s="15">
        <f t="shared" si="5"/>
        <v>15</v>
      </c>
      <c r="Y9" s="5"/>
      <c r="Z9" s="5">
        <v>1</v>
      </c>
      <c r="AA9" s="5"/>
    </row>
    <row r="10" spans="1:27" ht="31.5" x14ac:dyDescent="0.25">
      <c r="A10" s="1">
        <v>9</v>
      </c>
      <c r="B10" s="2" t="s">
        <v>0</v>
      </c>
      <c r="C10" s="2" t="s">
        <v>1</v>
      </c>
      <c r="D10" s="3" t="s">
        <v>18</v>
      </c>
      <c r="E10" s="4" t="s">
        <v>19</v>
      </c>
      <c r="F10" s="5"/>
      <c r="G10" s="2">
        <v>2</v>
      </c>
      <c r="H10" s="6">
        <v>3</v>
      </c>
      <c r="I10" s="16">
        <v>3</v>
      </c>
      <c r="J10" s="17"/>
      <c r="K10" s="9"/>
      <c r="L10" s="10"/>
      <c r="M10" s="5"/>
      <c r="N10" s="5"/>
      <c r="O10" s="2">
        <v>1</v>
      </c>
      <c r="P10" s="2">
        <v>15</v>
      </c>
      <c r="Q10" s="3" t="s">
        <v>120</v>
      </c>
      <c r="R10" s="5" t="s">
        <v>112</v>
      </c>
      <c r="S10" s="11">
        <f t="shared" si="0"/>
        <v>45</v>
      </c>
      <c r="T10" s="12">
        <f t="shared" si="1"/>
        <v>0</v>
      </c>
      <c r="U10" s="13">
        <f t="shared" si="2"/>
        <v>0</v>
      </c>
      <c r="V10" s="14">
        <f t="shared" si="6"/>
        <v>0</v>
      </c>
      <c r="W10" s="15">
        <f t="shared" si="4"/>
        <v>90</v>
      </c>
      <c r="X10" s="15">
        <f t="shared" si="5"/>
        <v>15</v>
      </c>
      <c r="Y10" s="5"/>
      <c r="Z10" s="5">
        <v>1</v>
      </c>
      <c r="AA10" s="5"/>
    </row>
    <row r="11" spans="1:27" ht="31.5" x14ac:dyDescent="0.25">
      <c r="A11" s="1">
        <v>10</v>
      </c>
      <c r="B11" s="2" t="s">
        <v>0</v>
      </c>
      <c r="C11" s="2" t="s">
        <v>1</v>
      </c>
      <c r="D11" s="3" t="s">
        <v>121</v>
      </c>
      <c r="E11" s="4" t="s">
        <v>21</v>
      </c>
      <c r="F11" s="5"/>
      <c r="G11" s="2">
        <v>3</v>
      </c>
      <c r="H11" s="6">
        <v>3</v>
      </c>
      <c r="I11" s="16">
        <v>3</v>
      </c>
      <c r="J11" s="17"/>
      <c r="K11" s="9"/>
      <c r="L11" s="10"/>
      <c r="M11" s="5"/>
      <c r="N11" s="5"/>
      <c r="O11" s="2">
        <v>1</v>
      </c>
      <c r="P11" s="2">
        <v>16</v>
      </c>
      <c r="Q11" s="3" t="s">
        <v>18</v>
      </c>
      <c r="R11" s="5" t="s">
        <v>112</v>
      </c>
      <c r="S11" s="11">
        <f t="shared" si="0"/>
        <v>45</v>
      </c>
      <c r="T11" s="12">
        <f t="shared" si="1"/>
        <v>0</v>
      </c>
      <c r="U11" s="13">
        <f t="shared" si="2"/>
        <v>0</v>
      </c>
      <c r="V11" s="14">
        <f t="shared" si="6"/>
        <v>0</v>
      </c>
      <c r="W11" s="15">
        <f t="shared" si="4"/>
        <v>90</v>
      </c>
      <c r="X11" s="15">
        <f t="shared" si="5"/>
        <v>15</v>
      </c>
      <c r="Y11" s="5"/>
      <c r="Z11" s="5">
        <v>1</v>
      </c>
      <c r="AA11" s="5"/>
    </row>
    <row r="12" spans="1:27" ht="31.5" x14ac:dyDescent="0.25">
      <c r="A12" s="1">
        <v>11</v>
      </c>
      <c r="B12" s="2" t="s">
        <v>0</v>
      </c>
      <c r="C12" s="2" t="s">
        <v>1</v>
      </c>
      <c r="D12" s="3" t="s">
        <v>122</v>
      </c>
      <c r="E12" s="4" t="s">
        <v>123</v>
      </c>
      <c r="F12" s="5"/>
      <c r="G12" s="2">
        <v>1</v>
      </c>
      <c r="H12" s="6">
        <v>3</v>
      </c>
      <c r="I12" s="16">
        <v>2</v>
      </c>
      <c r="J12" s="17">
        <v>1</v>
      </c>
      <c r="K12" s="9"/>
      <c r="L12" s="10"/>
      <c r="M12" s="5" t="s">
        <v>26</v>
      </c>
      <c r="N12" s="5"/>
      <c r="O12" s="2">
        <v>1</v>
      </c>
      <c r="P12" s="2">
        <v>17</v>
      </c>
      <c r="Q12" s="5"/>
      <c r="R12" s="5"/>
      <c r="S12" s="11">
        <f t="shared" si="0"/>
        <v>30</v>
      </c>
      <c r="T12" s="12">
        <f t="shared" si="1"/>
        <v>30</v>
      </c>
      <c r="U12" s="13">
        <f t="shared" si="2"/>
        <v>0</v>
      </c>
      <c r="V12" s="14">
        <f t="shared" si="6"/>
        <v>0</v>
      </c>
      <c r="W12" s="15">
        <f t="shared" si="4"/>
        <v>75</v>
      </c>
      <c r="X12" s="15">
        <f t="shared" si="5"/>
        <v>15</v>
      </c>
      <c r="Y12" s="5"/>
      <c r="Z12" s="5">
        <v>1</v>
      </c>
      <c r="AA12" s="5"/>
    </row>
    <row r="13" spans="1:27" ht="31.5" x14ac:dyDescent="0.25">
      <c r="A13" s="1">
        <v>12</v>
      </c>
      <c r="B13" s="2" t="s">
        <v>0</v>
      </c>
      <c r="C13" s="2" t="s">
        <v>1</v>
      </c>
      <c r="D13" s="3" t="s">
        <v>27</v>
      </c>
      <c r="E13" s="4" t="s">
        <v>28</v>
      </c>
      <c r="F13" s="5"/>
      <c r="G13" s="2">
        <v>2</v>
      </c>
      <c r="H13" s="6">
        <v>2</v>
      </c>
      <c r="I13" s="16">
        <v>2</v>
      </c>
      <c r="J13" s="17"/>
      <c r="K13" s="9"/>
      <c r="L13" s="10"/>
      <c r="M13" s="5"/>
      <c r="N13" s="5"/>
      <c r="O13" s="2">
        <v>1</v>
      </c>
      <c r="P13" s="2">
        <v>12</v>
      </c>
      <c r="Q13" s="5"/>
      <c r="R13" s="5"/>
      <c r="S13" s="11">
        <f t="shared" si="0"/>
        <v>30</v>
      </c>
      <c r="T13" s="12">
        <f t="shared" si="1"/>
        <v>0</v>
      </c>
      <c r="U13" s="13">
        <f t="shared" si="2"/>
        <v>0</v>
      </c>
      <c r="V13" s="14">
        <f t="shared" si="6"/>
        <v>0</v>
      </c>
      <c r="W13" s="15">
        <f t="shared" si="4"/>
        <v>60</v>
      </c>
      <c r="X13" s="15">
        <f t="shared" si="5"/>
        <v>10</v>
      </c>
      <c r="Y13" s="5"/>
      <c r="Z13" s="5">
        <v>1</v>
      </c>
      <c r="AA13" s="5"/>
    </row>
    <row r="14" spans="1:27" ht="31.5" x14ac:dyDescent="0.25">
      <c r="A14" s="1">
        <v>13</v>
      </c>
      <c r="B14" s="2" t="s">
        <v>0</v>
      </c>
      <c r="C14" s="2" t="s">
        <v>1</v>
      </c>
      <c r="D14" s="3" t="s">
        <v>31</v>
      </c>
      <c r="E14" s="4" t="s">
        <v>32</v>
      </c>
      <c r="F14" s="5"/>
      <c r="G14" s="2">
        <v>2</v>
      </c>
      <c r="H14" s="6">
        <v>3</v>
      </c>
      <c r="I14" s="16">
        <v>3</v>
      </c>
      <c r="J14" s="17"/>
      <c r="K14" s="9"/>
      <c r="L14" s="10"/>
      <c r="M14" s="5"/>
      <c r="N14" s="5"/>
      <c r="O14" s="2">
        <v>1</v>
      </c>
      <c r="P14" s="2">
        <v>18</v>
      </c>
      <c r="Q14" s="5"/>
      <c r="R14" s="5"/>
      <c r="S14" s="11">
        <f t="shared" si="0"/>
        <v>45</v>
      </c>
      <c r="T14" s="12">
        <f t="shared" si="1"/>
        <v>0</v>
      </c>
      <c r="U14" s="13">
        <f t="shared" si="2"/>
        <v>0</v>
      </c>
      <c r="V14" s="14">
        <f t="shared" si="6"/>
        <v>0</v>
      </c>
      <c r="W14" s="15">
        <f t="shared" si="4"/>
        <v>90</v>
      </c>
      <c r="X14" s="15">
        <f t="shared" si="5"/>
        <v>15</v>
      </c>
      <c r="Y14" s="5"/>
      <c r="Z14" s="5">
        <v>1</v>
      </c>
      <c r="AA14" s="5"/>
    </row>
    <row r="15" spans="1:27" ht="31.5" x14ac:dyDescent="0.25">
      <c r="A15" s="1">
        <v>14</v>
      </c>
      <c r="B15" s="2" t="s">
        <v>0</v>
      </c>
      <c r="C15" s="2" t="s">
        <v>1</v>
      </c>
      <c r="D15" s="3" t="s">
        <v>33</v>
      </c>
      <c r="E15" s="4" t="s">
        <v>34</v>
      </c>
      <c r="F15" s="5"/>
      <c r="G15" s="2">
        <v>6</v>
      </c>
      <c r="H15" s="6">
        <v>3</v>
      </c>
      <c r="I15" s="16">
        <v>1</v>
      </c>
      <c r="J15" s="17">
        <v>2</v>
      </c>
      <c r="K15" s="9"/>
      <c r="L15" s="10"/>
      <c r="M15" s="5" t="s">
        <v>26</v>
      </c>
      <c r="N15" s="5"/>
      <c r="O15" s="2">
        <v>1</v>
      </c>
      <c r="P15" s="2">
        <v>22</v>
      </c>
      <c r="Q15" s="5"/>
      <c r="R15" s="5"/>
      <c r="S15" s="11">
        <f t="shared" si="0"/>
        <v>15</v>
      </c>
      <c r="T15" s="12">
        <f t="shared" si="1"/>
        <v>60</v>
      </c>
      <c r="U15" s="13">
        <f t="shared" si="2"/>
        <v>0</v>
      </c>
      <c r="V15" s="14">
        <f t="shared" si="6"/>
        <v>0</v>
      </c>
      <c r="W15" s="15">
        <f t="shared" si="4"/>
        <v>60</v>
      </c>
      <c r="X15" s="15">
        <f t="shared" si="5"/>
        <v>15</v>
      </c>
      <c r="Y15" s="5"/>
      <c r="Z15" s="5">
        <v>0</v>
      </c>
      <c r="AA15" s="5"/>
    </row>
    <row r="16" spans="1:27" ht="31.5" x14ac:dyDescent="0.25">
      <c r="A16" s="1">
        <v>15</v>
      </c>
      <c r="B16" s="2" t="s">
        <v>0</v>
      </c>
      <c r="C16" s="2" t="s">
        <v>1</v>
      </c>
      <c r="D16" s="3" t="s">
        <v>35</v>
      </c>
      <c r="E16" s="4" t="s">
        <v>36</v>
      </c>
      <c r="F16" s="5"/>
      <c r="G16" s="2">
        <v>4</v>
      </c>
      <c r="H16" s="6">
        <v>8</v>
      </c>
      <c r="I16" s="16"/>
      <c r="J16" s="17"/>
      <c r="K16" s="9"/>
      <c r="L16" s="10"/>
      <c r="M16" s="5"/>
      <c r="N16" s="5"/>
      <c r="O16" s="2">
        <v>0</v>
      </c>
      <c r="P16" s="2">
        <v>0</v>
      </c>
      <c r="Q16" s="5"/>
      <c r="R16" s="5"/>
      <c r="S16" s="11">
        <f t="shared" si="0"/>
        <v>0</v>
      </c>
      <c r="T16" s="12">
        <f t="shared" si="1"/>
        <v>0</v>
      </c>
      <c r="U16" s="13">
        <f t="shared" si="2"/>
        <v>0</v>
      </c>
      <c r="V16" s="14">
        <f t="shared" si="6"/>
        <v>0</v>
      </c>
      <c r="W16" s="15">
        <f t="shared" si="4"/>
        <v>0</v>
      </c>
      <c r="X16" s="15">
        <f t="shared" si="5"/>
        <v>40</v>
      </c>
      <c r="Y16" s="5"/>
      <c r="Z16" s="5">
        <v>0</v>
      </c>
      <c r="AA16" s="5"/>
    </row>
    <row r="17" spans="1:27" ht="15.75" x14ac:dyDescent="0.25">
      <c r="A17" s="1">
        <v>16</v>
      </c>
      <c r="B17" s="2" t="s">
        <v>37</v>
      </c>
      <c r="C17" s="2" t="s">
        <v>38</v>
      </c>
      <c r="D17" s="3" t="s">
        <v>124</v>
      </c>
      <c r="E17" s="4" t="s">
        <v>125</v>
      </c>
      <c r="F17" s="5"/>
      <c r="G17" s="2">
        <v>1</v>
      </c>
      <c r="H17" s="6">
        <v>1</v>
      </c>
      <c r="I17" s="16">
        <v>1</v>
      </c>
      <c r="J17" s="17"/>
      <c r="K17" s="9"/>
      <c r="L17" s="10"/>
      <c r="M17" s="5"/>
      <c r="N17" s="5"/>
      <c r="O17" s="2">
        <v>0</v>
      </c>
      <c r="P17" s="2">
        <v>0</v>
      </c>
      <c r="Q17" s="5"/>
      <c r="R17" s="5"/>
      <c r="S17" s="11">
        <f t="shared" si="0"/>
        <v>15</v>
      </c>
      <c r="T17" s="12">
        <f t="shared" si="1"/>
        <v>0</v>
      </c>
      <c r="U17" s="13">
        <f t="shared" si="2"/>
        <v>0</v>
      </c>
      <c r="V17" s="14">
        <f t="shared" si="6"/>
        <v>0</v>
      </c>
      <c r="W17" s="15">
        <f t="shared" si="4"/>
        <v>30</v>
      </c>
      <c r="X17" s="15">
        <f t="shared" si="5"/>
        <v>5</v>
      </c>
      <c r="Y17" s="5"/>
      <c r="Z17" s="5">
        <v>1</v>
      </c>
      <c r="AA17" s="5"/>
    </row>
    <row r="18" spans="1:27" ht="15.75" x14ac:dyDescent="0.25">
      <c r="A18" s="1">
        <v>17</v>
      </c>
      <c r="B18" s="2" t="s">
        <v>37</v>
      </c>
      <c r="C18" s="2" t="s">
        <v>38</v>
      </c>
      <c r="D18" s="3" t="s">
        <v>126</v>
      </c>
      <c r="E18" s="4" t="s">
        <v>127</v>
      </c>
      <c r="F18" s="5"/>
      <c r="G18" s="2">
        <v>1</v>
      </c>
      <c r="H18" s="6">
        <v>3</v>
      </c>
      <c r="I18" s="16">
        <v>3</v>
      </c>
      <c r="J18" s="17"/>
      <c r="K18" s="9"/>
      <c r="L18" s="10"/>
      <c r="M18" s="5"/>
      <c r="N18" s="5"/>
      <c r="O18" s="2">
        <v>1</v>
      </c>
      <c r="P18" s="2">
        <v>3</v>
      </c>
      <c r="Q18" s="5"/>
      <c r="R18" s="5"/>
      <c r="S18" s="11">
        <f t="shared" si="0"/>
        <v>45</v>
      </c>
      <c r="T18" s="12">
        <f t="shared" si="1"/>
        <v>0</v>
      </c>
      <c r="U18" s="13">
        <f t="shared" si="2"/>
        <v>0</v>
      </c>
      <c r="V18" s="14">
        <f t="shared" si="6"/>
        <v>0</v>
      </c>
      <c r="W18" s="15">
        <f t="shared" si="4"/>
        <v>90</v>
      </c>
      <c r="X18" s="15">
        <f t="shared" si="5"/>
        <v>15</v>
      </c>
      <c r="Y18" s="5"/>
      <c r="Z18" s="5">
        <v>1</v>
      </c>
      <c r="AA18" s="5"/>
    </row>
    <row r="19" spans="1:27" ht="15.75" x14ac:dyDescent="0.25">
      <c r="A19" s="1">
        <v>18</v>
      </c>
      <c r="B19" s="2" t="s">
        <v>37</v>
      </c>
      <c r="C19" s="2" t="s">
        <v>38</v>
      </c>
      <c r="D19" s="3" t="s">
        <v>43</v>
      </c>
      <c r="E19" s="4" t="s">
        <v>44</v>
      </c>
      <c r="F19" s="5"/>
      <c r="G19" s="2">
        <v>2</v>
      </c>
      <c r="H19" s="6">
        <v>2</v>
      </c>
      <c r="I19" s="16">
        <v>2</v>
      </c>
      <c r="J19" s="17"/>
      <c r="K19" s="9"/>
      <c r="L19" s="10"/>
      <c r="M19" s="5"/>
      <c r="N19" s="5"/>
      <c r="O19" s="2">
        <v>1</v>
      </c>
      <c r="P19" s="2">
        <v>2</v>
      </c>
      <c r="Q19" s="5"/>
      <c r="R19" s="5"/>
      <c r="S19" s="11">
        <f t="shared" si="0"/>
        <v>30</v>
      </c>
      <c r="T19" s="12">
        <f t="shared" si="1"/>
        <v>0</v>
      </c>
      <c r="U19" s="13">
        <f t="shared" si="2"/>
        <v>0</v>
      </c>
      <c r="V19" s="14">
        <f t="shared" si="6"/>
        <v>0</v>
      </c>
      <c r="W19" s="15">
        <f t="shared" si="4"/>
        <v>60</v>
      </c>
      <c r="X19" s="15">
        <f t="shared" si="5"/>
        <v>10</v>
      </c>
      <c r="Y19" s="5"/>
      <c r="Z19" s="5">
        <v>1</v>
      </c>
      <c r="AA19" s="5"/>
    </row>
    <row r="20" spans="1:27" ht="15.75" x14ac:dyDescent="0.25">
      <c r="A20" s="1">
        <v>19</v>
      </c>
      <c r="B20" s="2" t="s">
        <v>37</v>
      </c>
      <c r="C20" s="2" t="s">
        <v>38</v>
      </c>
      <c r="D20" s="3" t="s">
        <v>128</v>
      </c>
      <c r="E20" s="4" t="s">
        <v>46</v>
      </c>
      <c r="F20" s="5"/>
      <c r="G20" s="2">
        <v>3</v>
      </c>
      <c r="H20" s="6">
        <v>3</v>
      </c>
      <c r="I20" s="16">
        <v>3</v>
      </c>
      <c r="J20" s="17"/>
      <c r="K20" s="9"/>
      <c r="L20" s="10"/>
      <c r="M20" s="5"/>
      <c r="N20" s="5"/>
      <c r="O20" s="2">
        <v>1</v>
      </c>
      <c r="P20" s="2">
        <v>19</v>
      </c>
      <c r="Q20" s="5"/>
      <c r="R20" s="5"/>
      <c r="S20" s="11">
        <f t="shared" si="0"/>
        <v>45</v>
      </c>
      <c r="T20" s="12">
        <f t="shared" si="1"/>
        <v>0</v>
      </c>
      <c r="U20" s="13">
        <f t="shared" si="2"/>
        <v>0</v>
      </c>
      <c r="V20" s="14">
        <f t="shared" si="6"/>
        <v>0</v>
      </c>
      <c r="W20" s="15">
        <f t="shared" si="4"/>
        <v>90</v>
      </c>
      <c r="X20" s="15">
        <f t="shared" si="5"/>
        <v>15</v>
      </c>
      <c r="Y20" s="5"/>
      <c r="Z20" s="5">
        <v>1</v>
      </c>
      <c r="AA20" s="5"/>
    </row>
    <row r="21" spans="1:27" ht="15.75" x14ac:dyDescent="0.25">
      <c r="A21" s="1">
        <v>20</v>
      </c>
      <c r="B21" s="2" t="s">
        <v>37</v>
      </c>
      <c r="C21" s="2" t="s">
        <v>38</v>
      </c>
      <c r="D21" s="3" t="s">
        <v>129</v>
      </c>
      <c r="E21" s="4" t="s">
        <v>48</v>
      </c>
      <c r="F21" s="5"/>
      <c r="G21" s="2">
        <v>4</v>
      </c>
      <c r="H21" s="6">
        <v>3</v>
      </c>
      <c r="I21" s="16">
        <v>3</v>
      </c>
      <c r="J21" s="17"/>
      <c r="K21" s="9"/>
      <c r="L21" s="10"/>
      <c r="M21" s="5"/>
      <c r="N21" s="5"/>
      <c r="O21" s="2">
        <v>0</v>
      </c>
      <c r="P21" s="2">
        <v>0</v>
      </c>
      <c r="Q21" s="5"/>
      <c r="R21" s="5"/>
      <c r="S21" s="11">
        <f t="shared" si="0"/>
        <v>45</v>
      </c>
      <c r="T21" s="12">
        <f t="shared" si="1"/>
        <v>0</v>
      </c>
      <c r="U21" s="13">
        <f t="shared" si="2"/>
        <v>0</v>
      </c>
      <c r="V21" s="14">
        <f t="shared" si="6"/>
        <v>0</v>
      </c>
      <c r="W21" s="15">
        <f t="shared" si="4"/>
        <v>90</v>
      </c>
      <c r="X21" s="15">
        <f t="shared" si="5"/>
        <v>15</v>
      </c>
      <c r="Y21" s="5"/>
      <c r="Z21" s="5">
        <v>1</v>
      </c>
      <c r="AA21" s="5"/>
    </row>
    <row r="22" spans="1:27" ht="31.5" x14ac:dyDescent="0.25">
      <c r="A22" s="1">
        <v>21</v>
      </c>
      <c r="B22" s="2" t="s">
        <v>37</v>
      </c>
      <c r="C22" s="2" t="s">
        <v>38</v>
      </c>
      <c r="D22" s="3" t="s">
        <v>49</v>
      </c>
      <c r="E22" s="4" t="s">
        <v>50</v>
      </c>
      <c r="F22" s="5"/>
      <c r="G22" s="2">
        <v>6</v>
      </c>
      <c r="H22" s="6">
        <v>3</v>
      </c>
      <c r="I22" s="16">
        <v>2</v>
      </c>
      <c r="J22" s="17">
        <v>1</v>
      </c>
      <c r="K22" s="9"/>
      <c r="L22" s="10"/>
      <c r="M22" s="5" t="s">
        <v>26</v>
      </c>
      <c r="N22" s="5"/>
      <c r="O22" s="2">
        <v>1</v>
      </c>
      <c r="P22" s="2">
        <v>13</v>
      </c>
      <c r="Q22" s="5"/>
      <c r="R22" s="5"/>
      <c r="S22" s="11">
        <f t="shared" si="0"/>
        <v>30</v>
      </c>
      <c r="T22" s="12">
        <f t="shared" si="1"/>
        <v>30</v>
      </c>
      <c r="U22" s="13">
        <f t="shared" si="2"/>
        <v>0</v>
      </c>
      <c r="V22" s="14">
        <f t="shared" si="6"/>
        <v>0</v>
      </c>
      <c r="W22" s="15">
        <f t="shared" si="4"/>
        <v>75</v>
      </c>
      <c r="X22" s="15">
        <f t="shared" si="5"/>
        <v>15</v>
      </c>
      <c r="Y22" s="5"/>
      <c r="Z22" s="5">
        <v>1</v>
      </c>
      <c r="AA22" s="5"/>
    </row>
    <row r="23" spans="1:27" ht="15.75" x14ac:dyDescent="0.25">
      <c r="A23" s="1">
        <v>22</v>
      </c>
      <c r="B23" s="2" t="s">
        <v>37</v>
      </c>
      <c r="C23" s="2" t="s">
        <v>38</v>
      </c>
      <c r="D23" s="3" t="s">
        <v>51</v>
      </c>
      <c r="E23" s="4" t="s">
        <v>52</v>
      </c>
      <c r="F23" s="5"/>
      <c r="G23" s="2">
        <v>6</v>
      </c>
      <c r="H23" s="6">
        <v>3</v>
      </c>
      <c r="I23" s="16">
        <v>3</v>
      </c>
      <c r="J23" s="17"/>
      <c r="K23" s="9"/>
      <c r="L23" s="10"/>
      <c r="M23" s="5"/>
      <c r="N23" s="5"/>
      <c r="O23" s="2">
        <v>0</v>
      </c>
      <c r="P23" s="2">
        <v>0</v>
      </c>
      <c r="Q23" s="5"/>
      <c r="R23" s="5"/>
      <c r="S23" s="11">
        <f t="shared" si="0"/>
        <v>45</v>
      </c>
      <c r="T23" s="12">
        <f t="shared" si="1"/>
        <v>0</v>
      </c>
      <c r="U23" s="13">
        <f t="shared" si="2"/>
        <v>0</v>
      </c>
      <c r="V23" s="14">
        <f t="shared" si="6"/>
        <v>0</v>
      </c>
      <c r="W23" s="15">
        <f t="shared" si="4"/>
        <v>90</v>
      </c>
      <c r="X23" s="15">
        <f t="shared" si="5"/>
        <v>15</v>
      </c>
      <c r="Y23" s="5"/>
      <c r="Z23" s="5">
        <v>1</v>
      </c>
      <c r="AA23" s="5"/>
    </row>
    <row r="24" spans="1:27" ht="15.75" x14ac:dyDescent="0.25">
      <c r="A24" s="1">
        <v>23</v>
      </c>
      <c r="B24" s="2" t="s">
        <v>37</v>
      </c>
      <c r="C24" s="2" t="s">
        <v>38</v>
      </c>
      <c r="D24" s="3" t="s">
        <v>130</v>
      </c>
      <c r="E24" s="4" t="s">
        <v>131</v>
      </c>
      <c r="F24" s="5"/>
      <c r="G24" s="2">
        <v>3</v>
      </c>
      <c r="H24" s="6">
        <v>3</v>
      </c>
      <c r="I24" s="16">
        <v>3</v>
      </c>
      <c r="J24" s="17"/>
      <c r="K24" s="9"/>
      <c r="L24" s="10"/>
      <c r="M24" s="5"/>
      <c r="N24" s="5"/>
      <c r="O24" s="2">
        <v>0</v>
      </c>
      <c r="P24" s="2">
        <v>0</v>
      </c>
      <c r="Q24" s="5"/>
      <c r="R24" s="5"/>
      <c r="S24" s="11">
        <f t="shared" si="0"/>
        <v>45</v>
      </c>
      <c r="T24" s="12">
        <f t="shared" si="1"/>
        <v>0</v>
      </c>
      <c r="U24" s="13">
        <f t="shared" si="2"/>
        <v>0</v>
      </c>
      <c r="V24" s="14">
        <f t="shared" si="6"/>
        <v>0</v>
      </c>
      <c r="W24" s="15">
        <f t="shared" si="4"/>
        <v>90</v>
      </c>
      <c r="X24" s="15">
        <f t="shared" si="5"/>
        <v>15</v>
      </c>
      <c r="Y24" s="5"/>
      <c r="Z24" s="5">
        <v>1</v>
      </c>
      <c r="AA24" s="5"/>
    </row>
    <row r="25" spans="1:27" ht="15.75" x14ac:dyDescent="0.25">
      <c r="A25" s="1">
        <v>24</v>
      </c>
      <c r="B25" s="2" t="s">
        <v>37</v>
      </c>
      <c r="C25" s="2" t="s">
        <v>38</v>
      </c>
      <c r="D25" s="3" t="s">
        <v>132</v>
      </c>
      <c r="E25" s="4" t="s">
        <v>133</v>
      </c>
      <c r="F25" s="5"/>
      <c r="G25" s="2">
        <v>3</v>
      </c>
      <c r="H25" s="6">
        <v>2</v>
      </c>
      <c r="I25" s="16">
        <v>2</v>
      </c>
      <c r="J25" s="17"/>
      <c r="K25" s="9"/>
      <c r="L25" s="10"/>
      <c r="M25" s="5"/>
      <c r="N25" s="5"/>
      <c r="O25" s="2">
        <v>1</v>
      </c>
      <c r="P25" s="2">
        <v>20</v>
      </c>
      <c r="Q25" s="5"/>
      <c r="R25" s="5"/>
      <c r="S25" s="11">
        <f t="shared" si="0"/>
        <v>30</v>
      </c>
      <c r="T25" s="12">
        <f t="shared" si="1"/>
        <v>0</v>
      </c>
      <c r="U25" s="13">
        <f t="shared" si="2"/>
        <v>0</v>
      </c>
      <c r="V25" s="14">
        <f t="shared" si="6"/>
        <v>0</v>
      </c>
      <c r="W25" s="15">
        <f t="shared" si="4"/>
        <v>60</v>
      </c>
      <c r="X25" s="15">
        <f t="shared" si="5"/>
        <v>10</v>
      </c>
      <c r="Y25" s="5"/>
      <c r="Z25" s="5">
        <v>1</v>
      </c>
      <c r="AA25" s="5"/>
    </row>
    <row r="26" spans="1:27" ht="15.75" x14ac:dyDescent="0.25">
      <c r="A26" s="1">
        <v>25</v>
      </c>
      <c r="B26" s="2" t="s">
        <v>37</v>
      </c>
      <c r="C26" s="2" t="s">
        <v>38</v>
      </c>
      <c r="D26" s="3" t="s">
        <v>134</v>
      </c>
      <c r="E26" s="4" t="s">
        <v>58</v>
      </c>
      <c r="F26" s="5"/>
      <c r="G26" s="2">
        <v>3</v>
      </c>
      <c r="H26" s="6">
        <v>2</v>
      </c>
      <c r="I26" s="16">
        <v>2</v>
      </c>
      <c r="J26" s="17"/>
      <c r="K26" s="9"/>
      <c r="L26" s="10"/>
      <c r="M26" s="5"/>
      <c r="N26" s="5"/>
      <c r="O26" s="2">
        <v>1</v>
      </c>
      <c r="P26" s="2">
        <v>21</v>
      </c>
      <c r="Q26" s="5"/>
      <c r="R26" s="5"/>
      <c r="S26" s="11">
        <f t="shared" si="0"/>
        <v>30</v>
      </c>
      <c r="T26" s="12">
        <f t="shared" si="1"/>
        <v>0</v>
      </c>
      <c r="U26" s="13">
        <f t="shared" si="2"/>
        <v>0</v>
      </c>
      <c r="V26" s="14">
        <f t="shared" si="6"/>
        <v>0</v>
      </c>
      <c r="W26" s="15">
        <f t="shared" si="4"/>
        <v>60</v>
      </c>
      <c r="X26" s="15">
        <f t="shared" si="5"/>
        <v>10</v>
      </c>
      <c r="Y26" s="5"/>
      <c r="Z26" s="5">
        <v>1</v>
      </c>
      <c r="AA26" s="5"/>
    </row>
    <row r="27" spans="1:27" ht="15.75" x14ac:dyDescent="0.25">
      <c r="A27" s="1">
        <v>26</v>
      </c>
      <c r="B27" s="2" t="s">
        <v>37</v>
      </c>
      <c r="C27" s="2" t="s">
        <v>38</v>
      </c>
      <c r="D27" s="3" t="s">
        <v>135</v>
      </c>
      <c r="E27" s="4" t="s">
        <v>136</v>
      </c>
      <c r="F27" s="5"/>
      <c r="G27" s="2">
        <v>5</v>
      </c>
      <c r="H27" s="6">
        <v>1</v>
      </c>
      <c r="I27" s="18">
        <f>11/15</f>
        <v>0.73333333333333328</v>
      </c>
      <c r="J27" s="19">
        <f>8/30</f>
        <v>0.26666666666666666</v>
      </c>
      <c r="K27" s="9"/>
      <c r="L27" s="10"/>
      <c r="M27" s="5" t="s">
        <v>26</v>
      </c>
      <c r="N27" s="5"/>
      <c r="O27" s="2">
        <v>0</v>
      </c>
      <c r="P27" s="2">
        <v>0</v>
      </c>
      <c r="Q27" s="5"/>
      <c r="R27" s="5"/>
      <c r="S27" s="11">
        <f t="shared" si="0"/>
        <v>11</v>
      </c>
      <c r="T27" s="12">
        <f t="shared" si="1"/>
        <v>8</v>
      </c>
      <c r="U27" s="13">
        <f t="shared" si="2"/>
        <v>0</v>
      </c>
      <c r="V27" s="14">
        <f t="shared" si="6"/>
        <v>0</v>
      </c>
      <c r="W27" s="15">
        <f t="shared" si="4"/>
        <v>25.999999999999996</v>
      </c>
      <c r="X27" s="15">
        <f t="shared" si="5"/>
        <v>5</v>
      </c>
      <c r="Y27" s="5"/>
      <c r="Z27" s="5">
        <v>1</v>
      </c>
      <c r="AA27" s="5"/>
    </row>
    <row r="28" spans="1:27" ht="15.75" x14ac:dyDescent="0.25">
      <c r="A28" s="1">
        <v>27</v>
      </c>
      <c r="B28" s="2" t="s">
        <v>37</v>
      </c>
      <c r="C28" s="2" t="s">
        <v>38</v>
      </c>
      <c r="D28" s="3" t="s">
        <v>29</v>
      </c>
      <c r="E28" s="4" t="s">
        <v>30</v>
      </c>
      <c r="F28" s="5"/>
      <c r="G28" s="2">
        <v>8</v>
      </c>
      <c r="H28" s="6">
        <v>1</v>
      </c>
      <c r="I28" s="16">
        <v>1</v>
      </c>
      <c r="J28" s="17"/>
      <c r="K28" s="9"/>
      <c r="L28" s="10"/>
      <c r="M28" s="5"/>
      <c r="N28" s="5"/>
      <c r="O28" s="2">
        <v>0</v>
      </c>
      <c r="P28" s="2">
        <v>0</v>
      </c>
      <c r="Q28" s="5"/>
      <c r="R28" s="5"/>
      <c r="S28" s="11">
        <f t="shared" si="0"/>
        <v>15</v>
      </c>
      <c r="T28" s="12">
        <f t="shared" si="1"/>
        <v>0</v>
      </c>
      <c r="U28" s="13">
        <f t="shared" si="2"/>
        <v>0</v>
      </c>
      <c r="V28" s="14">
        <f t="shared" si="6"/>
        <v>0</v>
      </c>
      <c r="W28" s="15">
        <f t="shared" si="4"/>
        <v>30</v>
      </c>
      <c r="X28" s="15">
        <f t="shared" si="5"/>
        <v>5</v>
      </c>
      <c r="Y28" s="5"/>
      <c r="Z28" s="5">
        <v>1</v>
      </c>
      <c r="AA28" s="5"/>
    </row>
    <row r="29" spans="1:27" ht="15.75" x14ac:dyDescent="0.25">
      <c r="A29" s="1">
        <v>28</v>
      </c>
      <c r="B29" s="2" t="s">
        <v>59</v>
      </c>
      <c r="C29" s="2" t="s">
        <v>60</v>
      </c>
      <c r="D29" s="3" t="s">
        <v>137</v>
      </c>
      <c r="E29" s="4" t="s">
        <v>138</v>
      </c>
      <c r="F29" s="5"/>
      <c r="G29" s="2">
        <v>4</v>
      </c>
      <c r="H29" s="6">
        <v>3</v>
      </c>
      <c r="I29" s="16">
        <v>3</v>
      </c>
      <c r="J29" s="17"/>
      <c r="K29" s="9"/>
      <c r="L29" s="10"/>
      <c r="M29" s="5"/>
      <c r="N29" s="5"/>
      <c r="O29" s="2">
        <v>0</v>
      </c>
      <c r="P29" s="2">
        <v>0</v>
      </c>
      <c r="Q29" s="5"/>
      <c r="R29" s="5"/>
      <c r="S29" s="11">
        <f t="shared" si="0"/>
        <v>45</v>
      </c>
      <c r="T29" s="12">
        <f t="shared" si="1"/>
        <v>0</v>
      </c>
      <c r="U29" s="13">
        <f t="shared" si="2"/>
        <v>0</v>
      </c>
      <c r="V29" s="14">
        <f t="shared" si="6"/>
        <v>0</v>
      </c>
      <c r="W29" s="15">
        <f t="shared" si="4"/>
        <v>90</v>
      </c>
      <c r="X29" s="15">
        <f t="shared" si="5"/>
        <v>15</v>
      </c>
      <c r="Y29" s="5"/>
      <c r="Z29" s="5">
        <v>1</v>
      </c>
      <c r="AA29" s="5"/>
    </row>
    <row r="30" spans="1:27" ht="15.75" x14ac:dyDescent="0.25">
      <c r="A30" s="1">
        <v>29</v>
      </c>
      <c r="B30" s="2" t="s">
        <v>59</v>
      </c>
      <c r="C30" s="2" t="s">
        <v>60</v>
      </c>
      <c r="D30" s="3" t="s">
        <v>63</v>
      </c>
      <c r="E30" s="4" t="s">
        <v>64</v>
      </c>
      <c r="F30" s="5"/>
      <c r="G30" s="2">
        <v>2</v>
      </c>
      <c r="H30" s="6">
        <v>2</v>
      </c>
      <c r="I30" s="16">
        <v>2</v>
      </c>
      <c r="J30" s="17"/>
      <c r="K30" s="9"/>
      <c r="L30" s="10"/>
      <c r="M30" s="5"/>
      <c r="N30" s="5"/>
      <c r="O30" s="2">
        <v>1</v>
      </c>
      <c r="P30" s="2">
        <v>9</v>
      </c>
      <c r="Q30" s="5"/>
      <c r="R30" s="5"/>
      <c r="S30" s="11">
        <f t="shared" si="0"/>
        <v>30</v>
      </c>
      <c r="T30" s="12">
        <f t="shared" si="1"/>
        <v>0</v>
      </c>
      <c r="U30" s="13">
        <f t="shared" si="2"/>
        <v>0</v>
      </c>
      <c r="V30" s="14">
        <f t="shared" si="6"/>
        <v>0</v>
      </c>
      <c r="W30" s="15">
        <f t="shared" si="4"/>
        <v>60</v>
      </c>
      <c r="X30" s="15">
        <f t="shared" si="5"/>
        <v>10</v>
      </c>
      <c r="Y30" s="5"/>
      <c r="Z30" s="5">
        <v>1</v>
      </c>
      <c r="AA30" s="5"/>
    </row>
    <row r="31" spans="1:27" ht="15.75" x14ac:dyDescent="0.25">
      <c r="A31" s="1">
        <v>30</v>
      </c>
      <c r="B31" s="2" t="s">
        <v>59</v>
      </c>
      <c r="C31" s="2" t="s">
        <v>60</v>
      </c>
      <c r="D31" s="3" t="s">
        <v>65</v>
      </c>
      <c r="E31" s="4" t="s">
        <v>66</v>
      </c>
      <c r="F31" s="5"/>
      <c r="G31" s="2">
        <v>6</v>
      </c>
      <c r="H31" s="6">
        <v>3</v>
      </c>
      <c r="I31" s="16">
        <v>3</v>
      </c>
      <c r="J31" s="17"/>
      <c r="K31" s="9"/>
      <c r="L31" s="10"/>
      <c r="M31" s="5"/>
      <c r="N31" s="5"/>
      <c r="O31" s="2">
        <v>1</v>
      </c>
      <c r="P31" s="2">
        <v>1</v>
      </c>
      <c r="Q31" s="5"/>
      <c r="R31" s="5"/>
      <c r="S31" s="11">
        <f t="shared" si="0"/>
        <v>45</v>
      </c>
      <c r="T31" s="12">
        <f t="shared" si="1"/>
        <v>0</v>
      </c>
      <c r="U31" s="13">
        <f t="shared" si="2"/>
        <v>0</v>
      </c>
      <c r="V31" s="14">
        <f t="shared" si="6"/>
        <v>0</v>
      </c>
      <c r="W31" s="15">
        <f t="shared" si="4"/>
        <v>90</v>
      </c>
      <c r="X31" s="15">
        <f t="shared" si="5"/>
        <v>15</v>
      </c>
      <c r="Y31" s="5"/>
      <c r="Z31" s="5">
        <v>1</v>
      </c>
      <c r="AA31" s="5"/>
    </row>
    <row r="32" spans="1:27" ht="15.75" x14ac:dyDescent="0.25">
      <c r="A32" s="1">
        <v>31</v>
      </c>
      <c r="B32" s="2" t="s">
        <v>59</v>
      </c>
      <c r="C32" s="2" t="s">
        <v>60</v>
      </c>
      <c r="D32" s="3" t="s">
        <v>67</v>
      </c>
      <c r="E32" s="4" t="s">
        <v>68</v>
      </c>
      <c r="F32" s="5"/>
      <c r="G32" s="2">
        <v>6</v>
      </c>
      <c r="H32" s="6">
        <v>4</v>
      </c>
      <c r="I32" s="16">
        <v>4</v>
      </c>
      <c r="J32" s="17"/>
      <c r="K32" s="9"/>
      <c r="L32" s="10"/>
      <c r="M32" s="5"/>
      <c r="N32" s="5"/>
      <c r="O32" s="2">
        <v>0</v>
      </c>
      <c r="P32" s="2">
        <v>0</v>
      </c>
      <c r="Q32" s="5"/>
      <c r="R32" s="5"/>
      <c r="S32" s="11">
        <f t="shared" si="0"/>
        <v>60</v>
      </c>
      <c r="T32" s="12">
        <f t="shared" si="1"/>
        <v>0</v>
      </c>
      <c r="U32" s="13">
        <f t="shared" si="2"/>
        <v>0</v>
      </c>
      <c r="V32" s="14">
        <f t="shared" si="6"/>
        <v>0</v>
      </c>
      <c r="W32" s="15">
        <f t="shared" si="4"/>
        <v>120</v>
      </c>
      <c r="X32" s="15">
        <f t="shared" si="5"/>
        <v>20</v>
      </c>
      <c r="Y32" s="5"/>
      <c r="Z32" s="5">
        <v>1</v>
      </c>
      <c r="AA32" s="5"/>
    </row>
    <row r="33" spans="1:27" ht="15.75" x14ac:dyDescent="0.25">
      <c r="A33" s="1">
        <v>32</v>
      </c>
      <c r="B33" s="2" t="s">
        <v>59</v>
      </c>
      <c r="C33" s="2" t="s">
        <v>38</v>
      </c>
      <c r="D33" s="3" t="s">
        <v>139</v>
      </c>
      <c r="E33" s="4" t="s">
        <v>140</v>
      </c>
      <c r="F33" s="5"/>
      <c r="G33" s="2">
        <v>3</v>
      </c>
      <c r="H33" s="6">
        <v>2</v>
      </c>
      <c r="I33" s="16">
        <v>2</v>
      </c>
      <c r="J33" s="17"/>
      <c r="K33" s="9"/>
      <c r="L33" s="10"/>
      <c r="M33" s="5"/>
      <c r="N33" s="5"/>
      <c r="O33" s="2">
        <v>0</v>
      </c>
      <c r="P33" s="2">
        <v>0</v>
      </c>
      <c r="Q33" s="5"/>
      <c r="R33" s="5"/>
      <c r="S33" s="11">
        <f t="shared" si="0"/>
        <v>30</v>
      </c>
      <c r="T33" s="12">
        <f t="shared" si="1"/>
        <v>0</v>
      </c>
      <c r="U33" s="13">
        <f t="shared" si="2"/>
        <v>0</v>
      </c>
      <c r="V33" s="14">
        <f t="shared" si="6"/>
        <v>0</v>
      </c>
      <c r="W33" s="15">
        <f t="shared" si="4"/>
        <v>60</v>
      </c>
      <c r="X33" s="15">
        <f t="shared" si="5"/>
        <v>10</v>
      </c>
      <c r="Y33" s="5"/>
      <c r="Z33" s="5">
        <v>1</v>
      </c>
      <c r="AA33" s="5"/>
    </row>
    <row r="34" spans="1:27" ht="15.75" x14ac:dyDescent="0.25">
      <c r="A34" s="1">
        <v>33</v>
      </c>
      <c r="B34" s="2" t="s">
        <v>59</v>
      </c>
      <c r="C34" s="2" t="s">
        <v>60</v>
      </c>
      <c r="D34" s="3" t="s">
        <v>141</v>
      </c>
      <c r="E34" s="4" t="s">
        <v>72</v>
      </c>
      <c r="F34" s="5"/>
      <c r="G34" s="2">
        <v>5</v>
      </c>
      <c r="H34" s="6">
        <v>3</v>
      </c>
      <c r="I34" s="16">
        <v>3</v>
      </c>
      <c r="J34" s="17"/>
      <c r="K34" s="9"/>
      <c r="L34" s="10"/>
      <c r="M34" s="5"/>
      <c r="N34" s="5"/>
      <c r="O34" s="2">
        <v>1</v>
      </c>
      <c r="P34" s="2">
        <v>8</v>
      </c>
      <c r="Q34" s="5"/>
      <c r="R34" s="5"/>
      <c r="S34" s="11">
        <f t="shared" si="0"/>
        <v>45</v>
      </c>
      <c r="T34" s="12">
        <f t="shared" si="1"/>
        <v>0</v>
      </c>
      <c r="U34" s="13">
        <f t="shared" si="2"/>
        <v>0</v>
      </c>
      <c r="V34" s="14">
        <f t="shared" si="6"/>
        <v>0</v>
      </c>
      <c r="W34" s="15">
        <f t="shared" si="4"/>
        <v>90</v>
      </c>
      <c r="X34" s="15">
        <f t="shared" si="5"/>
        <v>15</v>
      </c>
      <c r="Y34" s="5"/>
      <c r="Z34" s="5">
        <v>1</v>
      </c>
      <c r="AA34" s="5"/>
    </row>
    <row r="35" spans="1:27" ht="15.75" x14ac:dyDescent="0.25">
      <c r="A35" s="1">
        <v>34</v>
      </c>
      <c r="B35" s="2" t="s">
        <v>59</v>
      </c>
      <c r="C35" s="2" t="s">
        <v>60</v>
      </c>
      <c r="D35" s="3" t="s">
        <v>142</v>
      </c>
      <c r="E35" s="4" t="s">
        <v>74</v>
      </c>
      <c r="F35" s="5"/>
      <c r="G35" s="2">
        <v>4</v>
      </c>
      <c r="H35" s="6">
        <v>3</v>
      </c>
      <c r="I35" s="16">
        <v>3</v>
      </c>
      <c r="J35" s="17"/>
      <c r="K35" s="9"/>
      <c r="L35" s="10"/>
      <c r="M35" s="5"/>
      <c r="N35" s="5"/>
      <c r="O35" s="2">
        <v>0</v>
      </c>
      <c r="P35" s="2">
        <v>0</v>
      </c>
      <c r="Q35" s="5"/>
      <c r="R35" s="5"/>
      <c r="S35" s="11">
        <f t="shared" si="0"/>
        <v>45</v>
      </c>
      <c r="T35" s="12">
        <f t="shared" si="1"/>
        <v>0</v>
      </c>
      <c r="U35" s="13">
        <f t="shared" si="2"/>
        <v>0</v>
      </c>
      <c r="V35" s="14">
        <f t="shared" si="6"/>
        <v>0</v>
      </c>
      <c r="W35" s="15">
        <f t="shared" si="4"/>
        <v>90</v>
      </c>
      <c r="X35" s="15">
        <f t="shared" si="5"/>
        <v>15</v>
      </c>
      <c r="Y35" s="5"/>
      <c r="Z35" s="5">
        <v>1</v>
      </c>
      <c r="AA35" s="5"/>
    </row>
    <row r="36" spans="1:27" ht="15.75" x14ac:dyDescent="0.25">
      <c r="A36" s="1">
        <v>35</v>
      </c>
      <c r="B36" s="2" t="s">
        <v>59</v>
      </c>
      <c r="C36" s="2" t="s">
        <v>60</v>
      </c>
      <c r="D36" s="3" t="s">
        <v>143</v>
      </c>
      <c r="E36" s="4" t="s">
        <v>76</v>
      </c>
      <c r="F36" s="5"/>
      <c r="G36" s="2">
        <v>3</v>
      </c>
      <c r="H36" s="6">
        <v>3</v>
      </c>
      <c r="I36" s="16">
        <v>3</v>
      </c>
      <c r="J36" s="17"/>
      <c r="K36" s="9"/>
      <c r="L36" s="10"/>
      <c r="M36" s="5"/>
      <c r="N36" s="5"/>
      <c r="O36" s="2">
        <v>1</v>
      </c>
      <c r="P36" s="2">
        <v>10</v>
      </c>
      <c r="Q36" s="5"/>
      <c r="R36" s="5"/>
      <c r="S36" s="11">
        <f t="shared" si="0"/>
        <v>45</v>
      </c>
      <c r="T36" s="12">
        <f t="shared" si="1"/>
        <v>0</v>
      </c>
      <c r="U36" s="13">
        <f t="shared" si="2"/>
        <v>0</v>
      </c>
      <c r="V36" s="14">
        <f t="shared" si="6"/>
        <v>0</v>
      </c>
      <c r="W36" s="15">
        <f t="shared" si="4"/>
        <v>90</v>
      </c>
      <c r="X36" s="15">
        <f t="shared" si="5"/>
        <v>15</v>
      </c>
      <c r="Y36" s="5"/>
      <c r="Z36" s="5">
        <v>1</v>
      </c>
      <c r="AA36" s="5"/>
    </row>
    <row r="37" spans="1:27" ht="15.75" x14ac:dyDescent="0.25">
      <c r="A37" s="1">
        <v>36</v>
      </c>
      <c r="B37" s="2" t="s">
        <v>59</v>
      </c>
      <c r="C37" s="2" t="s">
        <v>60</v>
      </c>
      <c r="D37" s="3" t="s">
        <v>77</v>
      </c>
      <c r="E37" s="4" t="s">
        <v>78</v>
      </c>
      <c r="F37" s="5"/>
      <c r="G37" s="2">
        <v>4</v>
      </c>
      <c r="H37" s="6">
        <v>3</v>
      </c>
      <c r="I37" s="16">
        <v>2</v>
      </c>
      <c r="J37" s="17"/>
      <c r="K37" s="9"/>
      <c r="L37" s="10"/>
      <c r="M37" s="5"/>
      <c r="N37" s="5"/>
      <c r="O37" s="2">
        <v>1</v>
      </c>
      <c r="P37" s="2">
        <v>11</v>
      </c>
      <c r="Q37" s="5"/>
      <c r="R37" s="5"/>
      <c r="S37" s="11">
        <f t="shared" si="0"/>
        <v>30</v>
      </c>
      <c r="T37" s="12">
        <f t="shared" si="1"/>
        <v>0</v>
      </c>
      <c r="U37" s="13">
        <f t="shared" si="2"/>
        <v>0</v>
      </c>
      <c r="V37" s="14">
        <f t="shared" si="6"/>
        <v>0</v>
      </c>
      <c r="W37" s="15">
        <f t="shared" si="4"/>
        <v>60</v>
      </c>
      <c r="X37" s="15">
        <f t="shared" si="5"/>
        <v>15</v>
      </c>
      <c r="Y37" s="5"/>
      <c r="Z37" s="5">
        <v>1</v>
      </c>
      <c r="AA37" s="5"/>
    </row>
    <row r="38" spans="1:27" ht="15.75" x14ac:dyDescent="0.25">
      <c r="A38" s="1">
        <v>37</v>
      </c>
      <c r="B38" s="2" t="s">
        <v>59</v>
      </c>
      <c r="C38" s="2" t="s">
        <v>38</v>
      </c>
      <c r="D38" s="3" t="s">
        <v>79</v>
      </c>
      <c r="E38" s="4" t="s">
        <v>80</v>
      </c>
      <c r="F38" s="5"/>
      <c r="G38" s="2">
        <v>4</v>
      </c>
      <c r="H38" s="6">
        <v>2</v>
      </c>
      <c r="I38" s="16">
        <v>2</v>
      </c>
      <c r="J38" s="17"/>
      <c r="K38" s="9"/>
      <c r="L38" s="10"/>
      <c r="M38" s="5"/>
      <c r="N38" s="5"/>
      <c r="O38" s="2">
        <v>0</v>
      </c>
      <c r="P38" s="2">
        <v>0</v>
      </c>
      <c r="Q38" s="5"/>
      <c r="R38" s="5"/>
      <c r="S38" s="11">
        <f t="shared" si="0"/>
        <v>30</v>
      </c>
      <c r="T38" s="12">
        <f t="shared" si="1"/>
        <v>0</v>
      </c>
      <c r="U38" s="13">
        <f t="shared" si="2"/>
        <v>0</v>
      </c>
      <c r="V38" s="14">
        <f t="shared" si="6"/>
        <v>0</v>
      </c>
      <c r="W38" s="15">
        <f t="shared" si="4"/>
        <v>60</v>
      </c>
      <c r="X38" s="15">
        <f t="shared" si="5"/>
        <v>10</v>
      </c>
      <c r="Y38" s="5"/>
      <c r="Z38" s="5">
        <v>1</v>
      </c>
      <c r="AA38" s="5"/>
    </row>
    <row r="39" spans="1:27" ht="15.75" x14ac:dyDescent="0.25">
      <c r="A39" s="1">
        <v>38</v>
      </c>
      <c r="B39" s="2" t="s">
        <v>59</v>
      </c>
      <c r="C39" s="2" t="s">
        <v>60</v>
      </c>
      <c r="D39" s="3" t="s">
        <v>144</v>
      </c>
      <c r="E39" s="4" t="s">
        <v>82</v>
      </c>
      <c r="F39" s="5"/>
      <c r="G39" s="2">
        <v>5</v>
      </c>
      <c r="H39" s="6">
        <v>3</v>
      </c>
      <c r="I39" s="16">
        <v>3</v>
      </c>
      <c r="J39" s="17"/>
      <c r="K39" s="9"/>
      <c r="L39" s="10"/>
      <c r="M39" s="5"/>
      <c r="N39" s="5"/>
      <c r="O39" s="2">
        <v>0</v>
      </c>
      <c r="P39" s="2">
        <v>0</v>
      </c>
      <c r="Q39" s="5"/>
      <c r="R39" s="5"/>
      <c r="S39" s="11">
        <f t="shared" si="0"/>
        <v>45</v>
      </c>
      <c r="T39" s="12">
        <f t="shared" si="1"/>
        <v>0</v>
      </c>
      <c r="U39" s="13">
        <f t="shared" si="2"/>
        <v>0</v>
      </c>
      <c r="V39" s="14">
        <f t="shared" si="6"/>
        <v>0</v>
      </c>
      <c r="W39" s="15">
        <f t="shared" si="4"/>
        <v>90</v>
      </c>
      <c r="X39" s="15">
        <f t="shared" si="5"/>
        <v>15</v>
      </c>
      <c r="Y39" s="5"/>
      <c r="Z39" s="5">
        <v>1</v>
      </c>
      <c r="AA39" s="5"/>
    </row>
    <row r="40" spans="1:27" ht="15.75" x14ac:dyDescent="0.25">
      <c r="A40" s="1">
        <v>39</v>
      </c>
      <c r="B40" s="2" t="s">
        <v>59</v>
      </c>
      <c r="C40" s="2" t="s">
        <v>60</v>
      </c>
      <c r="D40" s="3" t="s">
        <v>83</v>
      </c>
      <c r="E40" s="4" t="s">
        <v>84</v>
      </c>
      <c r="F40" s="5"/>
      <c r="G40" s="2">
        <v>7</v>
      </c>
      <c r="H40" s="6">
        <v>5</v>
      </c>
      <c r="I40" s="16">
        <v>4</v>
      </c>
      <c r="J40" s="17"/>
      <c r="K40" s="9"/>
      <c r="L40" s="10"/>
      <c r="M40" s="5"/>
      <c r="N40" s="5"/>
      <c r="O40" s="2">
        <v>0</v>
      </c>
      <c r="P40" s="2">
        <v>0</v>
      </c>
      <c r="Q40" s="5"/>
      <c r="R40" s="5"/>
      <c r="S40" s="11">
        <f t="shared" si="0"/>
        <v>60</v>
      </c>
      <c r="T40" s="12">
        <f t="shared" si="1"/>
        <v>0</v>
      </c>
      <c r="U40" s="13">
        <f t="shared" si="2"/>
        <v>0</v>
      </c>
      <c r="V40" s="14">
        <f t="shared" si="6"/>
        <v>0</v>
      </c>
      <c r="W40" s="15">
        <f t="shared" si="4"/>
        <v>120</v>
      </c>
      <c r="X40" s="15">
        <f t="shared" si="5"/>
        <v>25</v>
      </c>
      <c r="Y40" s="5"/>
      <c r="Z40" s="5">
        <v>1</v>
      </c>
      <c r="AA40" s="5"/>
    </row>
    <row r="41" spans="1:27" ht="15.75" x14ac:dyDescent="0.25">
      <c r="A41" s="1">
        <v>40</v>
      </c>
      <c r="B41" s="2" t="s">
        <v>59</v>
      </c>
      <c r="C41" s="2" t="s">
        <v>60</v>
      </c>
      <c r="D41" s="3" t="s">
        <v>85</v>
      </c>
      <c r="E41" s="4" t="s">
        <v>86</v>
      </c>
      <c r="F41" s="5"/>
      <c r="G41" s="2">
        <v>7</v>
      </c>
      <c r="H41" s="6">
        <v>2</v>
      </c>
      <c r="I41" s="16">
        <v>2</v>
      </c>
      <c r="J41" s="17"/>
      <c r="K41" s="9"/>
      <c r="L41" s="10"/>
      <c r="M41" s="5"/>
      <c r="N41" s="5"/>
      <c r="O41" s="2">
        <v>0</v>
      </c>
      <c r="P41" s="2">
        <v>0</v>
      </c>
      <c r="Q41" s="5"/>
      <c r="R41" s="5"/>
      <c r="S41" s="11">
        <f t="shared" si="0"/>
        <v>30</v>
      </c>
      <c r="T41" s="12">
        <f t="shared" si="1"/>
        <v>0</v>
      </c>
      <c r="U41" s="13">
        <f t="shared" si="2"/>
        <v>0</v>
      </c>
      <c r="V41" s="14">
        <f t="shared" si="6"/>
        <v>0</v>
      </c>
      <c r="W41" s="15">
        <f t="shared" si="4"/>
        <v>60</v>
      </c>
      <c r="X41" s="15">
        <f t="shared" si="5"/>
        <v>10</v>
      </c>
      <c r="Y41" s="5"/>
      <c r="Z41" s="5">
        <v>1</v>
      </c>
      <c r="AA41" s="5"/>
    </row>
    <row r="42" spans="1:27" ht="15.75" x14ac:dyDescent="0.25">
      <c r="A42" s="1">
        <v>41</v>
      </c>
      <c r="B42" s="2" t="s">
        <v>59</v>
      </c>
      <c r="C42" s="2" t="s">
        <v>60</v>
      </c>
      <c r="D42" s="3" t="s">
        <v>145</v>
      </c>
      <c r="E42" s="4" t="s">
        <v>88</v>
      </c>
      <c r="F42" s="5"/>
      <c r="G42" s="2">
        <v>5</v>
      </c>
      <c r="H42" s="6">
        <v>3</v>
      </c>
      <c r="I42" s="16">
        <v>3</v>
      </c>
      <c r="J42" s="17"/>
      <c r="K42" s="9"/>
      <c r="L42" s="10"/>
      <c r="M42" s="5"/>
      <c r="N42" s="5"/>
      <c r="O42" s="2">
        <v>0</v>
      </c>
      <c r="P42" s="2">
        <v>0</v>
      </c>
      <c r="Q42" s="5"/>
      <c r="R42" s="5"/>
      <c r="S42" s="11">
        <f t="shared" si="0"/>
        <v>45</v>
      </c>
      <c r="T42" s="12">
        <f t="shared" si="1"/>
        <v>0</v>
      </c>
      <c r="U42" s="13">
        <f t="shared" si="2"/>
        <v>0</v>
      </c>
      <c r="V42" s="14">
        <f t="shared" si="6"/>
        <v>0</v>
      </c>
      <c r="W42" s="15">
        <f t="shared" si="4"/>
        <v>90</v>
      </c>
      <c r="X42" s="15">
        <f t="shared" si="5"/>
        <v>15</v>
      </c>
      <c r="Y42" s="5"/>
      <c r="Z42" s="5">
        <v>1</v>
      </c>
      <c r="AA42" s="5"/>
    </row>
    <row r="43" spans="1:27" ht="15.75" x14ac:dyDescent="0.25">
      <c r="A43" s="1">
        <v>42</v>
      </c>
      <c r="B43" s="2" t="s">
        <v>59</v>
      </c>
      <c r="C43" s="2" t="s">
        <v>60</v>
      </c>
      <c r="D43" s="3" t="s">
        <v>89</v>
      </c>
      <c r="E43" s="4" t="s">
        <v>90</v>
      </c>
      <c r="F43" s="5"/>
      <c r="G43" s="2">
        <v>6</v>
      </c>
      <c r="H43" s="6">
        <v>2</v>
      </c>
      <c r="I43" s="16">
        <v>2</v>
      </c>
      <c r="J43" s="17"/>
      <c r="K43" s="9"/>
      <c r="L43" s="10"/>
      <c r="M43" s="5"/>
      <c r="N43" s="5"/>
      <c r="O43" s="2">
        <v>0</v>
      </c>
      <c r="P43" s="2">
        <v>0</v>
      </c>
      <c r="Q43" s="5"/>
      <c r="R43" s="5"/>
      <c r="S43" s="11">
        <f t="shared" si="0"/>
        <v>30</v>
      </c>
      <c r="T43" s="12">
        <f t="shared" si="1"/>
        <v>0</v>
      </c>
      <c r="U43" s="13">
        <f t="shared" si="2"/>
        <v>0</v>
      </c>
      <c r="V43" s="14">
        <f t="shared" si="6"/>
        <v>0</v>
      </c>
      <c r="W43" s="15">
        <f t="shared" si="4"/>
        <v>60</v>
      </c>
      <c r="X43" s="15">
        <f t="shared" si="5"/>
        <v>10</v>
      </c>
      <c r="Y43" s="5"/>
      <c r="Z43" s="5">
        <v>1</v>
      </c>
      <c r="AA43" s="5"/>
    </row>
    <row r="44" spans="1:27" ht="15.75" x14ac:dyDescent="0.25">
      <c r="A44" s="1">
        <v>43</v>
      </c>
      <c r="B44" s="2" t="s">
        <v>59</v>
      </c>
      <c r="C44" s="2" t="s">
        <v>60</v>
      </c>
      <c r="D44" s="3" t="s">
        <v>146</v>
      </c>
      <c r="E44" s="4" t="s">
        <v>147</v>
      </c>
      <c r="F44" s="5"/>
      <c r="G44" s="2">
        <v>4</v>
      </c>
      <c r="H44" s="6">
        <v>2</v>
      </c>
      <c r="I44" s="18">
        <f t="shared" ref="I44:I45" si="7">9/15</f>
        <v>0.6</v>
      </c>
      <c r="J44" s="19">
        <f>42/30</f>
        <v>1.4</v>
      </c>
      <c r="K44" s="9"/>
      <c r="L44" s="10"/>
      <c r="M44" s="5" t="s">
        <v>26</v>
      </c>
      <c r="N44" s="5"/>
      <c r="O44" s="2">
        <v>1</v>
      </c>
      <c r="P44" s="2">
        <v>5</v>
      </c>
      <c r="Q44" s="5"/>
      <c r="R44" s="5"/>
      <c r="S44" s="11">
        <f t="shared" si="0"/>
        <v>9</v>
      </c>
      <c r="T44" s="12">
        <f t="shared" si="1"/>
        <v>42</v>
      </c>
      <c r="U44" s="13">
        <f t="shared" si="2"/>
        <v>0</v>
      </c>
      <c r="V44" s="14">
        <f t="shared" si="6"/>
        <v>0</v>
      </c>
      <c r="W44" s="15">
        <f t="shared" si="4"/>
        <v>38.999999999999993</v>
      </c>
      <c r="X44" s="15">
        <f t="shared" si="5"/>
        <v>10</v>
      </c>
      <c r="Y44" s="5"/>
      <c r="Z44" s="5">
        <v>1</v>
      </c>
      <c r="AA44" s="5"/>
    </row>
    <row r="45" spans="1:27" ht="15.75" x14ac:dyDescent="0.25">
      <c r="A45" s="1">
        <v>44</v>
      </c>
      <c r="B45" s="2" t="s">
        <v>59</v>
      </c>
      <c r="C45" s="2" t="s">
        <v>60</v>
      </c>
      <c r="D45" s="3" t="s">
        <v>148</v>
      </c>
      <c r="E45" s="4" t="s">
        <v>149</v>
      </c>
      <c r="F45" s="5"/>
      <c r="G45" s="2">
        <v>6</v>
      </c>
      <c r="H45" s="6">
        <v>5</v>
      </c>
      <c r="I45" s="18">
        <f t="shared" si="7"/>
        <v>0.6</v>
      </c>
      <c r="J45" s="19">
        <v>4.4000000000000004</v>
      </c>
      <c r="K45" s="9"/>
      <c r="L45" s="10"/>
      <c r="M45" s="5" t="s">
        <v>26</v>
      </c>
      <c r="N45" s="5"/>
      <c r="O45" s="2">
        <v>1</v>
      </c>
      <c r="P45" s="2">
        <v>6</v>
      </c>
      <c r="Q45" s="5"/>
      <c r="R45" s="5"/>
      <c r="S45" s="11">
        <f t="shared" si="0"/>
        <v>9</v>
      </c>
      <c r="T45" s="12">
        <f t="shared" si="1"/>
        <v>132</v>
      </c>
      <c r="U45" s="13">
        <f t="shared" si="2"/>
        <v>0</v>
      </c>
      <c r="V45" s="14">
        <f t="shared" si="6"/>
        <v>0</v>
      </c>
      <c r="W45" s="15">
        <f t="shared" si="4"/>
        <v>84.000000000000014</v>
      </c>
      <c r="X45" s="15">
        <f t="shared" si="5"/>
        <v>25</v>
      </c>
      <c r="Y45" s="5"/>
      <c r="Z45" s="5">
        <v>1</v>
      </c>
      <c r="AA45" s="5"/>
    </row>
    <row r="46" spans="1:27" ht="15.75" x14ac:dyDescent="0.25">
      <c r="A46" s="1">
        <v>45</v>
      </c>
      <c r="B46" s="2" t="s">
        <v>59</v>
      </c>
      <c r="C46" s="2" t="s">
        <v>60</v>
      </c>
      <c r="D46" s="3" t="s">
        <v>95</v>
      </c>
      <c r="E46" s="4" t="s">
        <v>96</v>
      </c>
      <c r="F46" s="5"/>
      <c r="G46" s="2">
        <v>7</v>
      </c>
      <c r="H46" s="6">
        <v>9</v>
      </c>
      <c r="I46" s="16">
        <f>30/15</f>
        <v>2</v>
      </c>
      <c r="J46" s="17"/>
      <c r="K46" s="9"/>
      <c r="L46" s="10">
        <v>7</v>
      </c>
      <c r="M46" s="5" t="s">
        <v>97</v>
      </c>
      <c r="N46" s="5"/>
      <c r="O46" s="2">
        <v>0</v>
      </c>
      <c r="P46" s="2">
        <v>0</v>
      </c>
      <c r="Q46" s="5"/>
      <c r="R46" s="5"/>
      <c r="S46" s="11">
        <f t="shared" si="0"/>
        <v>30</v>
      </c>
      <c r="T46" s="12">
        <f t="shared" si="1"/>
        <v>0</v>
      </c>
      <c r="U46" s="13">
        <f t="shared" si="2"/>
        <v>0</v>
      </c>
      <c r="V46" s="14">
        <f t="shared" si="6"/>
        <v>315</v>
      </c>
      <c r="W46" s="15">
        <f t="shared" si="4"/>
        <v>375</v>
      </c>
      <c r="X46" s="15">
        <f t="shared" si="5"/>
        <v>45</v>
      </c>
      <c r="Y46" s="5"/>
      <c r="Z46" s="5">
        <v>1</v>
      </c>
      <c r="AA46" s="5"/>
    </row>
    <row r="47" spans="1:27" ht="15.75" x14ac:dyDescent="0.25">
      <c r="A47" s="1">
        <v>46</v>
      </c>
      <c r="B47" s="2" t="s">
        <v>59</v>
      </c>
      <c r="C47" s="2" t="s">
        <v>60</v>
      </c>
      <c r="D47" s="3" t="s">
        <v>150</v>
      </c>
      <c r="E47" s="4" t="s">
        <v>151</v>
      </c>
      <c r="F47" s="5"/>
      <c r="G47" s="2">
        <v>8</v>
      </c>
      <c r="H47" s="6">
        <v>5</v>
      </c>
      <c r="I47" s="16">
        <f>15/15</f>
        <v>1</v>
      </c>
      <c r="J47" s="17">
        <v>4</v>
      </c>
      <c r="K47" s="9"/>
      <c r="L47" s="10"/>
      <c r="M47" s="5" t="s">
        <v>26</v>
      </c>
      <c r="N47" s="5"/>
      <c r="O47" s="2">
        <v>0</v>
      </c>
      <c r="P47" s="2">
        <v>0</v>
      </c>
      <c r="Q47" s="5"/>
      <c r="R47" s="5"/>
      <c r="S47" s="11">
        <f t="shared" si="0"/>
        <v>15</v>
      </c>
      <c r="T47" s="12">
        <f t="shared" si="1"/>
        <v>120</v>
      </c>
      <c r="U47" s="13">
        <f t="shared" si="2"/>
        <v>0</v>
      </c>
      <c r="V47" s="14">
        <f t="shared" si="6"/>
        <v>0</v>
      </c>
      <c r="W47" s="15">
        <f t="shared" si="4"/>
        <v>90</v>
      </c>
      <c r="X47" s="15">
        <f t="shared" si="5"/>
        <v>25</v>
      </c>
      <c r="Y47" s="5"/>
      <c r="Z47" s="5">
        <v>1</v>
      </c>
      <c r="AA47" s="5"/>
    </row>
    <row r="48" spans="1:27" ht="15.75" x14ac:dyDescent="0.25">
      <c r="A48" s="1">
        <v>47</v>
      </c>
      <c r="B48" s="2" t="s">
        <v>277</v>
      </c>
      <c r="C48" s="2" t="s">
        <v>60</v>
      </c>
      <c r="D48" s="3" t="s">
        <v>98</v>
      </c>
      <c r="E48" s="4" t="s">
        <v>99</v>
      </c>
      <c r="F48" s="5"/>
      <c r="G48" s="2">
        <v>4</v>
      </c>
      <c r="H48" s="6">
        <v>3</v>
      </c>
      <c r="I48" s="16">
        <v>3</v>
      </c>
      <c r="J48" s="17"/>
      <c r="K48" s="9"/>
      <c r="L48" s="10"/>
      <c r="M48" s="5"/>
      <c r="N48" s="5"/>
      <c r="O48" s="2">
        <v>0</v>
      </c>
      <c r="P48" s="2">
        <v>0</v>
      </c>
      <c r="Q48" s="5"/>
      <c r="R48" s="5"/>
      <c r="S48" s="11">
        <f t="shared" si="0"/>
        <v>45</v>
      </c>
      <c r="T48" s="12">
        <f t="shared" si="1"/>
        <v>0</v>
      </c>
      <c r="U48" s="13">
        <f t="shared" si="2"/>
        <v>0</v>
      </c>
      <c r="V48" s="14">
        <f t="shared" si="6"/>
        <v>0</v>
      </c>
      <c r="W48" s="15">
        <f t="shared" si="4"/>
        <v>90</v>
      </c>
      <c r="X48" s="15">
        <f t="shared" si="5"/>
        <v>15</v>
      </c>
      <c r="Y48" s="5"/>
      <c r="Z48" s="5">
        <v>1</v>
      </c>
      <c r="AA48" s="5"/>
    </row>
    <row r="49" spans="1:27" ht="31.5" x14ac:dyDescent="0.25">
      <c r="A49" s="1">
        <v>48</v>
      </c>
      <c r="B49" s="2" t="s">
        <v>277</v>
      </c>
      <c r="C49" s="2" t="s">
        <v>60</v>
      </c>
      <c r="D49" s="3" t="s">
        <v>152</v>
      </c>
      <c r="E49" s="4" t="s">
        <v>101</v>
      </c>
      <c r="F49" s="5"/>
      <c r="G49" s="2">
        <v>7</v>
      </c>
      <c r="H49" s="6">
        <v>3</v>
      </c>
      <c r="I49" s="16">
        <v>3</v>
      </c>
      <c r="J49" s="17"/>
      <c r="K49" s="9"/>
      <c r="L49" s="10"/>
      <c r="M49" s="5"/>
      <c r="N49" s="5"/>
      <c r="O49" s="2">
        <v>0</v>
      </c>
      <c r="P49" s="2">
        <v>0</v>
      </c>
      <c r="Q49" s="5"/>
      <c r="R49" s="5"/>
      <c r="S49" s="11">
        <f t="shared" si="0"/>
        <v>45</v>
      </c>
      <c r="T49" s="12">
        <f t="shared" si="1"/>
        <v>0</v>
      </c>
      <c r="U49" s="13">
        <f t="shared" si="2"/>
        <v>0</v>
      </c>
      <c r="V49" s="14">
        <f t="shared" si="6"/>
        <v>0</v>
      </c>
      <c r="W49" s="15">
        <f t="shared" si="4"/>
        <v>90</v>
      </c>
      <c r="X49" s="15">
        <f t="shared" si="5"/>
        <v>15</v>
      </c>
      <c r="Y49" s="5"/>
      <c r="Z49" s="5">
        <v>1</v>
      </c>
      <c r="AA49" s="5"/>
    </row>
    <row r="50" spans="1:27" ht="15.75" x14ac:dyDescent="0.25">
      <c r="A50" s="1">
        <v>49</v>
      </c>
      <c r="B50" s="2" t="s">
        <v>277</v>
      </c>
      <c r="C50" s="2" t="s">
        <v>60</v>
      </c>
      <c r="D50" s="3" t="s">
        <v>153</v>
      </c>
      <c r="E50" s="4" t="s">
        <v>103</v>
      </c>
      <c r="F50" s="5"/>
      <c r="G50" s="2">
        <v>5</v>
      </c>
      <c r="H50" s="6">
        <v>3</v>
      </c>
      <c r="I50" s="16">
        <v>3</v>
      </c>
      <c r="J50" s="17"/>
      <c r="K50" s="9"/>
      <c r="L50" s="10"/>
      <c r="M50" s="5"/>
      <c r="N50" s="5"/>
      <c r="O50" s="2">
        <v>0</v>
      </c>
      <c r="P50" s="2">
        <v>0</v>
      </c>
      <c r="Q50" s="5"/>
      <c r="R50" s="5"/>
      <c r="S50" s="11">
        <f t="shared" si="0"/>
        <v>45</v>
      </c>
      <c r="T50" s="12">
        <f t="shared" si="1"/>
        <v>0</v>
      </c>
      <c r="U50" s="13">
        <f t="shared" si="2"/>
        <v>0</v>
      </c>
      <c r="V50" s="14">
        <f t="shared" si="6"/>
        <v>0</v>
      </c>
      <c r="W50" s="15">
        <f t="shared" si="4"/>
        <v>90</v>
      </c>
      <c r="X50" s="15">
        <f t="shared" si="5"/>
        <v>15</v>
      </c>
      <c r="Y50" s="5"/>
      <c r="Z50" s="5">
        <v>1</v>
      </c>
      <c r="AA50" s="5"/>
    </row>
    <row r="51" spans="1:27" ht="15.75" x14ac:dyDescent="0.25">
      <c r="A51" s="1">
        <v>50</v>
      </c>
      <c r="B51" s="2" t="s">
        <v>277</v>
      </c>
      <c r="C51" s="2" t="s">
        <v>60</v>
      </c>
      <c r="D51" s="3" t="s">
        <v>154</v>
      </c>
      <c r="E51" s="4" t="s">
        <v>155</v>
      </c>
      <c r="F51" s="5"/>
      <c r="G51" s="2">
        <v>4</v>
      </c>
      <c r="H51" s="6">
        <v>2</v>
      </c>
      <c r="I51" s="16">
        <v>2</v>
      </c>
      <c r="J51" s="17"/>
      <c r="K51" s="9"/>
      <c r="L51" s="10"/>
      <c r="M51" s="5"/>
      <c r="N51" s="5"/>
      <c r="O51" s="2">
        <v>0</v>
      </c>
      <c r="P51" s="2">
        <v>0</v>
      </c>
      <c r="Q51" s="5"/>
      <c r="R51" s="5"/>
      <c r="S51" s="11">
        <f t="shared" si="0"/>
        <v>30</v>
      </c>
      <c r="T51" s="12">
        <f t="shared" si="1"/>
        <v>0</v>
      </c>
      <c r="U51" s="13">
        <f t="shared" si="2"/>
        <v>0</v>
      </c>
      <c r="V51" s="14">
        <f t="shared" si="6"/>
        <v>0</v>
      </c>
      <c r="W51" s="15">
        <f t="shared" si="4"/>
        <v>60</v>
      </c>
      <c r="X51" s="15">
        <f t="shared" si="5"/>
        <v>10</v>
      </c>
      <c r="Y51" s="5"/>
      <c r="Z51" s="5">
        <v>1</v>
      </c>
      <c r="AA51" s="5"/>
    </row>
    <row r="52" spans="1:27" ht="15.75" x14ac:dyDescent="0.25">
      <c r="A52" s="1">
        <v>51</v>
      </c>
      <c r="B52" s="2" t="s">
        <v>277</v>
      </c>
      <c r="C52" s="2" t="s">
        <v>60</v>
      </c>
      <c r="D52" s="3" t="s">
        <v>156</v>
      </c>
      <c r="E52" s="4" t="s">
        <v>157</v>
      </c>
      <c r="F52" s="5"/>
      <c r="G52" s="2">
        <v>5</v>
      </c>
      <c r="H52" s="6">
        <v>2</v>
      </c>
      <c r="I52" s="16">
        <v>2</v>
      </c>
      <c r="J52" s="17"/>
      <c r="K52" s="9"/>
      <c r="L52" s="10"/>
      <c r="M52" s="5"/>
      <c r="N52" s="5"/>
      <c r="O52" s="2">
        <v>0</v>
      </c>
      <c r="P52" s="2">
        <v>0</v>
      </c>
      <c r="Q52" s="5"/>
      <c r="R52" s="5"/>
      <c r="S52" s="11">
        <f t="shared" si="0"/>
        <v>30</v>
      </c>
      <c r="T52" s="12">
        <f t="shared" si="1"/>
        <v>0</v>
      </c>
      <c r="U52" s="13">
        <f t="shared" si="2"/>
        <v>0</v>
      </c>
      <c r="V52" s="14">
        <f t="shared" si="6"/>
        <v>0</v>
      </c>
      <c r="W52" s="15">
        <f t="shared" si="4"/>
        <v>60</v>
      </c>
      <c r="X52" s="15">
        <f t="shared" si="5"/>
        <v>10</v>
      </c>
      <c r="Y52" s="5"/>
      <c r="Z52" s="5">
        <v>1</v>
      </c>
      <c r="AA52" s="5"/>
    </row>
    <row r="53" spans="1:27" ht="15.75" x14ac:dyDescent="0.25">
      <c r="A53" s="1">
        <v>52</v>
      </c>
      <c r="B53" s="2" t="s">
        <v>277</v>
      </c>
      <c r="C53" s="2" t="s">
        <v>60</v>
      </c>
      <c r="D53" s="3" t="s">
        <v>158</v>
      </c>
      <c r="E53" s="4" t="s">
        <v>159</v>
      </c>
      <c r="F53" s="5"/>
      <c r="G53" s="2">
        <v>7</v>
      </c>
      <c r="H53" s="6">
        <v>2</v>
      </c>
      <c r="I53" s="16">
        <v>2</v>
      </c>
      <c r="J53" s="17"/>
      <c r="K53" s="9"/>
      <c r="L53" s="10"/>
      <c r="M53" s="5"/>
      <c r="N53" s="5"/>
      <c r="O53" s="2">
        <v>0</v>
      </c>
      <c r="P53" s="2">
        <v>0</v>
      </c>
      <c r="Q53" s="5"/>
      <c r="R53" s="5"/>
      <c r="S53" s="11">
        <f t="shared" si="0"/>
        <v>30</v>
      </c>
      <c r="T53" s="12">
        <f t="shared" si="1"/>
        <v>0</v>
      </c>
      <c r="U53" s="13">
        <f t="shared" si="2"/>
        <v>0</v>
      </c>
      <c r="V53" s="14">
        <f t="shared" si="6"/>
        <v>0</v>
      </c>
      <c r="W53" s="15">
        <f t="shared" si="4"/>
        <v>60</v>
      </c>
      <c r="X53" s="15">
        <f t="shared" si="5"/>
        <v>10</v>
      </c>
      <c r="Y53" s="5"/>
      <c r="Z53" s="5">
        <v>1</v>
      </c>
      <c r="AA53" s="5"/>
    </row>
    <row r="54" spans="1:27" ht="15.75" x14ac:dyDescent="0.25">
      <c r="A54" s="1">
        <v>53</v>
      </c>
      <c r="B54" s="2" t="s">
        <v>277</v>
      </c>
      <c r="C54" s="2" t="s">
        <v>60</v>
      </c>
      <c r="D54" s="3" t="s">
        <v>160</v>
      </c>
      <c r="E54" s="4" t="s">
        <v>161</v>
      </c>
      <c r="F54" s="5"/>
      <c r="G54" s="2">
        <v>7</v>
      </c>
      <c r="H54" s="6">
        <v>2</v>
      </c>
      <c r="I54" s="16">
        <v>2</v>
      </c>
      <c r="J54" s="17"/>
      <c r="K54" s="9"/>
      <c r="L54" s="10"/>
      <c r="M54" s="5"/>
      <c r="N54" s="5"/>
      <c r="O54" s="2">
        <v>0</v>
      </c>
      <c r="P54" s="2">
        <v>0</v>
      </c>
      <c r="Q54" s="5"/>
      <c r="R54" s="5"/>
      <c r="S54" s="11">
        <f t="shared" si="0"/>
        <v>30</v>
      </c>
      <c r="T54" s="12">
        <f t="shared" si="1"/>
        <v>0</v>
      </c>
      <c r="U54" s="13">
        <f t="shared" si="2"/>
        <v>0</v>
      </c>
      <c r="V54" s="14">
        <f t="shared" si="6"/>
        <v>0</v>
      </c>
      <c r="W54" s="15">
        <f t="shared" si="4"/>
        <v>60</v>
      </c>
      <c r="X54" s="15">
        <f t="shared" si="5"/>
        <v>10</v>
      </c>
      <c r="Y54" s="5"/>
      <c r="Z54" s="5">
        <v>1</v>
      </c>
      <c r="AA54" s="5"/>
    </row>
    <row r="55" spans="1:27" ht="15.75" x14ac:dyDescent="0.25">
      <c r="A55" s="1">
        <v>54</v>
      </c>
      <c r="B55" s="2" t="s">
        <v>104</v>
      </c>
      <c r="C55" s="2" t="s">
        <v>105</v>
      </c>
      <c r="D55" s="3" t="s">
        <v>106</v>
      </c>
      <c r="E55" s="4" t="s">
        <v>105</v>
      </c>
      <c r="F55" s="5"/>
      <c r="G55" s="2">
        <v>8</v>
      </c>
      <c r="H55" s="6">
        <v>9</v>
      </c>
      <c r="I55" s="16">
        <v>1</v>
      </c>
      <c r="J55" s="17"/>
      <c r="K55" s="9"/>
      <c r="L55" s="10">
        <v>8</v>
      </c>
      <c r="M55" s="5" t="s">
        <v>97</v>
      </c>
      <c r="N55" s="5"/>
      <c r="O55" s="2">
        <v>0</v>
      </c>
      <c r="P55" s="2">
        <v>0</v>
      </c>
      <c r="Q55" s="5"/>
      <c r="R55" s="5"/>
      <c r="S55" s="11">
        <f t="shared" si="0"/>
        <v>15</v>
      </c>
      <c r="T55" s="12">
        <f t="shared" si="1"/>
        <v>0</v>
      </c>
      <c r="U55" s="13">
        <f t="shared" si="2"/>
        <v>0</v>
      </c>
      <c r="V55" s="14">
        <f t="shared" si="6"/>
        <v>360</v>
      </c>
      <c r="W55" s="15">
        <f t="shared" si="4"/>
        <v>390</v>
      </c>
      <c r="X55" s="15">
        <f t="shared" si="5"/>
        <v>45</v>
      </c>
      <c r="Y55" s="5"/>
      <c r="Z55" s="5">
        <v>1</v>
      </c>
      <c r="AA55" s="5"/>
    </row>
    <row r="56" spans="1:27" ht="15.75" x14ac:dyDescent="0.25">
      <c r="A56" s="1">
        <v>55</v>
      </c>
      <c r="B56" s="2" t="s">
        <v>104</v>
      </c>
      <c r="C56" s="2" t="s">
        <v>107</v>
      </c>
      <c r="D56" s="3" t="s">
        <v>108</v>
      </c>
      <c r="E56" s="4" t="s">
        <v>109</v>
      </c>
      <c r="F56" s="5"/>
      <c r="G56" s="2">
        <v>8</v>
      </c>
      <c r="H56" s="6">
        <v>9</v>
      </c>
      <c r="I56" s="16"/>
      <c r="J56" s="17"/>
      <c r="K56" s="9"/>
      <c r="L56" s="10">
        <v>9</v>
      </c>
      <c r="M56" s="5"/>
      <c r="N56" s="5"/>
      <c r="O56" s="2">
        <v>0</v>
      </c>
      <c r="P56" s="2">
        <v>0</v>
      </c>
      <c r="Q56" s="5"/>
      <c r="R56" s="5"/>
      <c r="S56" s="11">
        <f t="shared" si="0"/>
        <v>0</v>
      </c>
      <c r="T56" s="12">
        <f t="shared" si="1"/>
        <v>0</v>
      </c>
      <c r="U56" s="13">
        <f t="shared" si="2"/>
        <v>0</v>
      </c>
      <c r="V56" s="14">
        <f t="shared" si="6"/>
        <v>405</v>
      </c>
      <c r="W56" s="15">
        <f t="shared" si="4"/>
        <v>405</v>
      </c>
      <c r="X56" s="15">
        <f t="shared" si="5"/>
        <v>45</v>
      </c>
      <c r="Y56" s="5"/>
      <c r="Z56" s="5">
        <v>1</v>
      </c>
      <c r="AA56" s="5"/>
    </row>
  </sheetData>
  <dataValidations count="5">
    <dataValidation type="list" allowBlank="1" showErrorMessage="1" sqref="Y2:Y56" xr:uid="{00000000-0002-0000-0100-000000000000}">
      <formula1>#REF!</formula1>
    </dataValidation>
    <dataValidation type="list" allowBlank="1" showErrorMessage="1" sqref="Z2:Z56" xr:uid="{00000000-0002-0000-0100-000001000000}">
      <formula1>"1,0"</formula1>
    </dataValidation>
    <dataValidation type="list" allowBlank="1" showErrorMessage="1" sqref="R2:R56" xr:uid="{00000000-0002-0000-0100-000002000000}">
      <formula1>"Tiên quyết (c),Học trước (d),Song hành (e)"</formula1>
    </dataValidation>
    <dataValidation type="list" allowBlank="1" showErrorMessage="1" sqref="N2:N56" xr:uid="{00000000-0002-0000-0100-000003000000}">
      <formula1>"Nhóm 1,Nhóm 2,Nhóm 3,Nhóm 4"</formula1>
    </dataValidation>
    <dataValidation type="list" allowBlank="1" showErrorMessage="1" sqref="M2:M56" xr:uid="{00000000-0002-0000-0100-000004000000}">
      <formula1>"T,N"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63"/>
  <sheetViews>
    <sheetView workbookViewId="0">
      <selection activeCell="F2" sqref="A2:XFD4"/>
    </sheetView>
  </sheetViews>
  <sheetFormatPr defaultColWidth="14.42578125" defaultRowHeight="15" customHeight="1" x14ac:dyDescent="0.25"/>
  <cols>
    <col min="1" max="1" width="5.140625" customWidth="1"/>
    <col min="2" max="2" width="17.5703125" customWidth="1"/>
    <col min="3" max="3" width="11.42578125" customWidth="1"/>
    <col min="4" max="4" width="21.28515625" customWidth="1"/>
    <col min="5" max="6" width="29" customWidth="1"/>
    <col min="7" max="7" width="12.85546875" customWidth="1"/>
    <col min="8" max="8" width="36" customWidth="1"/>
    <col min="9" max="9" width="9.85546875" customWidth="1"/>
    <col min="10" max="10" width="7.42578125" customWidth="1"/>
    <col min="11" max="11" width="11.42578125" customWidth="1"/>
    <col min="12" max="12" width="9" customWidth="1"/>
    <col min="13" max="13" width="7.7109375" customWidth="1"/>
    <col min="14" max="14" width="12.42578125" customWidth="1"/>
    <col min="15" max="15" width="8.7109375" customWidth="1"/>
    <col min="20" max="20" width="22.42578125" customWidth="1"/>
    <col min="29" max="29" width="17" customWidth="1"/>
    <col min="30" max="30" width="25.140625" bestFit="1" customWidth="1"/>
  </cols>
  <sheetData>
    <row r="1" spans="1:30" ht="15" customHeight="1" x14ac:dyDescent="0.25">
      <c r="A1" t="s">
        <v>250</v>
      </c>
      <c r="B1" t="s">
        <v>251</v>
      </c>
      <c r="C1" t="s">
        <v>282</v>
      </c>
      <c r="D1" t="s">
        <v>283</v>
      </c>
      <c r="E1" t="s">
        <v>252</v>
      </c>
      <c r="F1" t="s">
        <v>284</v>
      </c>
      <c r="G1" t="s">
        <v>285</v>
      </c>
      <c r="H1" t="s">
        <v>286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262</v>
      </c>
      <c r="Q1" t="s">
        <v>263</v>
      </c>
      <c r="R1" t="s">
        <v>264</v>
      </c>
      <c r="S1" t="s">
        <v>265</v>
      </c>
      <c r="T1" t="s">
        <v>266</v>
      </c>
      <c r="U1" t="s">
        <v>267</v>
      </c>
      <c r="V1" t="s">
        <v>268</v>
      </c>
      <c r="W1" t="s">
        <v>269</v>
      </c>
      <c r="X1" t="s">
        <v>270</v>
      </c>
      <c r="Y1" t="s">
        <v>271</v>
      </c>
      <c r="Z1" t="s">
        <v>272</v>
      </c>
      <c r="AA1" t="s">
        <v>273</v>
      </c>
      <c r="AB1" t="s">
        <v>274</v>
      </c>
      <c r="AC1" t="s">
        <v>275</v>
      </c>
      <c r="AD1" t="s">
        <v>276</v>
      </c>
    </row>
    <row r="2" spans="1:30" ht="31.5" x14ac:dyDescent="0.25">
      <c r="A2" s="1">
        <v>1</v>
      </c>
      <c r="B2" s="2" t="s">
        <v>0</v>
      </c>
      <c r="C2" s="2"/>
      <c r="D2" s="2"/>
      <c r="E2" s="2" t="s">
        <v>1</v>
      </c>
      <c r="F2" s="2"/>
      <c r="G2" s="3" t="s">
        <v>2</v>
      </c>
      <c r="H2" s="4" t="s">
        <v>3</v>
      </c>
      <c r="I2" s="5"/>
      <c r="J2" s="2">
        <v>1</v>
      </c>
      <c r="K2" s="6">
        <v>3</v>
      </c>
      <c r="L2" s="16">
        <v>3</v>
      </c>
      <c r="M2" s="17"/>
      <c r="N2" s="20"/>
      <c r="O2" s="21"/>
      <c r="P2" s="5"/>
      <c r="Q2" s="5"/>
      <c r="R2" s="2">
        <v>0</v>
      </c>
      <c r="S2" s="2">
        <v>0</v>
      </c>
      <c r="T2" s="5"/>
      <c r="U2" s="5"/>
      <c r="V2" s="11">
        <f t="shared" ref="V2:V63" si="0">L2*15</f>
        <v>45</v>
      </c>
      <c r="W2" s="12">
        <f t="shared" ref="W2:W63" si="1">IF(M2="",0,IF(P2="T",M2*15*2,IF(P2="N",M2*15*3,"fail")))</f>
        <v>0</v>
      </c>
      <c r="X2" s="13">
        <f t="shared" ref="X2:X63" si="2">N2*15</f>
        <v>0</v>
      </c>
      <c r="Y2" s="14">
        <f>IF(O2="",0,IF(P2="T",O2*15*2,IF(P2="N",O2*15*3,"fail")))</f>
        <v>0</v>
      </c>
      <c r="Z2" s="15">
        <f t="shared" ref="Z2:Z63" si="3">(L2*2+M2+N2*3+O2*3)*15</f>
        <v>90</v>
      </c>
      <c r="AA2" s="15">
        <f t="shared" ref="AA2:AA63" si="4">K2*5</f>
        <v>15</v>
      </c>
      <c r="AB2" s="5"/>
      <c r="AC2" s="5">
        <v>1</v>
      </c>
      <c r="AD2" s="5"/>
    </row>
    <row r="3" spans="1:30" ht="31.5" x14ac:dyDescent="0.25">
      <c r="A3" s="1">
        <v>2</v>
      </c>
      <c r="B3" s="2" t="s">
        <v>0</v>
      </c>
      <c r="C3" s="2"/>
      <c r="D3" s="2"/>
      <c r="E3" s="2" t="s">
        <v>1</v>
      </c>
      <c r="F3" s="2"/>
      <c r="G3" s="3" t="s">
        <v>110</v>
      </c>
      <c r="H3" s="4" t="s">
        <v>111</v>
      </c>
      <c r="I3" s="5"/>
      <c r="J3" s="2">
        <v>2</v>
      </c>
      <c r="K3" s="6">
        <v>2</v>
      </c>
      <c r="L3" s="16">
        <v>2</v>
      </c>
      <c r="M3" s="17"/>
      <c r="N3" s="20"/>
      <c r="O3" s="21"/>
      <c r="P3" s="5"/>
      <c r="Q3" s="5"/>
      <c r="R3" s="2">
        <v>0</v>
      </c>
      <c r="S3" s="2">
        <v>0</v>
      </c>
      <c r="T3" s="3" t="s">
        <v>2</v>
      </c>
      <c r="U3" s="5" t="s">
        <v>112</v>
      </c>
      <c r="V3" s="11">
        <f t="shared" si="0"/>
        <v>30</v>
      </c>
      <c r="W3" s="12">
        <f t="shared" si="1"/>
        <v>0</v>
      </c>
      <c r="X3" s="13">
        <f t="shared" si="2"/>
        <v>0</v>
      </c>
      <c r="Y3" s="14">
        <f t="shared" ref="Y3:Y7" si="5">IF(O3="",0,IF(P3="T",O3*15*2,O3*15*3))</f>
        <v>0</v>
      </c>
      <c r="Z3" s="15">
        <f t="shared" si="3"/>
        <v>60</v>
      </c>
      <c r="AA3" s="15">
        <f t="shared" si="4"/>
        <v>10</v>
      </c>
      <c r="AB3" s="5"/>
      <c r="AC3" s="5">
        <v>1</v>
      </c>
      <c r="AD3" s="5"/>
    </row>
    <row r="4" spans="1:30" ht="31.5" x14ac:dyDescent="0.25">
      <c r="A4" s="1">
        <v>3</v>
      </c>
      <c r="B4" s="2" t="s">
        <v>0</v>
      </c>
      <c r="C4" s="2"/>
      <c r="D4" s="2"/>
      <c r="E4" s="2" t="s">
        <v>1</v>
      </c>
      <c r="F4" s="2"/>
      <c r="G4" s="3" t="s">
        <v>113</v>
      </c>
      <c r="H4" s="4" t="s">
        <v>5</v>
      </c>
      <c r="I4" s="5"/>
      <c r="J4" s="2">
        <v>3</v>
      </c>
      <c r="K4" s="6">
        <v>2</v>
      </c>
      <c r="L4" s="16">
        <v>2</v>
      </c>
      <c r="M4" s="17"/>
      <c r="N4" s="20"/>
      <c r="O4" s="21"/>
      <c r="P4" s="5"/>
      <c r="Q4" s="5"/>
      <c r="R4" s="2">
        <v>0</v>
      </c>
      <c r="S4" s="2">
        <v>0</v>
      </c>
      <c r="T4" s="5"/>
      <c r="U4" s="5"/>
      <c r="V4" s="11">
        <f t="shared" si="0"/>
        <v>30</v>
      </c>
      <c r="W4" s="12">
        <f t="shared" si="1"/>
        <v>0</v>
      </c>
      <c r="X4" s="13">
        <f t="shared" si="2"/>
        <v>0</v>
      </c>
      <c r="Y4" s="14">
        <f t="shared" si="5"/>
        <v>0</v>
      </c>
      <c r="Z4" s="15">
        <f t="shared" si="3"/>
        <v>60</v>
      </c>
      <c r="AA4" s="15">
        <f t="shared" si="4"/>
        <v>10</v>
      </c>
      <c r="AB4" s="5"/>
      <c r="AC4" s="5">
        <v>1</v>
      </c>
      <c r="AD4" s="5"/>
    </row>
    <row r="5" spans="1:30" ht="31.5" x14ac:dyDescent="0.25">
      <c r="A5" s="1">
        <v>4</v>
      </c>
      <c r="B5" s="2" t="s">
        <v>0</v>
      </c>
      <c r="C5" s="2"/>
      <c r="D5" s="2"/>
      <c r="E5" s="2" t="s">
        <v>1</v>
      </c>
      <c r="F5" s="2"/>
      <c r="G5" s="3" t="s">
        <v>114</v>
      </c>
      <c r="H5" s="4" t="s">
        <v>115</v>
      </c>
      <c r="I5" s="5"/>
      <c r="J5" s="2">
        <v>5</v>
      </c>
      <c r="K5" s="6">
        <v>2</v>
      </c>
      <c r="L5" s="16">
        <v>2</v>
      </c>
      <c r="M5" s="17"/>
      <c r="N5" s="20"/>
      <c r="O5" s="21"/>
      <c r="P5" s="5"/>
      <c r="Q5" s="5"/>
      <c r="R5" s="2">
        <v>0</v>
      </c>
      <c r="S5" s="2">
        <v>0</v>
      </c>
      <c r="T5" s="5"/>
      <c r="U5" s="5"/>
      <c r="V5" s="11">
        <f t="shared" si="0"/>
        <v>30</v>
      </c>
      <c r="W5" s="12">
        <f t="shared" si="1"/>
        <v>0</v>
      </c>
      <c r="X5" s="13">
        <f t="shared" si="2"/>
        <v>0</v>
      </c>
      <c r="Y5" s="14">
        <f t="shared" si="5"/>
        <v>0</v>
      </c>
      <c r="Z5" s="15">
        <f t="shared" si="3"/>
        <v>60</v>
      </c>
      <c r="AA5" s="15">
        <f t="shared" si="4"/>
        <v>10</v>
      </c>
      <c r="AB5" s="5"/>
      <c r="AC5" s="5">
        <v>1</v>
      </c>
      <c r="AD5" s="5"/>
    </row>
    <row r="6" spans="1:30" ht="31.5" x14ac:dyDescent="0.25">
      <c r="A6" s="1">
        <v>5</v>
      </c>
      <c r="B6" s="2" t="s">
        <v>0</v>
      </c>
      <c r="C6" s="2"/>
      <c r="D6" s="2"/>
      <c r="E6" s="2" t="s">
        <v>1</v>
      </c>
      <c r="F6" s="2"/>
      <c r="G6" s="3" t="s">
        <v>10</v>
      </c>
      <c r="H6" s="4" t="s">
        <v>11</v>
      </c>
      <c r="I6" s="5"/>
      <c r="J6" s="2">
        <v>4</v>
      </c>
      <c r="K6" s="6">
        <v>2</v>
      </c>
      <c r="L6" s="16">
        <v>2</v>
      </c>
      <c r="M6" s="17"/>
      <c r="N6" s="20"/>
      <c r="O6" s="21"/>
      <c r="P6" s="5"/>
      <c r="Q6" s="5"/>
      <c r="R6" s="2">
        <v>0</v>
      </c>
      <c r="S6" s="2">
        <v>0</v>
      </c>
      <c r="T6" s="5"/>
      <c r="U6" s="5"/>
      <c r="V6" s="11">
        <f t="shared" si="0"/>
        <v>30</v>
      </c>
      <c r="W6" s="12">
        <f t="shared" si="1"/>
        <v>0</v>
      </c>
      <c r="X6" s="13">
        <f t="shared" si="2"/>
        <v>0</v>
      </c>
      <c r="Y6" s="14">
        <f t="shared" si="5"/>
        <v>0</v>
      </c>
      <c r="Z6" s="15">
        <f t="shared" si="3"/>
        <v>60</v>
      </c>
      <c r="AA6" s="15">
        <f t="shared" si="4"/>
        <v>10</v>
      </c>
      <c r="AB6" s="5"/>
      <c r="AC6" s="5">
        <v>1</v>
      </c>
      <c r="AD6" s="5"/>
    </row>
    <row r="7" spans="1:30" ht="31.5" x14ac:dyDescent="0.25">
      <c r="A7" s="1">
        <v>6</v>
      </c>
      <c r="B7" s="2" t="s">
        <v>0</v>
      </c>
      <c r="C7" s="2"/>
      <c r="D7" s="2"/>
      <c r="E7" s="2" t="s">
        <v>1</v>
      </c>
      <c r="F7" s="2"/>
      <c r="G7" s="3" t="s">
        <v>162</v>
      </c>
      <c r="H7" s="4" t="s">
        <v>28</v>
      </c>
      <c r="I7" s="5"/>
      <c r="J7" s="2">
        <v>2</v>
      </c>
      <c r="K7" s="6">
        <v>2</v>
      </c>
      <c r="L7" s="16">
        <v>2</v>
      </c>
      <c r="M7" s="17"/>
      <c r="N7" s="20"/>
      <c r="O7" s="21"/>
      <c r="P7" s="5"/>
      <c r="Q7" s="5"/>
      <c r="R7" s="2">
        <v>1</v>
      </c>
      <c r="S7" s="2">
        <v>7</v>
      </c>
      <c r="T7" s="5"/>
      <c r="U7" s="5"/>
      <c r="V7" s="11">
        <f t="shared" si="0"/>
        <v>30</v>
      </c>
      <c r="W7" s="12">
        <f t="shared" si="1"/>
        <v>0</v>
      </c>
      <c r="X7" s="13">
        <f t="shared" si="2"/>
        <v>0</v>
      </c>
      <c r="Y7" s="14">
        <f t="shared" si="5"/>
        <v>0</v>
      </c>
      <c r="Z7" s="15">
        <f t="shared" si="3"/>
        <v>60</v>
      </c>
      <c r="AA7" s="15">
        <f t="shared" si="4"/>
        <v>10</v>
      </c>
      <c r="AB7" s="5"/>
      <c r="AC7" s="5">
        <v>1</v>
      </c>
      <c r="AD7" s="5"/>
    </row>
    <row r="8" spans="1:30" ht="31.5" x14ac:dyDescent="0.25">
      <c r="A8" s="1">
        <v>7</v>
      </c>
      <c r="B8" s="2" t="s">
        <v>0</v>
      </c>
      <c r="C8" s="2"/>
      <c r="D8" s="2"/>
      <c r="E8" s="2" t="s">
        <v>1</v>
      </c>
      <c r="F8" s="2"/>
      <c r="G8" s="3" t="s">
        <v>163</v>
      </c>
      <c r="H8" s="4" t="s">
        <v>125</v>
      </c>
      <c r="I8" s="5"/>
      <c r="J8" s="2">
        <v>1</v>
      </c>
      <c r="K8" s="6">
        <v>3</v>
      </c>
      <c r="L8" s="16">
        <v>3</v>
      </c>
      <c r="M8" s="17"/>
      <c r="N8" s="20"/>
      <c r="O8" s="21"/>
      <c r="P8" s="5"/>
      <c r="Q8" s="5"/>
      <c r="R8" s="2">
        <v>1</v>
      </c>
      <c r="S8" s="2">
        <v>6</v>
      </c>
      <c r="T8" s="5"/>
      <c r="U8" s="5"/>
      <c r="V8" s="11">
        <f t="shared" si="0"/>
        <v>45</v>
      </c>
      <c r="W8" s="12">
        <f t="shared" si="1"/>
        <v>0</v>
      </c>
      <c r="X8" s="13">
        <f t="shared" si="2"/>
        <v>0</v>
      </c>
      <c r="Y8" s="14">
        <f>IF(O8="",0,IF(P8="T",O8*15*2,IF(P8="N",O8*15*3,"fail")))</f>
        <v>0</v>
      </c>
      <c r="Z8" s="15">
        <f t="shared" si="3"/>
        <v>90</v>
      </c>
      <c r="AA8" s="15">
        <f t="shared" si="4"/>
        <v>15</v>
      </c>
      <c r="AB8" s="5"/>
      <c r="AC8" s="5">
        <v>1</v>
      </c>
      <c r="AD8" s="5"/>
    </row>
    <row r="9" spans="1:30" ht="31.5" x14ac:dyDescent="0.25">
      <c r="A9" s="1">
        <v>8</v>
      </c>
      <c r="B9" s="2" t="s">
        <v>0</v>
      </c>
      <c r="C9" s="2"/>
      <c r="D9" s="2"/>
      <c r="E9" s="2" t="s">
        <v>1</v>
      </c>
      <c r="F9" s="2"/>
      <c r="G9" s="3" t="s">
        <v>164</v>
      </c>
      <c r="H9" s="4" t="s">
        <v>25</v>
      </c>
      <c r="I9" s="5"/>
      <c r="J9" s="2">
        <v>1</v>
      </c>
      <c r="K9" s="6">
        <v>3</v>
      </c>
      <c r="L9" s="16">
        <v>2</v>
      </c>
      <c r="M9" s="17">
        <v>1</v>
      </c>
      <c r="N9" s="20"/>
      <c r="O9" s="21"/>
      <c r="P9" s="5" t="s">
        <v>26</v>
      </c>
      <c r="Q9" s="5"/>
      <c r="R9" s="2">
        <v>1</v>
      </c>
      <c r="S9" s="2">
        <v>4</v>
      </c>
      <c r="T9" s="5"/>
      <c r="U9" s="5"/>
      <c r="V9" s="11">
        <f t="shared" si="0"/>
        <v>30</v>
      </c>
      <c r="W9" s="12">
        <f t="shared" si="1"/>
        <v>30</v>
      </c>
      <c r="X9" s="13">
        <f t="shared" si="2"/>
        <v>0</v>
      </c>
      <c r="Y9" s="14">
        <f t="shared" ref="Y9:Y63" si="6">IF(O9="",0,IF(P9="T",O9*15*2,O9*15*3))</f>
        <v>0</v>
      </c>
      <c r="Z9" s="15">
        <f t="shared" si="3"/>
        <v>75</v>
      </c>
      <c r="AA9" s="15">
        <f t="shared" si="4"/>
        <v>15</v>
      </c>
      <c r="AB9" s="5"/>
      <c r="AC9" s="5">
        <v>1</v>
      </c>
      <c r="AD9" s="5"/>
    </row>
    <row r="10" spans="1:30" ht="31.5" x14ac:dyDescent="0.25">
      <c r="A10" s="1">
        <v>9</v>
      </c>
      <c r="B10" s="2" t="s">
        <v>0</v>
      </c>
      <c r="C10" s="2"/>
      <c r="D10" s="2"/>
      <c r="E10" s="2" t="s">
        <v>1</v>
      </c>
      <c r="F10" s="2"/>
      <c r="G10" s="3" t="s">
        <v>165</v>
      </c>
      <c r="H10" s="4" t="s">
        <v>117</v>
      </c>
      <c r="I10" s="5"/>
      <c r="J10" s="2">
        <v>1</v>
      </c>
      <c r="K10" s="6">
        <v>3</v>
      </c>
      <c r="L10" s="16">
        <v>3</v>
      </c>
      <c r="M10" s="17"/>
      <c r="N10" s="20"/>
      <c r="O10" s="21"/>
      <c r="P10" s="5"/>
      <c r="Q10" s="5"/>
      <c r="R10" s="2">
        <v>1</v>
      </c>
      <c r="S10" s="2">
        <v>5</v>
      </c>
      <c r="T10" s="5"/>
      <c r="U10" s="5"/>
      <c r="V10" s="11">
        <f t="shared" si="0"/>
        <v>45</v>
      </c>
      <c r="W10" s="12">
        <f t="shared" si="1"/>
        <v>0</v>
      </c>
      <c r="X10" s="13">
        <f t="shared" si="2"/>
        <v>0</v>
      </c>
      <c r="Y10" s="14">
        <f t="shared" si="6"/>
        <v>0</v>
      </c>
      <c r="Z10" s="15">
        <f t="shared" si="3"/>
        <v>90</v>
      </c>
      <c r="AA10" s="15">
        <f t="shared" si="4"/>
        <v>15</v>
      </c>
      <c r="AB10" s="5"/>
      <c r="AC10" s="5">
        <v>1</v>
      </c>
      <c r="AD10" s="5"/>
    </row>
    <row r="11" spans="1:30" ht="31.5" x14ac:dyDescent="0.25">
      <c r="A11" s="1">
        <v>10</v>
      </c>
      <c r="B11" s="2" t="s">
        <v>0</v>
      </c>
      <c r="C11" s="2"/>
      <c r="D11" s="2"/>
      <c r="E11" s="2" t="s">
        <v>1</v>
      </c>
      <c r="F11" s="2"/>
      <c r="G11" s="3" t="s">
        <v>166</v>
      </c>
      <c r="H11" s="4" t="s">
        <v>119</v>
      </c>
      <c r="I11" s="5"/>
      <c r="J11" s="2">
        <v>2</v>
      </c>
      <c r="K11" s="6">
        <v>2</v>
      </c>
      <c r="L11" s="16">
        <v>2</v>
      </c>
      <c r="M11" s="17"/>
      <c r="N11" s="20"/>
      <c r="O11" s="21"/>
      <c r="P11" s="5"/>
      <c r="Q11" s="5"/>
      <c r="R11" s="2">
        <v>1</v>
      </c>
      <c r="S11" s="2">
        <v>10</v>
      </c>
      <c r="T11" s="5"/>
      <c r="U11" s="5"/>
      <c r="V11" s="11">
        <f t="shared" si="0"/>
        <v>30</v>
      </c>
      <c r="W11" s="12">
        <f t="shared" si="1"/>
        <v>0</v>
      </c>
      <c r="X11" s="13">
        <f t="shared" si="2"/>
        <v>0</v>
      </c>
      <c r="Y11" s="14">
        <f t="shared" si="6"/>
        <v>0</v>
      </c>
      <c r="Z11" s="15">
        <f t="shared" si="3"/>
        <v>60</v>
      </c>
      <c r="AA11" s="15">
        <f t="shared" si="4"/>
        <v>10</v>
      </c>
      <c r="AB11" s="5"/>
      <c r="AC11" s="5">
        <v>1</v>
      </c>
      <c r="AD11" s="5"/>
    </row>
    <row r="12" spans="1:30" ht="31.5" x14ac:dyDescent="0.25">
      <c r="A12" s="1">
        <v>11</v>
      </c>
      <c r="B12" s="2" t="s">
        <v>0</v>
      </c>
      <c r="C12" s="2"/>
      <c r="D12" s="2"/>
      <c r="E12" s="2" t="s">
        <v>1</v>
      </c>
      <c r="F12" s="2"/>
      <c r="G12" s="3" t="s">
        <v>167</v>
      </c>
      <c r="H12" s="4" t="s">
        <v>32</v>
      </c>
      <c r="I12" s="5"/>
      <c r="J12" s="2">
        <v>2</v>
      </c>
      <c r="K12" s="6">
        <v>2</v>
      </c>
      <c r="L12" s="16">
        <v>2</v>
      </c>
      <c r="M12" s="17"/>
      <c r="N12" s="20"/>
      <c r="O12" s="21"/>
      <c r="P12" s="5"/>
      <c r="Q12" s="5"/>
      <c r="R12" s="2">
        <v>0</v>
      </c>
      <c r="S12" s="2">
        <v>0</v>
      </c>
      <c r="T12" s="5"/>
      <c r="U12" s="5"/>
      <c r="V12" s="11">
        <f t="shared" si="0"/>
        <v>30</v>
      </c>
      <c r="W12" s="12">
        <f t="shared" si="1"/>
        <v>0</v>
      </c>
      <c r="X12" s="13">
        <f t="shared" si="2"/>
        <v>0</v>
      </c>
      <c r="Y12" s="14">
        <f t="shared" si="6"/>
        <v>0</v>
      </c>
      <c r="Z12" s="15">
        <f t="shared" si="3"/>
        <v>60</v>
      </c>
      <c r="AA12" s="15">
        <f t="shared" si="4"/>
        <v>10</v>
      </c>
      <c r="AB12" s="5"/>
      <c r="AC12" s="5">
        <v>1</v>
      </c>
      <c r="AD12" s="5"/>
    </row>
    <row r="13" spans="1:30" ht="31.5" x14ac:dyDescent="0.25">
      <c r="A13" s="1">
        <v>12</v>
      </c>
      <c r="B13" s="2" t="s">
        <v>0</v>
      </c>
      <c r="C13" s="2"/>
      <c r="D13" s="2"/>
      <c r="E13" s="2" t="s">
        <v>1</v>
      </c>
      <c r="F13" s="2"/>
      <c r="G13" s="3" t="s">
        <v>132</v>
      </c>
      <c r="H13" s="4" t="s">
        <v>133</v>
      </c>
      <c r="I13" s="5"/>
      <c r="J13" s="2">
        <v>4</v>
      </c>
      <c r="K13" s="6">
        <v>2</v>
      </c>
      <c r="L13" s="16">
        <v>2</v>
      </c>
      <c r="M13" s="17"/>
      <c r="N13" s="20"/>
      <c r="O13" s="21"/>
      <c r="P13" s="5"/>
      <c r="Q13" s="5"/>
      <c r="R13" s="2">
        <v>1</v>
      </c>
      <c r="S13" s="2">
        <v>1</v>
      </c>
      <c r="T13" s="3" t="s">
        <v>165</v>
      </c>
      <c r="U13" s="5" t="s">
        <v>112</v>
      </c>
      <c r="V13" s="11">
        <f t="shared" si="0"/>
        <v>30</v>
      </c>
      <c r="W13" s="12">
        <f t="shared" si="1"/>
        <v>0</v>
      </c>
      <c r="X13" s="13">
        <f t="shared" si="2"/>
        <v>0</v>
      </c>
      <c r="Y13" s="14">
        <f t="shared" si="6"/>
        <v>0</v>
      </c>
      <c r="Z13" s="15">
        <f t="shared" si="3"/>
        <v>60</v>
      </c>
      <c r="AA13" s="15">
        <f t="shared" si="4"/>
        <v>10</v>
      </c>
      <c r="AB13" s="5"/>
      <c r="AC13" s="5">
        <v>1</v>
      </c>
      <c r="AD13" s="5"/>
    </row>
    <row r="14" spans="1:30" ht="31.5" x14ac:dyDescent="0.25">
      <c r="A14" s="1">
        <v>13</v>
      </c>
      <c r="B14" s="2" t="s">
        <v>0</v>
      </c>
      <c r="C14" s="2"/>
      <c r="D14" s="2"/>
      <c r="E14" s="2" t="s">
        <v>1</v>
      </c>
      <c r="F14" s="2"/>
      <c r="G14" s="3" t="s">
        <v>168</v>
      </c>
      <c r="H14" s="4" t="s">
        <v>17</v>
      </c>
      <c r="I14" s="5"/>
      <c r="J14" s="2">
        <v>1</v>
      </c>
      <c r="K14" s="6">
        <v>3</v>
      </c>
      <c r="L14" s="16">
        <v>3</v>
      </c>
      <c r="M14" s="17"/>
      <c r="N14" s="20"/>
      <c r="O14" s="21"/>
      <c r="P14" s="5"/>
      <c r="Q14" s="5"/>
      <c r="R14" s="2">
        <v>1</v>
      </c>
      <c r="S14" s="2">
        <v>3</v>
      </c>
      <c r="T14" s="5"/>
      <c r="U14" s="5"/>
      <c r="V14" s="11">
        <f t="shared" si="0"/>
        <v>45</v>
      </c>
      <c r="W14" s="12">
        <f t="shared" si="1"/>
        <v>0</v>
      </c>
      <c r="X14" s="13">
        <f t="shared" si="2"/>
        <v>0</v>
      </c>
      <c r="Y14" s="14">
        <f t="shared" si="6"/>
        <v>0</v>
      </c>
      <c r="Z14" s="15">
        <f t="shared" si="3"/>
        <v>90</v>
      </c>
      <c r="AA14" s="15">
        <f t="shared" si="4"/>
        <v>15</v>
      </c>
      <c r="AB14" s="5"/>
      <c r="AC14" s="5">
        <v>1</v>
      </c>
      <c r="AD14" s="5"/>
    </row>
    <row r="15" spans="1:30" ht="31.5" x14ac:dyDescent="0.25">
      <c r="A15" s="1">
        <v>14</v>
      </c>
      <c r="B15" s="2" t="s">
        <v>0</v>
      </c>
      <c r="C15" s="2"/>
      <c r="D15" s="2"/>
      <c r="E15" s="2" t="s">
        <v>1</v>
      </c>
      <c r="F15" s="2"/>
      <c r="G15" s="3" t="s">
        <v>169</v>
      </c>
      <c r="H15" s="4" t="s">
        <v>19</v>
      </c>
      <c r="I15" s="5"/>
      <c r="J15" s="2">
        <v>2</v>
      </c>
      <c r="K15" s="6">
        <v>3</v>
      </c>
      <c r="L15" s="16">
        <v>3</v>
      </c>
      <c r="M15" s="17"/>
      <c r="N15" s="20"/>
      <c r="O15" s="21"/>
      <c r="P15" s="5"/>
      <c r="Q15" s="5"/>
      <c r="R15" s="2">
        <v>0</v>
      </c>
      <c r="S15" s="2">
        <v>0</v>
      </c>
      <c r="T15" s="3" t="s">
        <v>168</v>
      </c>
      <c r="U15" s="5" t="s">
        <v>112</v>
      </c>
      <c r="V15" s="11">
        <f t="shared" si="0"/>
        <v>45</v>
      </c>
      <c r="W15" s="12">
        <f t="shared" si="1"/>
        <v>0</v>
      </c>
      <c r="X15" s="13">
        <f t="shared" si="2"/>
        <v>0</v>
      </c>
      <c r="Y15" s="14">
        <f t="shared" si="6"/>
        <v>0</v>
      </c>
      <c r="Z15" s="15">
        <f t="shared" si="3"/>
        <v>90</v>
      </c>
      <c r="AA15" s="15">
        <f t="shared" si="4"/>
        <v>15</v>
      </c>
      <c r="AB15" s="5"/>
      <c r="AC15" s="5">
        <v>1</v>
      </c>
      <c r="AD15" s="5"/>
    </row>
    <row r="16" spans="1:30" ht="31.5" x14ac:dyDescent="0.25">
      <c r="A16" s="1">
        <v>15</v>
      </c>
      <c r="B16" s="2" t="s">
        <v>0</v>
      </c>
      <c r="C16" s="2"/>
      <c r="D16" s="2"/>
      <c r="E16" s="2" t="s">
        <v>1</v>
      </c>
      <c r="F16" s="2"/>
      <c r="G16" s="3" t="s">
        <v>170</v>
      </c>
      <c r="H16" s="4" t="s">
        <v>21</v>
      </c>
      <c r="I16" s="5"/>
      <c r="J16" s="2">
        <v>3</v>
      </c>
      <c r="K16" s="6">
        <v>3</v>
      </c>
      <c r="L16" s="16">
        <v>3</v>
      </c>
      <c r="M16" s="17"/>
      <c r="N16" s="20"/>
      <c r="O16" s="21"/>
      <c r="P16" s="5"/>
      <c r="Q16" s="5"/>
      <c r="R16" s="2">
        <v>0</v>
      </c>
      <c r="S16" s="2">
        <v>0</v>
      </c>
      <c r="T16" s="3" t="s">
        <v>169</v>
      </c>
      <c r="U16" s="5" t="s">
        <v>112</v>
      </c>
      <c r="V16" s="11">
        <f t="shared" si="0"/>
        <v>45</v>
      </c>
      <c r="W16" s="12">
        <f t="shared" si="1"/>
        <v>0</v>
      </c>
      <c r="X16" s="13">
        <f t="shared" si="2"/>
        <v>0</v>
      </c>
      <c r="Y16" s="14">
        <f t="shared" si="6"/>
        <v>0</v>
      </c>
      <c r="Z16" s="15">
        <f t="shared" si="3"/>
        <v>90</v>
      </c>
      <c r="AA16" s="15">
        <f t="shared" si="4"/>
        <v>15</v>
      </c>
      <c r="AB16" s="5"/>
      <c r="AC16" s="5">
        <v>1</v>
      </c>
      <c r="AD16" s="5"/>
    </row>
    <row r="17" spans="1:30" ht="31.5" x14ac:dyDescent="0.25">
      <c r="A17" s="1">
        <v>16</v>
      </c>
      <c r="B17" s="2" t="s">
        <v>0</v>
      </c>
      <c r="C17" s="2"/>
      <c r="D17" s="2"/>
      <c r="E17" s="2" t="s">
        <v>1</v>
      </c>
      <c r="F17" s="2"/>
      <c r="G17" s="3" t="s">
        <v>33</v>
      </c>
      <c r="H17" s="4" t="s">
        <v>34</v>
      </c>
      <c r="I17" s="5"/>
      <c r="J17" s="2">
        <v>5</v>
      </c>
      <c r="K17" s="6">
        <v>3</v>
      </c>
      <c r="L17" s="16">
        <v>1</v>
      </c>
      <c r="M17" s="17">
        <v>2</v>
      </c>
      <c r="N17" s="20"/>
      <c r="O17" s="21"/>
      <c r="P17" s="5" t="s">
        <v>26</v>
      </c>
      <c r="Q17" s="5"/>
      <c r="R17" s="2">
        <v>1</v>
      </c>
      <c r="S17" s="2">
        <v>2</v>
      </c>
      <c r="T17" s="5"/>
      <c r="U17" s="5"/>
      <c r="V17" s="11">
        <f t="shared" si="0"/>
        <v>15</v>
      </c>
      <c r="W17" s="12">
        <f t="shared" si="1"/>
        <v>60</v>
      </c>
      <c r="X17" s="13">
        <f t="shared" si="2"/>
        <v>0</v>
      </c>
      <c r="Y17" s="14">
        <f t="shared" si="6"/>
        <v>0</v>
      </c>
      <c r="Z17" s="15">
        <f t="shared" si="3"/>
        <v>60</v>
      </c>
      <c r="AA17" s="15">
        <f t="shared" si="4"/>
        <v>15</v>
      </c>
      <c r="AB17" s="5"/>
      <c r="AC17" s="5">
        <v>0</v>
      </c>
      <c r="AD17" s="5"/>
    </row>
    <row r="18" spans="1:30" ht="31.5" x14ac:dyDescent="0.25">
      <c r="A18" s="1">
        <v>17</v>
      </c>
      <c r="B18" s="2" t="s">
        <v>0</v>
      </c>
      <c r="C18" s="2"/>
      <c r="D18" s="2"/>
      <c r="E18" s="2" t="s">
        <v>1</v>
      </c>
      <c r="F18" s="2"/>
      <c r="G18" s="3" t="s">
        <v>35</v>
      </c>
      <c r="H18" s="4" t="s">
        <v>36</v>
      </c>
      <c r="I18" s="5"/>
      <c r="J18" s="2">
        <v>1</v>
      </c>
      <c r="K18" s="6">
        <v>8</v>
      </c>
      <c r="L18" s="16"/>
      <c r="M18" s="17"/>
      <c r="N18" s="20"/>
      <c r="O18" s="21"/>
      <c r="P18" s="5"/>
      <c r="Q18" s="5"/>
      <c r="R18" s="2">
        <v>0</v>
      </c>
      <c r="S18" s="2">
        <v>0</v>
      </c>
      <c r="T18" s="5"/>
      <c r="U18" s="5"/>
      <c r="V18" s="11">
        <f t="shared" si="0"/>
        <v>0</v>
      </c>
      <c r="W18" s="12">
        <f t="shared" si="1"/>
        <v>0</v>
      </c>
      <c r="X18" s="13">
        <f t="shared" si="2"/>
        <v>0</v>
      </c>
      <c r="Y18" s="14">
        <f t="shared" si="6"/>
        <v>0</v>
      </c>
      <c r="Z18" s="15">
        <f t="shared" si="3"/>
        <v>0</v>
      </c>
      <c r="AA18" s="15">
        <f t="shared" si="4"/>
        <v>40</v>
      </c>
      <c r="AB18" s="5"/>
      <c r="AC18" s="5">
        <v>0</v>
      </c>
      <c r="AD18" s="5"/>
    </row>
    <row r="19" spans="1:30" ht="28.5" customHeight="1" x14ac:dyDescent="0.25">
      <c r="A19" s="1">
        <v>18</v>
      </c>
      <c r="B19" s="2" t="s">
        <v>37</v>
      </c>
      <c r="C19" s="2"/>
      <c r="D19" s="2"/>
      <c r="E19" s="2" t="s">
        <v>38</v>
      </c>
      <c r="F19" s="2"/>
      <c r="G19" s="3" t="s">
        <v>126</v>
      </c>
      <c r="H19" s="4" t="s">
        <v>171</v>
      </c>
      <c r="I19" s="5"/>
      <c r="J19" s="2">
        <v>2</v>
      </c>
      <c r="K19" s="6">
        <v>3</v>
      </c>
      <c r="L19" s="18">
        <f>35/15</f>
        <v>2.3333333333333335</v>
      </c>
      <c r="M19" s="19">
        <v>0.66666666666666663</v>
      </c>
      <c r="N19" s="20"/>
      <c r="O19" s="21"/>
      <c r="P19" s="5" t="s">
        <v>26</v>
      </c>
      <c r="Q19" s="5"/>
      <c r="R19" s="2">
        <v>1</v>
      </c>
      <c r="S19" s="2">
        <v>8</v>
      </c>
      <c r="T19" s="5"/>
      <c r="U19" s="5"/>
      <c r="V19" s="11">
        <f t="shared" si="0"/>
        <v>35</v>
      </c>
      <c r="W19" s="12">
        <f t="shared" si="1"/>
        <v>20</v>
      </c>
      <c r="X19" s="13">
        <f t="shared" si="2"/>
        <v>0</v>
      </c>
      <c r="Y19" s="14">
        <f t="shared" si="6"/>
        <v>0</v>
      </c>
      <c r="Z19" s="15">
        <f t="shared" si="3"/>
        <v>80.000000000000014</v>
      </c>
      <c r="AA19" s="15">
        <f t="shared" si="4"/>
        <v>15</v>
      </c>
      <c r="AB19" s="5"/>
      <c r="AC19" s="5">
        <v>1</v>
      </c>
      <c r="AD19" s="5"/>
    </row>
    <row r="20" spans="1:30" ht="28.5" customHeight="1" x14ac:dyDescent="0.25">
      <c r="A20" s="1">
        <v>19</v>
      </c>
      <c r="B20" s="2" t="s">
        <v>37</v>
      </c>
      <c r="C20" s="2"/>
      <c r="D20" s="2"/>
      <c r="E20" s="2" t="s">
        <v>38</v>
      </c>
      <c r="F20" s="2"/>
      <c r="G20" s="3" t="s">
        <v>172</v>
      </c>
      <c r="H20" s="4" t="s">
        <v>173</v>
      </c>
      <c r="I20" s="5"/>
      <c r="J20" s="2">
        <v>3</v>
      </c>
      <c r="K20" s="6">
        <v>4</v>
      </c>
      <c r="L20" s="16">
        <v>3</v>
      </c>
      <c r="M20" s="17">
        <v>1</v>
      </c>
      <c r="N20" s="20"/>
      <c r="O20" s="21"/>
      <c r="P20" s="5" t="s">
        <v>26</v>
      </c>
      <c r="Q20" s="5"/>
      <c r="R20" s="2">
        <v>0</v>
      </c>
      <c r="S20" s="2">
        <v>0</v>
      </c>
      <c r="T20" s="5"/>
      <c r="U20" s="5"/>
      <c r="V20" s="11">
        <f t="shared" si="0"/>
        <v>45</v>
      </c>
      <c r="W20" s="12">
        <f t="shared" si="1"/>
        <v>30</v>
      </c>
      <c r="X20" s="13">
        <f t="shared" si="2"/>
        <v>0</v>
      </c>
      <c r="Y20" s="14">
        <f t="shared" si="6"/>
        <v>0</v>
      </c>
      <c r="Z20" s="15">
        <f t="shared" si="3"/>
        <v>105</v>
      </c>
      <c r="AA20" s="15">
        <f t="shared" si="4"/>
        <v>20</v>
      </c>
      <c r="AB20" s="5"/>
      <c r="AC20" s="5">
        <v>1</v>
      </c>
      <c r="AD20" s="5"/>
    </row>
    <row r="21" spans="1:30" ht="28.5" customHeight="1" x14ac:dyDescent="0.25">
      <c r="A21" s="1">
        <v>20</v>
      </c>
      <c r="B21" s="2" t="s">
        <v>37</v>
      </c>
      <c r="C21" s="2"/>
      <c r="D21" s="2"/>
      <c r="E21" s="2" t="s">
        <v>38</v>
      </c>
      <c r="F21" s="2"/>
      <c r="G21" s="3" t="s">
        <v>174</v>
      </c>
      <c r="H21" s="4" t="s">
        <v>175</v>
      </c>
      <c r="I21" s="5"/>
      <c r="J21" s="2">
        <v>2</v>
      </c>
      <c r="K21" s="6">
        <v>3</v>
      </c>
      <c r="L21" s="16">
        <v>2</v>
      </c>
      <c r="M21" s="17">
        <v>1</v>
      </c>
      <c r="N21" s="20"/>
      <c r="O21" s="21"/>
      <c r="P21" s="5" t="s">
        <v>26</v>
      </c>
      <c r="Q21" s="5"/>
      <c r="R21" s="2">
        <v>0</v>
      </c>
      <c r="S21" s="2">
        <v>0</v>
      </c>
      <c r="T21" s="5"/>
      <c r="U21" s="5"/>
      <c r="V21" s="11">
        <f t="shared" si="0"/>
        <v>30</v>
      </c>
      <c r="W21" s="12">
        <f t="shared" si="1"/>
        <v>30</v>
      </c>
      <c r="X21" s="13">
        <f t="shared" si="2"/>
        <v>0</v>
      </c>
      <c r="Y21" s="14">
        <f t="shared" si="6"/>
        <v>0</v>
      </c>
      <c r="Z21" s="15">
        <f t="shared" si="3"/>
        <v>75</v>
      </c>
      <c r="AA21" s="15">
        <f t="shared" si="4"/>
        <v>15</v>
      </c>
      <c r="AB21" s="5"/>
      <c r="AC21" s="5">
        <v>1</v>
      </c>
      <c r="AD21" s="5"/>
    </row>
    <row r="22" spans="1:30" ht="28.5" customHeight="1" x14ac:dyDescent="0.25">
      <c r="A22" s="1">
        <v>21</v>
      </c>
      <c r="B22" s="2" t="s">
        <v>37</v>
      </c>
      <c r="C22" s="2"/>
      <c r="D22" s="2"/>
      <c r="E22" s="2" t="s">
        <v>38</v>
      </c>
      <c r="F22" s="2"/>
      <c r="G22" s="3" t="s">
        <v>129</v>
      </c>
      <c r="H22" s="4" t="s">
        <v>48</v>
      </c>
      <c r="I22" s="5"/>
      <c r="J22" s="2">
        <v>4</v>
      </c>
      <c r="K22" s="6">
        <v>3</v>
      </c>
      <c r="L22" s="16">
        <v>3</v>
      </c>
      <c r="M22" s="17"/>
      <c r="N22" s="20"/>
      <c r="O22" s="21"/>
      <c r="P22" s="5"/>
      <c r="Q22" s="5"/>
      <c r="R22" s="2">
        <v>0</v>
      </c>
      <c r="S22" s="2">
        <v>0</v>
      </c>
      <c r="T22" s="3" t="s">
        <v>164</v>
      </c>
      <c r="U22" s="5" t="s">
        <v>112</v>
      </c>
      <c r="V22" s="11">
        <f t="shared" si="0"/>
        <v>45</v>
      </c>
      <c r="W22" s="12">
        <f t="shared" si="1"/>
        <v>0</v>
      </c>
      <c r="X22" s="13">
        <f t="shared" si="2"/>
        <v>0</v>
      </c>
      <c r="Y22" s="14">
        <f t="shared" si="6"/>
        <v>0</v>
      </c>
      <c r="Z22" s="15">
        <f t="shared" si="3"/>
        <v>90</v>
      </c>
      <c r="AA22" s="15">
        <f t="shared" si="4"/>
        <v>15</v>
      </c>
      <c r="AB22" s="5"/>
      <c r="AC22" s="5">
        <v>1</v>
      </c>
      <c r="AD22" s="5"/>
    </row>
    <row r="23" spans="1:30" ht="28.5" customHeight="1" x14ac:dyDescent="0.25">
      <c r="A23" s="1">
        <v>22</v>
      </c>
      <c r="B23" s="2" t="s">
        <v>37</v>
      </c>
      <c r="C23" s="2"/>
      <c r="D23" s="2"/>
      <c r="E23" s="2" t="s">
        <v>38</v>
      </c>
      <c r="F23" s="2"/>
      <c r="G23" s="3" t="s">
        <v>49</v>
      </c>
      <c r="H23" s="4" t="s">
        <v>50</v>
      </c>
      <c r="I23" s="5"/>
      <c r="J23" s="2">
        <v>6</v>
      </c>
      <c r="K23" s="6">
        <v>4</v>
      </c>
      <c r="L23" s="22">
        <f>45/15</f>
        <v>3</v>
      </c>
      <c r="M23" s="23">
        <f>30/30</f>
        <v>1</v>
      </c>
      <c r="N23" s="20"/>
      <c r="O23" s="21"/>
      <c r="P23" s="5" t="s">
        <v>26</v>
      </c>
      <c r="Q23" s="5"/>
      <c r="R23" s="2">
        <v>0</v>
      </c>
      <c r="S23" s="2">
        <v>0</v>
      </c>
      <c r="T23" s="3" t="s">
        <v>176</v>
      </c>
      <c r="U23" s="5" t="s">
        <v>112</v>
      </c>
      <c r="V23" s="11">
        <f t="shared" si="0"/>
        <v>45</v>
      </c>
      <c r="W23" s="12">
        <f t="shared" si="1"/>
        <v>30</v>
      </c>
      <c r="X23" s="13">
        <f t="shared" si="2"/>
        <v>0</v>
      </c>
      <c r="Y23" s="14">
        <f t="shared" si="6"/>
        <v>0</v>
      </c>
      <c r="Z23" s="15">
        <f t="shared" si="3"/>
        <v>105</v>
      </c>
      <c r="AA23" s="15">
        <f t="shared" si="4"/>
        <v>20</v>
      </c>
      <c r="AB23" s="5"/>
      <c r="AC23" s="5">
        <v>1</v>
      </c>
      <c r="AD23" s="5"/>
    </row>
    <row r="24" spans="1:30" ht="28.5" customHeight="1" x14ac:dyDescent="0.25">
      <c r="A24" s="1">
        <v>23</v>
      </c>
      <c r="B24" s="2" t="s">
        <v>37</v>
      </c>
      <c r="C24" s="2"/>
      <c r="D24" s="2"/>
      <c r="E24" s="2" t="s">
        <v>38</v>
      </c>
      <c r="F24" s="2"/>
      <c r="G24" s="3" t="s">
        <v>51</v>
      </c>
      <c r="H24" s="4" t="s">
        <v>52</v>
      </c>
      <c r="I24" s="5"/>
      <c r="J24" s="2">
        <v>5</v>
      </c>
      <c r="K24" s="6">
        <v>3</v>
      </c>
      <c r="L24" s="16">
        <v>3</v>
      </c>
      <c r="M24" s="17"/>
      <c r="N24" s="20"/>
      <c r="O24" s="21"/>
      <c r="P24" s="5"/>
      <c r="Q24" s="5"/>
      <c r="R24" s="2">
        <v>0</v>
      </c>
      <c r="S24" s="2">
        <v>0</v>
      </c>
      <c r="T24" s="3" t="s">
        <v>177</v>
      </c>
      <c r="U24" s="5" t="s">
        <v>112</v>
      </c>
      <c r="V24" s="11">
        <f t="shared" si="0"/>
        <v>45</v>
      </c>
      <c r="W24" s="12">
        <f t="shared" si="1"/>
        <v>0</v>
      </c>
      <c r="X24" s="13">
        <f t="shared" si="2"/>
        <v>0</v>
      </c>
      <c r="Y24" s="14">
        <f t="shared" si="6"/>
        <v>0</v>
      </c>
      <c r="Z24" s="15">
        <f t="shared" si="3"/>
        <v>90</v>
      </c>
      <c r="AA24" s="15">
        <f t="shared" si="4"/>
        <v>15</v>
      </c>
      <c r="AB24" s="5"/>
      <c r="AC24" s="5">
        <v>1</v>
      </c>
      <c r="AD24" s="5"/>
    </row>
    <row r="25" spans="1:30" ht="28.5" customHeight="1" x14ac:dyDescent="0.25">
      <c r="A25" s="1">
        <v>24</v>
      </c>
      <c r="B25" s="2" t="s">
        <v>37</v>
      </c>
      <c r="C25" s="2"/>
      <c r="D25" s="2"/>
      <c r="E25" s="2" t="s">
        <v>38</v>
      </c>
      <c r="F25" s="2"/>
      <c r="G25" s="3" t="s">
        <v>130</v>
      </c>
      <c r="H25" s="4" t="s">
        <v>131</v>
      </c>
      <c r="I25" s="5"/>
      <c r="J25" s="2">
        <v>3</v>
      </c>
      <c r="K25" s="6">
        <v>3</v>
      </c>
      <c r="L25" s="18">
        <v>2.3333333333333335</v>
      </c>
      <c r="M25" s="19">
        <v>0.66666666666666663</v>
      </c>
      <c r="N25" s="20"/>
      <c r="O25" s="21"/>
      <c r="P25" s="5" t="s">
        <v>26</v>
      </c>
      <c r="Q25" s="5"/>
      <c r="R25" s="2">
        <v>0</v>
      </c>
      <c r="S25" s="2">
        <v>0</v>
      </c>
      <c r="T25" s="3" t="s">
        <v>126</v>
      </c>
      <c r="U25" s="5" t="s">
        <v>112</v>
      </c>
      <c r="V25" s="11">
        <f t="shared" si="0"/>
        <v>35</v>
      </c>
      <c r="W25" s="12">
        <f t="shared" si="1"/>
        <v>20</v>
      </c>
      <c r="X25" s="13">
        <f t="shared" si="2"/>
        <v>0</v>
      </c>
      <c r="Y25" s="14">
        <f t="shared" si="6"/>
        <v>0</v>
      </c>
      <c r="Z25" s="15">
        <f t="shared" si="3"/>
        <v>80.000000000000014</v>
      </c>
      <c r="AA25" s="15">
        <f t="shared" si="4"/>
        <v>15</v>
      </c>
      <c r="AB25" s="5"/>
      <c r="AC25" s="5">
        <v>1</v>
      </c>
      <c r="AD25" s="5"/>
    </row>
    <row r="26" spans="1:30" ht="28.5" customHeight="1" x14ac:dyDescent="0.25">
      <c r="A26" s="1">
        <v>25</v>
      </c>
      <c r="B26" s="2" t="s">
        <v>37</v>
      </c>
      <c r="C26" s="2"/>
      <c r="D26" s="2"/>
      <c r="E26" s="2" t="s">
        <v>38</v>
      </c>
      <c r="F26" s="2"/>
      <c r="G26" s="3" t="s">
        <v>178</v>
      </c>
      <c r="H26" s="4" t="s">
        <v>179</v>
      </c>
      <c r="I26" s="5"/>
      <c r="J26" s="2">
        <v>1</v>
      </c>
      <c r="K26" s="6">
        <v>2</v>
      </c>
      <c r="L26" s="16">
        <v>1</v>
      </c>
      <c r="M26" s="17">
        <v>1</v>
      </c>
      <c r="N26" s="20"/>
      <c r="O26" s="21"/>
      <c r="P26" s="5" t="s">
        <v>26</v>
      </c>
      <c r="Q26" s="5"/>
      <c r="R26" s="2">
        <v>0</v>
      </c>
      <c r="S26" s="2">
        <v>0</v>
      </c>
      <c r="T26" s="5"/>
      <c r="U26" s="5"/>
      <c r="V26" s="11">
        <f t="shared" si="0"/>
        <v>15</v>
      </c>
      <c r="W26" s="12">
        <f t="shared" si="1"/>
        <v>30</v>
      </c>
      <c r="X26" s="13">
        <f t="shared" si="2"/>
        <v>0</v>
      </c>
      <c r="Y26" s="14">
        <f t="shared" si="6"/>
        <v>0</v>
      </c>
      <c r="Z26" s="15">
        <f t="shared" si="3"/>
        <v>45</v>
      </c>
      <c r="AA26" s="15">
        <f t="shared" si="4"/>
        <v>10</v>
      </c>
      <c r="AB26" s="5"/>
      <c r="AC26" s="5">
        <v>1</v>
      </c>
      <c r="AD26" s="5"/>
    </row>
    <row r="27" spans="1:30" ht="28.5" customHeight="1" x14ac:dyDescent="0.25">
      <c r="A27" s="1">
        <v>26</v>
      </c>
      <c r="B27" s="2" t="s">
        <v>37</v>
      </c>
      <c r="C27" s="2"/>
      <c r="D27" s="2"/>
      <c r="E27" s="2" t="s">
        <v>38</v>
      </c>
      <c r="F27" s="2"/>
      <c r="G27" s="3" t="s">
        <v>180</v>
      </c>
      <c r="H27" s="4" t="s">
        <v>181</v>
      </c>
      <c r="I27" s="5"/>
      <c r="J27" s="2">
        <v>3</v>
      </c>
      <c r="K27" s="6">
        <v>2</v>
      </c>
      <c r="L27" s="16">
        <v>2</v>
      </c>
      <c r="M27" s="17"/>
      <c r="N27" s="20"/>
      <c r="O27" s="21"/>
      <c r="P27" s="5"/>
      <c r="Q27" s="5"/>
      <c r="R27" s="2">
        <v>0</v>
      </c>
      <c r="S27" s="2">
        <v>0</v>
      </c>
      <c r="T27" s="5"/>
      <c r="U27" s="5"/>
      <c r="V27" s="11">
        <f t="shared" si="0"/>
        <v>30</v>
      </c>
      <c r="W27" s="12">
        <f t="shared" si="1"/>
        <v>0</v>
      </c>
      <c r="X27" s="13">
        <f t="shared" si="2"/>
        <v>0</v>
      </c>
      <c r="Y27" s="14">
        <f t="shared" si="6"/>
        <v>0</v>
      </c>
      <c r="Z27" s="15">
        <f t="shared" si="3"/>
        <v>60</v>
      </c>
      <c r="AA27" s="15">
        <f t="shared" si="4"/>
        <v>10</v>
      </c>
      <c r="AB27" s="5"/>
      <c r="AC27" s="5">
        <v>1</v>
      </c>
      <c r="AD27" s="5"/>
    </row>
    <row r="28" spans="1:30" ht="28.5" customHeight="1" x14ac:dyDescent="0.25">
      <c r="A28" s="1">
        <v>27</v>
      </c>
      <c r="B28" s="2" t="s">
        <v>59</v>
      </c>
      <c r="C28" s="2"/>
      <c r="D28" s="2"/>
      <c r="E28" s="2" t="s">
        <v>60</v>
      </c>
      <c r="F28" s="2"/>
      <c r="G28" s="3" t="s">
        <v>182</v>
      </c>
      <c r="H28" s="4" t="s">
        <v>183</v>
      </c>
      <c r="I28" s="5"/>
      <c r="J28" s="2">
        <v>2</v>
      </c>
      <c r="K28" s="6">
        <v>2</v>
      </c>
      <c r="L28" s="16">
        <v>2</v>
      </c>
      <c r="M28" s="17"/>
      <c r="N28" s="20"/>
      <c r="O28" s="21"/>
      <c r="P28" s="5"/>
      <c r="Q28" s="5"/>
      <c r="R28" s="2">
        <v>1</v>
      </c>
      <c r="S28" s="2">
        <v>9</v>
      </c>
      <c r="T28" s="5"/>
      <c r="U28" s="5"/>
      <c r="V28" s="11">
        <f t="shared" si="0"/>
        <v>30</v>
      </c>
      <c r="W28" s="12">
        <f t="shared" si="1"/>
        <v>0</v>
      </c>
      <c r="X28" s="13">
        <f t="shared" si="2"/>
        <v>0</v>
      </c>
      <c r="Y28" s="14">
        <f t="shared" si="6"/>
        <v>0</v>
      </c>
      <c r="Z28" s="15">
        <f t="shared" si="3"/>
        <v>60</v>
      </c>
      <c r="AA28" s="15">
        <f t="shared" si="4"/>
        <v>10</v>
      </c>
      <c r="AB28" s="5"/>
      <c r="AC28" s="5">
        <v>1</v>
      </c>
      <c r="AD28" s="5"/>
    </row>
    <row r="29" spans="1:30" ht="28.5" customHeight="1" x14ac:dyDescent="0.25">
      <c r="A29" s="1">
        <v>28</v>
      </c>
      <c r="B29" s="2" t="s">
        <v>59</v>
      </c>
      <c r="C29" s="2"/>
      <c r="D29" s="2"/>
      <c r="E29" s="2" t="s">
        <v>60</v>
      </c>
      <c r="F29" s="2"/>
      <c r="G29" s="3" t="s">
        <v>184</v>
      </c>
      <c r="H29" s="4" t="s">
        <v>185</v>
      </c>
      <c r="I29" s="5"/>
      <c r="J29" s="2">
        <v>6</v>
      </c>
      <c r="K29" s="6">
        <v>3</v>
      </c>
      <c r="L29" s="18">
        <f>40/15</f>
        <v>2.6666666666666665</v>
      </c>
      <c r="M29" s="19">
        <v>0.33333333333333331</v>
      </c>
      <c r="N29" s="20"/>
      <c r="O29" s="21"/>
      <c r="P29" s="5" t="s">
        <v>26</v>
      </c>
      <c r="Q29" s="5"/>
      <c r="R29" s="2">
        <v>0</v>
      </c>
      <c r="S29" s="2">
        <v>0</v>
      </c>
      <c r="T29" s="5"/>
      <c r="U29" s="5"/>
      <c r="V29" s="11">
        <f t="shared" si="0"/>
        <v>40</v>
      </c>
      <c r="W29" s="12">
        <f t="shared" si="1"/>
        <v>10</v>
      </c>
      <c r="X29" s="13">
        <f t="shared" si="2"/>
        <v>0</v>
      </c>
      <c r="Y29" s="14">
        <f t="shared" si="6"/>
        <v>0</v>
      </c>
      <c r="Z29" s="15">
        <f t="shared" si="3"/>
        <v>84.999999999999986</v>
      </c>
      <c r="AA29" s="15">
        <f t="shared" si="4"/>
        <v>15</v>
      </c>
      <c r="AB29" s="5"/>
      <c r="AC29" s="5">
        <v>1</v>
      </c>
      <c r="AD29" s="5"/>
    </row>
    <row r="30" spans="1:30" ht="28.5" customHeight="1" x14ac:dyDescent="0.25">
      <c r="A30" s="1">
        <v>29</v>
      </c>
      <c r="B30" s="2" t="s">
        <v>59</v>
      </c>
      <c r="C30" s="2"/>
      <c r="D30" s="2"/>
      <c r="E30" s="2" t="s">
        <v>60</v>
      </c>
      <c r="F30" s="2"/>
      <c r="G30" s="3" t="s">
        <v>186</v>
      </c>
      <c r="H30" s="4" t="s">
        <v>187</v>
      </c>
      <c r="I30" s="5"/>
      <c r="J30" s="2">
        <v>6</v>
      </c>
      <c r="K30" s="6">
        <v>3</v>
      </c>
      <c r="L30" s="16">
        <v>3</v>
      </c>
      <c r="M30" s="17"/>
      <c r="N30" s="20"/>
      <c r="O30" s="21"/>
      <c r="P30" s="5"/>
      <c r="Q30" s="5"/>
      <c r="R30" s="2">
        <v>0</v>
      </c>
      <c r="S30" s="2">
        <v>0</v>
      </c>
      <c r="T30" s="3" t="s">
        <v>144</v>
      </c>
      <c r="U30" s="5" t="s">
        <v>112</v>
      </c>
      <c r="V30" s="11">
        <f t="shared" si="0"/>
        <v>45</v>
      </c>
      <c r="W30" s="12">
        <f t="shared" si="1"/>
        <v>0</v>
      </c>
      <c r="X30" s="13">
        <f t="shared" si="2"/>
        <v>0</v>
      </c>
      <c r="Y30" s="14">
        <f t="shared" si="6"/>
        <v>0</v>
      </c>
      <c r="Z30" s="15">
        <f t="shared" si="3"/>
        <v>90</v>
      </c>
      <c r="AA30" s="15">
        <f t="shared" si="4"/>
        <v>15</v>
      </c>
      <c r="AB30" s="5"/>
      <c r="AC30" s="5">
        <v>1</v>
      </c>
      <c r="AD30" s="5"/>
    </row>
    <row r="31" spans="1:30" ht="28.5" customHeight="1" x14ac:dyDescent="0.25">
      <c r="A31" s="1">
        <v>30</v>
      </c>
      <c r="B31" s="2" t="s">
        <v>59</v>
      </c>
      <c r="C31" s="2"/>
      <c r="D31" s="2"/>
      <c r="E31" s="2" t="s">
        <v>60</v>
      </c>
      <c r="F31" s="2"/>
      <c r="G31" s="3" t="s">
        <v>139</v>
      </c>
      <c r="H31" s="4" t="s">
        <v>140</v>
      </c>
      <c r="I31" s="5"/>
      <c r="J31" s="2">
        <v>3</v>
      </c>
      <c r="K31" s="6">
        <v>2</v>
      </c>
      <c r="L31" s="18">
        <v>1.6666666666666667</v>
      </c>
      <c r="M31" s="19">
        <v>0.33333333333333331</v>
      </c>
      <c r="N31" s="20"/>
      <c r="O31" s="21"/>
      <c r="P31" s="5" t="s">
        <v>26</v>
      </c>
      <c r="Q31" s="5"/>
      <c r="R31" s="2">
        <v>0</v>
      </c>
      <c r="S31" s="2">
        <v>0</v>
      </c>
      <c r="T31" s="5"/>
      <c r="U31" s="5"/>
      <c r="V31" s="11">
        <f t="shared" si="0"/>
        <v>25</v>
      </c>
      <c r="W31" s="12">
        <f t="shared" si="1"/>
        <v>10</v>
      </c>
      <c r="X31" s="13">
        <f t="shared" si="2"/>
        <v>0</v>
      </c>
      <c r="Y31" s="14">
        <f t="shared" si="6"/>
        <v>0</v>
      </c>
      <c r="Z31" s="15">
        <f t="shared" si="3"/>
        <v>55.000000000000007</v>
      </c>
      <c r="AA31" s="15">
        <f t="shared" si="4"/>
        <v>10</v>
      </c>
      <c r="AB31" s="5"/>
      <c r="AC31" s="5">
        <v>1</v>
      </c>
      <c r="AD31" s="5"/>
    </row>
    <row r="32" spans="1:30" ht="28.5" customHeight="1" x14ac:dyDescent="0.25">
      <c r="A32" s="1">
        <v>31</v>
      </c>
      <c r="B32" s="2" t="s">
        <v>59</v>
      </c>
      <c r="C32" s="2"/>
      <c r="D32" s="2"/>
      <c r="E32" s="2" t="s">
        <v>60</v>
      </c>
      <c r="F32" s="2"/>
      <c r="G32" s="3" t="s">
        <v>188</v>
      </c>
      <c r="H32" s="4" t="s">
        <v>189</v>
      </c>
      <c r="I32" s="5"/>
      <c r="J32" s="2">
        <v>5</v>
      </c>
      <c r="K32" s="6">
        <v>3</v>
      </c>
      <c r="L32" s="18">
        <v>2.6666666666666665</v>
      </c>
      <c r="M32" s="19">
        <v>0.33333333333333331</v>
      </c>
      <c r="N32" s="20"/>
      <c r="O32" s="21"/>
      <c r="P32" s="5" t="s">
        <v>26</v>
      </c>
      <c r="Q32" s="5"/>
      <c r="R32" s="2">
        <v>0</v>
      </c>
      <c r="S32" s="2">
        <v>0</v>
      </c>
      <c r="T32" s="3" t="s">
        <v>172</v>
      </c>
      <c r="U32" s="5" t="s">
        <v>112</v>
      </c>
      <c r="V32" s="11">
        <f t="shared" si="0"/>
        <v>40</v>
      </c>
      <c r="W32" s="12">
        <f t="shared" si="1"/>
        <v>10</v>
      </c>
      <c r="X32" s="13">
        <f t="shared" si="2"/>
        <v>0</v>
      </c>
      <c r="Y32" s="14">
        <f t="shared" si="6"/>
        <v>0</v>
      </c>
      <c r="Z32" s="15">
        <f t="shared" si="3"/>
        <v>84.999999999999986</v>
      </c>
      <c r="AA32" s="15">
        <f t="shared" si="4"/>
        <v>15</v>
      </c>
      <c r="AB32" s="5"/>
      <c r="AC32" s="5">
        <v>1</v>
      </c>
      <c r="AD32" s="5"/>
    </row>
    <row r="33" spans="1:30" ht="28.5" customHeight="1" x14ac:dyDescent="0.25">
      <c r="A33" s="1">
        <v>32</v>
      </c>
      <c r="B33" s="2" t="s">
        <v>59</v>
      </c>
      <c r="C33" s="2"/>
      <c r="D33" s="2"/>
      <c r="E33" s="2" t="s">
        <v>60</v>
      </c>
      <c r="F33" s="2"/>
      <c r="G33" s="3" t="s">
        <v>142</v>
      </c>
      <c r="H33" s="4" t="s">
        <v>74</v>
      </c>
      <c r="I33" s="5"/>
      <c r="J33" s="2">
        <v>2</v>
      </c>
      <c r="K33" s="6">
        <v>3</v>
      </c>
      <c r="L33" s="16">
        <v>3</v>
      </c>
      <c r="M33" s="17"/>
      <c r="N33" s="20"/>
      <c r="O33" s="21"/>
      <c r="P33" s="5"/>
      <c r="Q33" s="5"/>
      <c r="R33" s="2">
        <v>0</v>
      </c>
      <c r="S33" s="2">
        <v>0</v>
      </c>
      <c r="T33" s="5"/>
      <c r="U33" s="5"/>
      <c r="V33" s="11">
        <f t="shared" si="0"/>
        <v>45</v>
      </c>
      <c r="W33" s="12">
        <f t="shared" si="1"/>
        <v>0</v>
      </c>
      <c r="X33" s="13">
        <f t="shared" si="2"/>
        <v>0</v>
      </c>
      <c r="Y33" s="14">
        <f t="shared" si="6"/>
        <v>0</v>
      </c>
      <c r="Z33" s="15">
        <f t="shared" si="3"/>
        <v>90</v>
      </c>
      <c r="AA33" s="15">
        <f t="shared" si="4"/>
        <v>15</v>
      </c>
      <c r="AB33" s="5"/>
      <c r="AC33" s="5">
        <v>1</v>
      </c>
      <c r="AD33" s="5"/>
    </row>
    <row r="34" spans="1:30" ht="28.5" customHeight="1" x14ac:dyDescent="0.25">
      <c r="A34" s="1">
        <v>33</v>
      </c>
      <c r="B34" s="2" t="s">
        <v>59</v>
      </c>
      <c r="C34" s="2"/>
      <c r="D34" s="2"/>
      <c r="E34" s="2" t="s">
        <v>60</v>
      </c>
      <c r="F34" s="2"/>
      <c r="G34" s="3" t="s">
        <v>176</v>
      </c>
      <c r="H34" s="4" t="s">
        <v>190</v>
      </c>
      <c r="I34" s="5"/>
      <c r="J34" s="2">
        <v>5</v>
      </c>
      <c r="K34" s="6">
        <v>3</v>
      </c>
      <c r="L34" s="18">
        <v>2.3333333333333335</v>
      </c>
      <c r="M34" s="19">
        <v>0.66666666666666663</v>
      </c>
      <c r="N34" s="20"/>
      <c r="O34" s="21"/>
      <c r="P34" s="5" t="s">
        <v>26</v>
      </c>
      <c r="Q34" s="5"/>
      <c r="R34" s="2">
        <v>0</v>
      </c>
      <c r="S34" s="2">
        <v>0</v>
      </c>
      <c r="T34" s="3" t="s">
        <v>278</v>
      </c>
      <c r="U34" s="5" t="s">
        <v>112</v>
      </c>
      <c r="V34" s="11">
        <f t="shared" si="0"/>
        <v>35</v>
      </c>
      <c r="W34" s="12">
        <f t="shared" si="1"/>
        <v>20</v>
      </c>
      <c r="X34" s="13">
        <f t="shared" si="2"/>
        <v>0</v>
      </c>
      <c r="Y34" s="14">
        <f t="shared" si="6"/>
        <v>0</v>
      </c>
      <c r="Z34" s="15">
        <f t="shared" si="3"/>
        <v>80.000000000000014</v>
      </c>
      <c r="AA34" s="15">
        <f t="shared" si="4"/>
        <v>15</v>
      </c>
      <c r="AB34" s="5"/>
      <c r="AC34" s="5">
        <v>1</v>
      </c>
      <c r="AD34" s="5"/>
    </row>
    <row r="35" spans="1:30" ht="28.5" customHeight="1" x14ac:dyDescent="0.25">
      <c r="A35" s="1">
        <v>34</v>
      </c>
      <c r="B35" s="2" t="s">
        <v>59</v>
      </c>
      <c r="C35" s="2"/>
      <c r="D35" s="2"/>
      <c r="E35" s="2" t="s">
        <v>60</v>
      </c>
      <c r="F35" s="2"/>
      <c r="G35" s="3" t="s">
        <v>144</v>
      </c>
      <c r="H35" s="4" t="s">
        <v>82</v>
      </c>
      <c r="I35" s="5"/>
      <c r="J35" s="2">
        <v>3</v>
      </c>
      <c r="K35" s="6">
        <v>3</v>
      </c>
      <c r="L35" s="18">
        <v>2.6666666666666665</v>
      </c>
      <c r="M35" s="19">
        <v>0.33333333333333331</v>
      </c>
      <c r="N35" s="20"/>
      <c r="O35" s="21"/>
      <c r="P35" s="5" t="s">
        <v>26</v>
      </c>
      <c r="Q35" s="5"/>
      <c r="R35" s="2">
        <v>0</v>
      </c>
      <c r="S35" s="2">
        <v>0</v>
      </c>
      <c r="T35" s="5"/>
      <c r="U35" s="5"/>
      <c r="V35" s="11">
        <f t="shared" si="0"/>
        <v>40</v>
      </c>
      <c r="W35" s="12">
        <f t="shared" si="1"/>
        <v>10</v>
      </c>
      <c r="X35" s="13">
        <f t="shared" si="2"/>
        <v>0</v>
      </c>
      <c r="Y35" s="14">
        <f t="shared" si="6"/>
        <v>0</v>
      </c>
      <c r="Z35" s="15">
        <f t="shared" si="3"/>
        <v>84.999999999999986</v>
      </c>
      <c r="AA35" s="15">
        <f t="shared" si="4"/>
        <v>15</v>
      </c>
      <c r="AB35" s="5"/>
      <c r="AC35" s="5">
        <v>1</v>
      </c>
      <c r="AD35" s="5"/>
    </row>
    <row r="36" spans="1:30" ht="28.5" customHeight="1" x14ac:dyDescent="0.25">
      <c r="A36" s="1">
        <v>35</v>
      </c>
      <c r="B36" s="2" t="s">
        <v>59</v>
      </c>
      <c r="C36" s="2"/>
      <c r="D36" s="2"/>
      <c r="E36" s="2" t="s">
        <v>60</v>
      </c>
      <c r="F36" s="2"/>
      <c r="G36" s="3" t="s">
        <v>145</v>
      </c>
      <c r="H36" s="4" t="s">
        <v>88</v>
      </c>
      <c r="I36" s="5"/>
      <c r="J36" s="2">
        <v>4</v>
      </c>
      <c r="K36" s="6">
        <v>3</v>
      </c>
      <c r="L36" s="16">
        <v>3</v>
      </c>
      <c r="M36" s="17"/>
      <c r="N36" s="20"/>
      <c r="O36" s="21"/>
      <c r="P36" s="5"/>
      <c r="Q36" s="5"/>
      <c r="R36" s="2">
        <v>0</v>
      </c>
      <c r="S36" s="2">
        <v>0</v>
      </c>
      <c r="T36" s="5"/>
      <c r="U36" s="5"/>
      <c r="V36" s="11">
        <f t="shared" si="0"/>
        <v>45</v>
      </c>
      <c r="W36" s="12">
        <f t="shared" si="1"/>
        <v>0</v>
      </c>
      <c r="X36" s="13">
        <f t="shared" si="2"/>
        <v>0</v>
      </c>
      <c r="Y36" s="14">
        <f t="shared" si="6"/>
        <v>0</v>
      </c>
      <c r="Z36" s="15">
        <f t="shared" si="3"/>
        <v>90</v>
      </c>
      <c r="AA36" s="15">
        <f t="shared" si="4"/>
        <v>15</v>
      </c>
      <c r="AB36" s="5"/>
      <c r="AC36" s="5">
        <v>1</v>
      </c>
      <c r="AD36" s="5"/>
    </row>
    <row r="37" spans="1:30" ht="28.5" customHeight="1" x14ac:dyDescent="0.25">
      <c r="A37" s="1">
        <v>36</v>
      </c>
      <c r="B37" s="2" t="s">
        <v>59</v>
      </c>
      <c r="C37" s="2"/>
      <c r="D37" s="2"/>
      <c r="E37" s="2" t="s">
        <v>60</v>
      </c>
      <c r="F37" s="2"/>
      <c r="G37" s="3" t="s">
        <v>191</v>
      </c>
      <c r="H37" s="4" t="s">
        <v>192</v>
      </c>
      <c r="I37" s="5"/>
      <c r="J37" s="2">
        <v>5</v>
      </c>
      <c r="K37" s="6">
        <v>5</v>
      </c>
      <c r="L37" s="16">
        <f>1</f>
        <v>1</v>
      </c>
      <c r="M37" s="17">
        <v>4</v>
      </c>
      <c r="N37" s="20"/>
      <c r="O37" s="21"/>
      <c r="P37" s="5" t="s">
        <v>26</v>
      </c>
      <c r="Q37" s="5"/>
      <c r="R37" s="2">
        <v>0</v>
      </c>
      <c r="S37" s="2">
        <v>0</v>
      </c>
      <c r="T37" s="5"/>
      <c r="U37" s="5"/>
      <c r="V37" s="11">
        <f t="shared" si="0"/>
        <v>15</v>
      </c>
      <c r="W37" s="12">
        <f t="shared" si="1"/>
        <v>120</v>
      </c>
      <c r="X37" s="13">
        <f t="shared" si="2"/>
        <v>0</v>
      </c>
      <c r="Y37" s="14">
        <f t="shared" si="6"/>
        <v>0</v>
      </c>
      <c r="Z37" s="15">
        <f t="shared" si="3"/>
        <v>90</v>
      </c>
      <c r="AA37" s="15">
        <f t="shared" si="4"/>
        <v>25</v>
      </c>
      <c r="AB37" s="5"/>
      <c r="AC37" s="5">
        <v>1</v>
      </c>
      <c r="AD37" s="5"/>
    </row>
    <row r="38" spans="1:30" ht="28.5" customHeight="1" x14ac:dyDescent="0.25">
      <c r="A38" s="1">
        <v>37</v>
      </c>
      <c r="B38" s="2" t="s">
        <v>59</v>
      </c>
      <c r="C38" s="2"/>
      <c r="D38" s="2"/>
      <c r="E38" s="2" t="s">
        <v>60</v>
      </c>
      <c r="F38" s="2"/>
      <c r="G38" s="3" t="s">
        <v>98</v>
      </c>
      <c r="H38" s="4" t="s">
        <v>99</v>
      </c>
      <c r="I38" s="5"/>
      <c r="J38" s="2">
        <v>6</v>
      </c>
      <c r="K38" s="6">
        <v>2</v>
      </c>
      <c r="L38" s="16">
        <v>2</v>
      </c>
      <c r="M38" s="17"/>
      <c r="N38" s="20"/>
      <c r="O38" s="21"/>
      <c r="P38" s="5"/>
      <c r="Q38" s="5"/>
      <c r="R38" s="2">
        <v>0</v>
      </c>
      <c r="S38" s="2">
        <v>0</v>
      </c>
      <c r="T38" s="5"/>
      <c r="U38" s="5"/>
      <c r="V38" s="11">
        <f t="shared" si="0"/>
        <v>30</v>
      </c>
      <c r="W38" s="12">
        <f t="shared" si="1"/>
        <v>0</v>
      </c>
      <c r="X38" s="13">
        <f t="shared" si="2"/>
        <v>0</v>
      </c>
      <c r="Y38" s="14">
        <f t="shared" si="6"/>
        <v>0</v>
      </c>
      <c r="Z38" s="15">
        <f t="shared" si="3"/>
        <v>60</v>
      </c>
      <c r="AA38" s="15">
        <f t="shared" si="4"/>
        <v>10</v>
      </c>
      <c r="AB38" s="5"/>
      <c r="AC38" s="5">
        <v>1</v>
      </c>
      <c r="AD38" s="5"/>
    </row>
    <row r="39" spans="1:30" ht="28.5" customHeight="1" x14ac:dyDescent="0.25">
      <c r="A39" s="1">
        <v>38</v>
      </c>
      <c r="B39" s="2" t="s">
        <v>59</v>
      </c>
      <c r="C39" s="2"/>
      <c r="D39" s="2"/>
      <c r="E39" s="2" t="s">
        <v>60</v>
      </c>
      <c r="F39" s="2"/>
      <c r="G39" s="3" t="s">
        <v>193</v>
      </c>
      <c r="H39" s="4" t="s">
        <v>194</v>
      </c>
      <c r="I39" s="5"/>
      <c r="J39" s="2">
        <v>4</v>
      </c>
      <c r="K39" s="6">
        <v>3</v>
      </c>
      <c r="L39" s="18">
        <v>2.3333333333333335</v>
      </c>
      <c r="M39" s="19">
        <v>0.66666666666666663</v>
      </c>
      <c r="N39" s="20"/>
      <c r="O39" s="21"/>
      <c r="P39" s="5" t="s">
        <v>26</v>
      </c>
      <c r="Q39" s="5"/>
      <c r="R39" s="2">
        <v>0</v>
      </c>
      <c r="S39" s="2">
        <v>0</v>
      </c>
      <c r="T39" s="3" t="s">
        <v>144</v>
      </c>
      <c r="U39" s="5" t="s">
        <v>112</v>
      </c>
      <c r="V39" s="11">
        <f t="shared" si="0"/>
        <v>35</v>
      </c>
      <c r="W39" s="12">
        <f t="shared" si="1"/>
        <v>20</v>
      </c>
      <c r="X39" s="13">
        <f t="shared" si="2"/>
        <v>0</v>
      </c>
      <c r="Y39" s="14">
        <f t="shared" si="6"/>
        <v>0</v>
      </c>
      <c r="Z39" s="15">
        <f t="shared" si="3"/>
        <v>80.000000000000014</v>
      </c>
      <c r="AA39" s="15">
        <f t="shared" si="4"/>
        <v>15</v>
      </c>
      <c r="AB39" s="5"/>
      <c r="AC39" s="5">
        <v>1</v>
      </c>
      <c r="AD39" s="5"/>
    </row>
    <row r="40" spans="1:30" ht="28.5" customHeight="1" x14ac:dyDescent="0.25">
      <c r="A40" s="1">
        <v>39</v>
      </c>
      <c r="B40" s="2" t="s">
        <v>59</v>
      </c>
      <c r="C40" s="2"/>
      <c r="D40" s="2"/>
      <c r="E40" s="2" t="s">
        <v>60</v>
      </c>
      <c r="F40" s="2"/>
      <c r="G40" s="3" t="s">
        <v>195</v>
      </c>
      <c r="H40" s="4" t="s">
        <v>196</v>
      </c>
      <c r="I40" s="5"/>
      <c r="J40" s="2">
        <v>4</v>
      </c>
      <c r="K40" s="6">
        <v>2</v>
      </c>
      <c r="L40" s="16">
        <v>2</v>
      </c>
      <c r="M40" s="17"/>
      <c r="N40" s="20"/>
      <c r="O40" s="21"/>
      <c r="P40" s="5"/>
      <c r="Q40" s="5"/>
      <c r="R40" s="2">
        <v>0</v>
      </c>
      <c r="S40" s="2">
        <v>0</v>
      </c>
      <c r="T40" s="5"/>
      <c r="U40" s="5"/>
      <c r="V40" s="11">
        <f t="shared" si="0"/>
        <v>30</v>
      </c>
      <c r="W40" s="12">
        <f t="shared" si="1"/>
        <v>0</v>
      </c>
      <c r="X40" s="13">
        <f t="shared" si="2"/>
        <v>0</v>
      </c>
      <c r="Y40" s="14">
        <f t="shared" si="6"/>
        <v>0</v>
      </c>
      <c r="Z40" s="15">
        <f t="shared" si="3"/>
        <v>60</v>
      </c>
      <c r="AA40" s="15">
        <f t="shared" si="4"/>
        <v>10</v>
      </c>
      <c r="AB40" s="5"/>
      <c r="AC40" s="5">
        <v>1</v>
      </c>
      <c r="AD40" s="5"/>
    </row>
    <row r="41" spans="1:30" ht="28.5" customHeight="1" x14ac:dyDescent="0.25">
      <c r="A41" s="1">
        <v>40</v>
      </c>
      <c r="B41" s="2" t="s">
        <v>59</v>
      </c>
      <c r="C41" s="2"/>
      <c r="D41" s="2"/>
      <c r="E41" s="2" t="s">
        <v>60</v>
      </c>
      <c r="F41" s="2"/>
      <c r="G41" s="3" t="s">
        <v>137</v>
      </c>
      <c r="H41" s="4" t="s">
        <v>138</v>
      </c>
      <c r="I41" s="5"/>
      <c r="J41" s="2">
        <v>4</v>
      </c>
      <c r="K41" s="6">
        <v>4</v>
      </c>
      <c r="L41" s="16">
        <v>3</v>
      </c>
      <c r="M41" s="17">
        <v>1</v>
      </c>
      <c r="N41" s="20"/>
      <c r="O41" s="21"/>
      <c r="P41" s="5" t="s">
        <v>26</v>
      </c>
      <c r="Q41" s="5"/>
      <c r="R41" s="2">
        <v>0</v>
      </c>
      <c r="S41" s="2">
        <v>0</v>
      </c>
      <c r="T41" s="3" t="s">
        <v>278</v>
      </c>
      <c r="U41" s="5" t="s">
        <v>112</v>
      </c>
      <c r="V41" s="11">
        <f t="shared" si="0"/>
        <v>45</v>
      </c>
      <c r="W41" s="12">
        <f t="shared" si="1"/>
        <v>30</v>
      </c>
      <c r="X41" s="13">
        <f t="shared" si="2"/>
        <v>0</v>
      </c>
      <c r="Y41" s="14">
        <f t="shared" si="6"/>
        <v>0</v>
      </c>
      <c r="Z41" s="15">
        <f t="shared" si="3"/>
        <v>105</v>
      </c>
      <c r="AA41" s="15">
        <f t="shared" si="4"/>
        <v>20</v>
      </c>
      <c r="AB41" s="5"/>
      <c r="AC41" s="5">
        <v>1</v>
      </c>
      <c r="AD41" s="5"/>
    </row>
    <row r="42" spans="1:30" ht="28.5" customHeight="1" x14ac:dyDescent="0.25">
      <c r="A42" s="1">
        <v>41</v>
      </c>
      <c r="B42" s="2" t="s">
        <v>197</v>
      </c>
      <c r="C42" s="2" t="s">
        <v>198</v>
      </c>
      <c r="D42" s="2" t="s">
        <v>90</v>
      </c>
      <c r="E42" s="2" t="s">
        <v>60</v>
      </c>
      <c r="F42" s="2"/>
      <c r="G42" s="3" t="s">
        <v>199</v>
      </c>
      <c r="H42" s="4" t="s">
        <v>200</v>
      </c>
      <c r="I42" s="5"/>
      <c r="J42" s="2">
        <v>6</v>
      </c>
      <c r="K42" s="6">
        <v>3</v>
      </c>
      <c r="L42" s="18">
        <f>35/15</f>
        <v>2.3333333333333335</v>
      </c>
      <c r="M42" s="19">
        <v>0.66666666666666663</v>
      </c>
      <c r="N42" s="20"/>
      <c r="O42" s="21"/>
      <c r="P42" s="5" t="s">
        <v>26</v>
      </c>
      <c r="Q42" s="5"/>
      <c r="R42" s="2">
        <v>1</v>
      </c>
      <c r="S42" s="2">
        <v>0</v>
      </c>
      <c r="T42" s="3" t="s">
        <v>279</v>
      </c>
      <c r="U42" s="5" t="s">
        <v>112</v>
      </c>
      <c r="V42" s="11">
        <f t="shared" si="0"/>
        <v>35</v>
      </c>
      <c r="W42" s="12">
        <f t="shared" si="1"/>
        <v>20</v>
      </c>
      <c r="X42" s="13">
        <f t="shared" si="2"/>
        <v>0</v>
      </c>
      <c r="Y42" s="14">
        <f t="shared" si="6"/>
        <v>0</v>
      </c>
      <c r="Z42" s="15">
        <f t="shared" si="3"/>
        <v>80.000000000000014</v>
      </c>
      <c r="AA42" s="15">
        <f t="shared" si="4"/>
        <v>15</v>
      </c>
      <c r="AB42" s="5"/>
      <c r="AC42" s="5">
        <v>1</v>
      </c>
      <c r="AD42" s="5"/>
    </row>
    <row r="43" spans="1:30" ht="28.5" customHeight="1" x14ac:dyDescent="0.25">
      <c r="A43" s="1">
        <v>42</v>
      </c>
      <c r="B43" s="2" t="s">
        <v>197</v>
      </c>
      <c r="C43" s="2" t="s">
        <v>198</v>
      </c>
      <c r="D43" s="2" t="s">
        <v>90</v>
      </c>
      <c r="E43" s="2" t="s">
        <v>60</v>
      </c>
      <c r="F43" s="2"/>
      <c r="G43" s="3" t="s">
        <v>160</v>
      </c>
      <c r="H43" s="4" t="s">
        <v>201</v>
      </c>
      <c r="I43" s="5"/>
      <c r="J43" s="2">
        <v>6</v>
      </c>
      <c r="K43" s="6">
        <v>3</v>
      </c>
      <c r="L43" s="18">
        <v>2.3333333333333335</v>
      </c>
      <c r="M43" s="19">
        <v>0.66666666666666663</v>
      </c>
      <c r="N43" s="20"/>
      <c r="O43" s="21"/>
      <c r="P43" s="5" t="s">
        <v>26</v>
      </c>
      <c r="Q43" s="5"/>
      <c r="R43" s="2">
        <v>1</v>
      </c>
      <c r="S43" s="2">
        <v>0</v>
      </c>
      <c r="T43" s="3" t="s">
        <v>280</v>
      </c>
      <c r="U43" s="5" t="s">
        <v>112</v>
      </c>
      <c r="V43" s="11">
        <f t="shared" si="0"/>
        <v>35</v>
      </c>
      <c r="W43" s="12">
        <f t="shared" si="1"/>
        <v>20</v>
      </c>
      <c r="X43" s="13">
        <f t="shared" si="2"/>
        <v>0</v>
      </c>
      <c r="Y43" s="14">
        <f t="shared" si="6"/>
        <v>0</v>
      </c>
      <c r="Z43" s="15">
        <f t="shared" si="3"/>
        <v>80.000000000000014</v>
      </c>
      <c r="AA43" s="15">
        <f t="shared" si="4"/>
        <v>15</v>
      </c>
      <c r="AB43" s="5"/>
      <c r="AC43" s="5">
        <v>1</v>
      </c>
      <c r="AD43" s="5"/>
    </row>
    <row r="44" spans="1:30" ht="28.5" customHeight="1" x14ac:dyDescent="0.25">
      <c r="A44" s="1">
        <v>43</v>
      </c>
      <c r="B44" s="2" t="s">
        <v>197</v>
      </c>
      <c r="C44" s="2" t="s">
        <v>198</v>
      </c>
      <c r="D44" s="2" t="s">
        <v>90</v>
      </c>
      <c r="E44" s="2" t="s">
        <v>60</v>
      </c>
      <c r="F44" s="2"/>
      <c r="G44" s="3" t="s">
        <v>156</v>
      </c>
      <c r="H44" s="4" t="s">
        <v>157</v>
      </c>
      <c r="I44" s="5"/>
      <c r="J44" s="2">
        <v>7</v>
      </c>
      <c r="K44" s="6">
        <v>3</v>
      </c>
      <c r="L44" s="16">
        <v>3</v>
      </c>
      <c r="M44" s="17"/>
      <c r="N44" s="20"/>
      <c r="O44" s="21"/>
      <c r="P44" s="5"/>
      <c r="Q44" s="5"/>
      <c r="R44" s="2">
        <v>1</v>
      </c>
      <c r="S44" s="2">
        <v>0</v>
      </c>
      <c r="T44" s="3" t="s">
        <v>130</v>
      </c>
      <c r="U44" s="5" t="s">
        <v>112</v>
      </c>
      <c r="V44" s="11">
        <f t="shared" si="0"/>
        <v>45</v>
      </c>
      <c r="W44" s="12">
        <f t="shared" si="1"/>
        <v>0</v>
      </c>
      <c r="X44" s="13">
        <f t="shared" si="2"/>
        <v>0</v>
      </c>
      <c r="Y44" s="14">
        <f t="shared" si="6"/>
        <v>0</v>
      </c>
      <c r="Z44" s="15">
        <f t="shared" si="3"/>
        <v>90</v>
      </c>
      <c r="AA44" s="15">
        <f t="shared" si="4"/>
        <v>15</v>
      </c>
      <c r="AB44" s="5"/>
      <c r="AC44" s="5">
        <v>1</v>
      </c>
      <c r="AD44" s="5"/>
    </row>
    <row r="45" spans="1:30" ht="28.5" customHeight="1" x14ac:dyDescent="0.25">
      <c r="A45" s="1">
        <v>44</v>
      </c>
      <c r="B45" s="2" t="s">
        <v>197</v>
      </c>
      <c r="C45" s="2" t="s">
        <v>198</v>
      </c>
      <c r="D45" s="2" t="s">
        <v>90</v>
      </c>
      <c r="E45" s="2" t="s">
        <v>60</v>
      </c>
      <c r="F45" s="2"/>
      <c r="G45" s="3" t="s">
        <v>202</v>
      </c>
      <c r="H45" s="4" t="s">
        <v>203</v>
      </c>
      <c r="I45" s="5"/>
      <c r="J45" s="2">
        <v>6</v>
      </c>
      <c r="K45" s="6">
        <v>4</v>
      </c>
      <c r="L45" s="16">
        <v>4</v>
      </c>
      <c r="M45" s="17"/>
      <c r="N45" s="20"/>
      <c r="O45" s="21"/>
      <c r="P45" s="5"/>
      <c r="Q45" s="5"/>
      <c r="R45" s="2">
        <v>1</v>
      </c>
      <c r="S45" s="2">
        <v>0</v>
      </c>
      <c r="T45" s="3" t="s">
        <v>176</v>
      </c>
      <c r="U45" s="5" t="s">
        <v>112</v>
      </c>
      <c r="V45" s="11">
        <f t="shared" si="0"/>
        <v>60</v>
      </c>
      <c r="W45" s="12">
        <f t="shared" si="1"/>
        <v>0</v>
      </c>
      <c r="X45" s="13">
        <f t="shared" si="2"/>
        <v>0</v>
      </c>
      <c r="Y45" s="14">
        <f t="shared" si="6"/>
        <v>0</v>
      </c>
      <c r="Z45" s="15">
        <f t="shared" si="3"/>
        <v>120</v>
      </c>
      <c r="AA45" s="15">
        <f t="shared" si="4"/>
        <v>20</v>
      </c>
      <c r="AB45" s="5"/>
      <c r="AC45" s="5">
        <v>1</v>
      </c>
      <c r="AD45" s="5"/>
    </row>
    <row r="46" spans="1:30" ht="28.5" customHeight="1" x14ac:dyDescent="0.25">
      <c r="A46" s="1">
        <v>45</v>
      </c>
      <c r="B46" s="2" t="s">
        <v>197</v>
      </c>
      <c r="C46" s="2" t="s">
        <v>198</v>
      </c>
      <c r="D46" s="2" t="s">
        <v>90</v>
      </c>
      <c r="E46" s="2" t="s">
        <v>60</v>
      </c>
      <c r="F46" s="2"/>
      <c r="G46" s="3" t="s">
        <v>204</v>
      </c>
      <c r="H46" s="4" t="s">
        <v>205</v>
      </c>
      <c r="I46" s="5"/>
      <c r="J46" s="2">
        <v>6</v>
      </c>
      <c r="K46" s="6">
        <v>3</v>
      </c>
      <c r="L46" s="18">
        <v>2.6666666666666665</v>
      </c>
      <c r="M46" s="19">
        <v>0.33333333333333331</v>
      </c>
      <c r="N46" s="20"/>
      <c r="O46" s="21"/>
      <c r="P46" s="5" t="s">
        <v>26</v>
      </c>
      <c r="Q46" s="5"/>
      <c r="R46" s="2">
        <v>1</v>
      </c>
      <c r="S46" s="2">
        <v>0</v>
      </c>
      <c r="T46" s="3" t="s">
        <v>130</v>
      </c>
      <c r="U46" s="5" t="s">
        <v>112</v>
      </c>
      <c r="V46" s="11">
        <f t="shared" si="0"/>
        <v>40</v>
      </c>
      <c r="W46" s="12">
        <f t="shared" si="1"/>
        <v>10</v>
      </c>
      <c r="X46" s="13">
        <f t="shared" si="2"/>
        <v>0</v>
      </c>
      <c r="Y46" s="14">
        <f t="shared" si="6"/>
        <v>0</v>
      </c>
      <c r="Z46" s="15">
        <f t="shared" si="3"/>
        <v>84.999999999999986</v>
      </c>
      <c r="AA46" s="15">
        <f t="shared" si="4"/>
        <v>15</v>
      </c>
      <c r="AB46" s="5"/>
      <c r="AC46" s="5">
        <v>1</v>
      </c>
      <c r="AD46" s="5"/>
    </row>
    <row r="47" spans="1:30" ht="28.5" customHeight="1" x14ac:dyDescent="0.25">
      <c r="A47" s="1">
        <v>46</v>
      </c>
      <c r="B47" s="2" t="s">
        <v>197</v>
      </c>
      <c r="C47" s="2" t="s">
        <v>198</v>
      </c>
      <c r="D47" s="2" t="s">
        <v>90</v>
      </c>
      <c r="E47" s="2" t="s">
        <v>60</v>
      </c>
      <c r="F47" s="2"/>
      <c r="G47" s="3" t="s">
        <v>177</v>
      </c>
      <c r="H47" s="4" t="s">
        <v>206</v>
      </c>
      <c r="I47" s="5"/>
      <c r="J47" s="2">
        <v>5</v>
      </c>
      <c r="K47" s="6">
        <v>4</v>
      </c>
      <c r="L47" s="16">
        <v>3</v>
      </c>
      <c r="M47" s="17">
        <v>1</v>
      </c>
      <c r="N47" s="20"/>
      <c r="O47" s="21"/>
      <c r="P47" s="5" t="s">
        <v>26</v>
      </c>
      <c r="Q47" s="5"/>
      <c r="R47" s="2">
        <v>1</v>
      </c>
      <c r="S47" s="2">
        <v>0</v>
      </c>
      <c r="T47" s="3" t="s">
        <v>281</v>
      </c>
      <c r="U47" s="5" t="s">
        <v>112</v>
      </c>
      <c r="V47" s="11">
        <f t="shared" si="0"/>
        <v>45</v>
      </c>
      <c r="W47" s="12">
        <f t="shared" si="1"/>
        <v>30</v>
      </c>
      <c r="X47" s="13">
        <f t="shared" si="2"/>
        <v>0</v>
      </c>
      <c r="Y47" s="14">
        <f t="shared" si="6"/>
        <v>0</v>
      </c>
      <c r="Z47" s="15">
        <f t="shared" si="3"/>
        <v>105</v>
      </c>
      <c r="AA47" s="15">
        <f t="shared" si="4"/>
        <v>20</v>
      </c>
      <c r="AB47" s="5"/>
      <c r="AC47" s="5">
        <v>1</v>
      </c>
      <c r="AD47" s="5"/>
    </row>
    <row r="48" spans="1:30" ht="28.5" customHeight="1" x14ac:dyDescent="0.25">
      <c r="A48" s="1">
        <v>47</v>
      </c>
      <c r="B48" s="2" t="s">
        <v>197</v>
      </c>
      <c r="C48" s="2" t="s">
        <v>198</v>
      </c>
      <c r="D48" s="2" t="s">
        <v>90</v>
      </c>
      <c r="E48" s="2" t="s">
        <v>60</v>
      </c>
      <c r="F48" s="2"/>
      <c r="G48" s="3" t="s">
        <v>207</v>
      </c>
      <c r="H48" s="4" t="s">
        <v>208</v>
      </c>
      <c r="I48" s="5"/>
      <c r="J48" s="2">
        <v>6</v>
      </c>
      <c r="K48" s="6">
        <v>4</v>
      </c>
      <c r="L48" s="18">
        <f>50/15</f>
        <v>3.3333333333333335</v>
      </c>
      <c r="M48" s="19">
        <v>0.66666666666666663</v>
      </c>
      <c r="N48" s="20"/>
      <c r="O48" s="21"/>
      <c r="P48" s="5" t="s">
        <v>26</v>
      </c>
      <c r="Q48" s="5"/>
      <c r="R48" s="2">
        <v>1</v>
      </c>
      <c r="S48" s="2">
        <v>0</v>
      </c>
      <c r="T48" s="5"/>
      <c r="U48" s="5"/>
      <c r="V48" s="11">
        <f t="shared" si="0"/>
        <v>50</v>
      </c>
      <c r="W48" s="12">
        <f t="shared" si="1"/>
        <v>20</v>
      </c>
      <c r="X48" s="13">
        <f t="shared" si="2"/>
        <v>0</v>
      </c>
      <c r="Y48" s="14">
        <f t="shared" si="6"/>
        <v>0</v>
      </c>
      <c r="Z48" s="15">
        <f t="shared" si="3"/>
        <v>110.00000000000001</v>
      </c>
      <c r="AA48" s="15">
        <f t="shared" si="4"/>
        <v>20</v>
      </c>
      <c r="AB48" s="5"/>
      <c r="AC48" s="5">
        <v>1</v>
      </c>
      <c r="AD48" s="5"/>
    </row>
    <row r="49" spans="1:30" ht="30.75" customHeight="1" x14ac:dyDescent="0.25">
      <c r="A49" s="1">
        <v>48</v>
      </c>
      <c r="B49" s="2" t="s">
        <v>197</v>
      </c>
      <c r="C49" s="2" t="s">
        <v>198</v>
      </c>
      <c r="D49" s="2" t="s">
        <v>90</v>
      </c>
      <c r="E49" s="2" t="s">
        <v>60</v>
      </c>
      <c r="F49" s="2"/>
      <c r="G49" s="3" t="s">
        <v>89</v>
      </c>
      <c r="H49" s="4" t="s">
        <v>90</v>
      </c>
      <c r="I49" s="5"/>
      <c r="J49" s="2">
        <v>6</v>
      </c>
      <c r="K49" s="6">
        <v>2</v>
      </c>
      <c r="L49" s="16">
        <v>2</v>
      </c>
      <c r="M49" s="17"/>
      <c r="N49" s="20"/>
      <c r="O49" s="21"/>
      <c r="P49" s="5"/>
      <c r="Q49" s="5"/>
      <c r="R49" s="2">
        <v>1</v>
      </c>
      <c r="S49" s="2">
        <v>0</v>
      </c>
      <c r="T49" s="3" t="s">
        <v>126</v>
      </c>
      <c r="U49" s="5" t="s">
        <v>112</v>
      </c>
      <c r="V49" s="11">
        <f t="shared" si="0"/>
        <v>30</v>
      </c>
      <c r="W49" s="12">
        <f t="shared" si="1"/>
        <v>0</v>
      </c>
      <c r="X49" s="13">
        <f t="shared" si="2"/>
        <v>0</v>
      </c>
      <c r="Y49" s="14">
        <f t="shared" si="6"/>
        <v>0</v>
      </c>
      <c r="Z49" s="15">
        <f t="shared" si="3"/>
        <v>60</v>
      </c>
      <c r="AA49" s="15">
        <f t="shared" si="4"/>
        <v>10</v>
      </c>
      <c r="AB49" s="5"/>
      <c r="AC49" s="5">
        <v>1</v>
      </c>
      <c r="AD49" s="5"/>
    </row>
    <row r="50" spans="1:30" ht="30.75" customHeight="1" x14ac:dyDescent="0.25">
      <c r="A50" s="1">
        <v>49</v>
      </c>
      <c r="B50" s="2" t="s">
        <v>197</v>
      </c>
      <c r="C50" s="2" t="s">
        <v>198</v>
      </c>
      <c r="D50" s="2" t="s">
        <v>90</v>
      </c>
      <c r="E50" s="2" t="s">
        <v>60</v>
      </c>
      <c r="F50" s="2"/>
      <c r="G50" s="3" t="s">
        <v>148</v>
      </c>
      <c r="H50" s="4" t="s">
        <v>209</v>
      </c>
      <c r="I50" s="5"/>
      <c r="J50" s="2">
        <v>7</v>
      </c>
      <c r="K50" s="6">
        <v>5</v>
      </c>
      <c r="L50" s="16">
        <v>5</v>
      </c>
      <c r="M50" s="17"/>
      <c r="N50" s="20"/>
      <c r="O50" s="21"/>
      <c r="P50" s="5"/>
      <c r="Q50" s="5"/>
      <c r="R50" s="2">
        <v>1</v>
      </c>
      <c r="S50" s="2">
        <v>0</v>
      </c>
      <c r="T50" s="5"/>
      <c r="U50" s="5"/>
      <c r="V50" s="11">
        <f t="shared" si="0"/>
        <v>75</v>
      </c>
      <c r="W50" s="12">
        <f t="shared" si="1"/>
        <v>0</v>
      </c>
      <c r="X50" s="13">
        <f t="shared" si="2"/>
        <v>0</v>
      </c>
      <c r="Y50" s="14">
        <f t="shared" si="6"/>
        <v>0</v>
      </c>
      <c r="Z50" s="15">
        <f t="shared" si="3"/>
        <v>150</v>
      </c>
      <c r="AA50" s="15">
        <f t="shared" si="4"/>
        <v>25</v>
      </c>
      <c r="AB50" s="5"/>
      <c r="AC50" s="5">
        <v>1</v>
      </c>
      <c r="AD50" s="5"/>
    </row>
    <row r="51" spans="1:30" ht="30.75" customHeight="1" x14ac:dyDescent="0.25">
      <c r="A51" s="1">
        <v>50</v>
      </c>
      <c r="B51" s="2" t="s">
        <v>197</v>
      </c>
      <c r="C51" s="2" t="s">
        <v>198</v>
      </c>
      <c r="D51" s="2" t="s">
        <v>90</v>
      </c>
      <c r="E51" s="2" t="s">
        <v>60</v>
      </c>
      <c r="F51" s="2"/>
      <c r="G51" s="3" t="s">
        <v>210</v>
      </c>
      <c r="H51" s="4" t="s">
        <v>211</v>
      </c>
      <c r="I51" s="5"/>
      <c r="J51" s="2">
        <v>6</v>
      </c>
      <c r="K51" s="6">
        <v>2</v>
      </c>
      <c r="L51" s="16">
        <v>2</v>
      </c>
      <c r="M51" s="17"/>
      <c r="N51" s="20"/>
      <c r="O51" s="21"/>
      <c r="P51" s="5"/>
      <c r="Q51" s="5"/>
      <c r="R51" s="2">
        <v>1</v>
      </c>
      <c r="S51" s="2">
        <v>0</v>
      </c>
      <c r="T51" s="5"/>
      <c r="U51" s="5"/>
      <c r="V51" s="11">
        <f t="shared" si="0"/>
        <v>30</v>
      </c>
      <c r="W51" s="12">
        <f t="shared" si="1"/>
        <v>0</v>
      </c>
      <c r="X51" s="13">
        <f t="shared" si="2"/>
        <v>0</v>
      </c>
      <c r="Y51" s="14">
        <f t="shared" si="6"/>
        <v>0</v>
      </c>
      <c r="Z51" s="15">
        <f t="shared" si="3"/>
        <v>60</v>
      </c>
      <c r="AA51" s="15">
        <f t="shared" si="4"/>
        <v>10</v>
      </c>
      <c r="AB51" s="5"/>
      <c r="AC51" s="5">
        <v>1</v>
      </c>
      <c r="AD51" s="5"/>
    </row>
    <row r="52" spans="1:30" ht="30.75" customHeight="1" x14ac:dyDescent="0.25">
      <c r="A52" s="1">
        <v>51</v>
      </c>
      <c r="B52" s="2" t="s">
        <v>212</v>
      </c>
      <c r="C52" s="2" t="s">
        <v>213</v>
      </c>
      <c r="D52" s="2" t="s">
        <v>214</v>
      </c>
      <c r="E52" s="2" t="s">
        <v>60</v>
      </c>
      <c r="F52" s="2"/>
      <c r="G52" s="3" t="s">
        <v>215</v>
      </c>
      <c r="H52" s="4" t="s">
        <v>216</v>
      </c>
      <c r="I52" s="5"/>
      <c r="J52" s="2">
        <v>6</v>
      </c>
      <c r="K52" s="6">
        <v>3</v>
      </c>
      <c r="L52" s="18">
        <v>2.3333333333333335</v>
      </c>
      <c r="M52" s="19">
        <v>0.66666666666666663</v>
      </c>
      <c r="N52" s="20"/>
      <c r="O52" s="21"/>
      <c r="P52" s="5" t="s">
        <v>26</v>
      </c>
      <c r="Q52" s="5"/>
      <c r="R52" s="2">
        <v>1</v>
      </c>
      <c r="S52" s="2">
        <v>0</v>
      </c>
      <c r="T52" s="5"/>
      <c r="U52" s="5"/>
      <c r="V52" s="11">
        <f t="shared" si="0"/>
        <v>35</v>
      </c>
      <c r="W52" s="12">
        <f t="shared" si="1"/>
        <v>20</v>
      </c>
      <c r="X52" s="13">
        <f t="shared" si="2"/>
        <v>0</v>
      </c>
      <c r="Y52" s="14">
        <f t="shared" si="6"/>
        <v>0</v>
      </c>
      <c r="Z52" s="15">
        <f t="shared" si="3"/>
        <v>80.000000000000014</v>
      </c>
      <c r="AA52" s="15">
        <f t="shared" si="4"/>
        <v>15</v>
      </c>
      <c r="AB52" s="5"/>
      <c r="AC52" s="5">
        <v>1</v>
      </c>
      <c r="AD52" s="5"/>
    </row>
    <row r="53" spans="1:30" ht="30.75" customHeight="1" x14ac:dyDescent="0.25">
      <c r="A53" s="1">
        <v>52</v>
      </c>
      <c r="B53" s="2" t="s">
        <v>212</v>
      </c>
      <c r="C53" s="2" t="s">
        <v>213</v>
      </c>
      <c r="D53" s="2" t="s">
        <v>214</v>
      </c>
      <c r="E53" s="2" t="s">
        <v>60</v>
      </c>
      <c r="F53" s="2"/>
      <c r="G53" s="3" t="s">
        <v>217</v>
      </c>
      <c r="H53" s="4" t="s">
        <v>218</v>
      </c>
      <c r="I53" s="5"/>
      <c r="J53" s="2">
        <v>6</v>
      </c>
      <c r="K53" s="6">
        <v>3</v>
      </c>
      <c r="L53" s="18">
        <v>2.3333333333333335</v>
      </c>
      <c r="M53" s="19">
        <v>0.66666666666666663</v>
      </c>
      <c r="N53" s="20"/>
      <c r="O53" s="21"/>
      <c r="P53" s="5" t="s">
        <v>26</v>
      </c>
      <c r="Q53" s="5"/>
      <c r="R53" s="2">
        <v>1</v>
      </c>
      <c r="S53" s="2">
        <v>0</v>
      </c>
      <c r="T53" s="5"/>
      <c r="U53" s="5"/>
      <c r="V53" s="11">
        <f t="shared" si="0"/>
        <v>35</v>
      </c>
      <c r="W53" s="12">
        <f t="shared" si="1"/>
        <v>20</v>
      </c>
      <c r="X53" s="13">
        <f t="shared" si="2"/>
        <v>0</v>
      </c>
      <c r="Y53" s="14">
        <f t="shared" si="6"/>
        <v>0</v>
      </c>
      <c r="Z53" s="15">
        <f t="shared" si="3"/>
        <v>80.000000000000014</v>
      </c>
      <c r="AA53" s="15">
        <f t="shared" si="4"/>
        <v>15</v>
      </c>
      <c r="AB53" s="5"/>
      <c r="AC53" s="5">
        <v>1</v>
      </c>
      <c r="AD53" s="5"/>
    </row>
    <row r="54" spans="1:30" ht="30.75" customHeight="1" x14ac:dyDescent="0.25">
      <c r="A54" s="1">
        <v>53</v>
      </c>
      <c r="B54" s="2" t="s">
        <v>212</v>
      </c>
      <c r="C54" s="2" t="s">
        <v>213</v>
      </c>
      <c r="D54" s="2" t="s">
        <v>214</v>
      </c>
      <c r="E54" s="2" t="s">
        <v>60</v>
      </c>
      <c r="F54" s="2"/>
      <c r="G54" s="3" t="s">
        <v>219</v>
      </c>
      <c r="H54" s="4" t="s">
        <v>220</v>
      </c>
      <c r="I54" s="5"/>
      <c r="J54" s="2">
        <v>7</v>
      </c>
      <c r="K54" s="6">
        <v>4</v>
      </c>
      <c r="L54" s="18">
        <v>3.3333333333333335</v>
      </c>
      <c r="M54" s="19">
        <v>0.66666666666666663</v>
      </c>
      <c r="N54" s="20"/>
      <c r="O54" s="21"/>
      <c r="P54" s="5" t="s">
        <v>26</v>
      </c>
      <c r="Q54" s="5"/>
      <c r="R54" s="2">
        <v>1</v>
      </c>
      <c r="S54" s="2">
        <v>0</v>
      </c>
      <c r="T54" s="5"/>
      <c r="U54" s="5"/>
      <c r="V54" s="11">
        <f t="shared" si="0"/>
        <v>50</v>
      </c>
      <c r="W54" s="12">
        <f t="shared" si="1"/>
        <v>20</v>
      </c>
      <c r="X54" s="13">
        <f t="shared" si="2"/>
        <v>0</v>
      </c>
      <c r="Y54" s="14">
        <f t="shared" si="6"/>
        <v>0</v>
      </c>
      <c r="Z54" s="15">
        <f t="shared" si="3"/>
        <v>110.00000000000001</v>
      </c>
      <c r="AA54" s="15">
        <f t="shared" si="4"/>
        <v>20</v>
      </c>
      <c r="AB54" s="5"/>
      <c r="AC54" s="5">
        <v>1</v>
      </c>
      <c r="AD54" s="5"/>
    </row>
    <row r="55" spans="1:30" ht="30.75" customHeight="1" x14ac:dyDescent="0.25">
      <c r="A55" s="1">
        <v>54</v>
      </c>
      <c r="B55" s="2" t="s">
        <v>212</v>
      </c>
      <c r="C55" s="2" t="s">
        <v>213</v>
      </c>
      <c r="D55" s="2" t="s">
        <v>214</v>
      </c>
      <c r="E55" s="2" t="s">
        <v>60</v>
      </c>
      <c r="F55" s="2"/>
      <c r="G55" s="3" t="s">
        <v>221</v>
      </c>
      <c r="H55" s="4" t="s">
        <v>222</v>
      </c>
      <c r="I55" s="5"/>
      <c r="J55" s="2">
        <v>6</v>
      </c>
      <c r="K55" s="6">
        <v>4</v>
      </c>
      <c r="L55" s="18">
        <v>3.3333333333333335</v>
      </c>
      <c r="M55" s="19">
        <v>0.66666666666666663</v>
      </c>
      <c r="N55" s="20"/>
      <c r="O55" s="21"/>
      <c r="P55" s="5" t="s">
        <v>26</v>
      </c>
      <c r="Q55" s="5"/>
      <c r="R55" s="2">
        <v>1</v>
      </c>
      <c r="S55" s="2">
        <v>0</v>
      </c>
      <c r="T55" s="5"/>
      <c r="U55" s="5"/>
      <c r="V55" s="11">
        <f t="shared" si="0"/>
        <v>50</v>
      </c>
      <c r="W55" s="12">
        <f t="shared" si="1"/>
        <v>20</v>
      </c>
      <c r="X55" s="13">
        <f t="shared" si="2"/>
        <v>0</v>
      </c>
      <c r="Y55" s="14">
        <f t="shared" si="6"/>
        <v>0</v>
      </c>
      <c r="Z55" s="15">
        <f t="shared" si="3"/>
        <v>110.00000000000001</v>
      </c>
      <c r="AA55" s="15">
        <f t="shared" si="4"/>
        <v>20</v>
      </c>
      <c r="AB55" s="5"/>
      <c r="AC55" s="5">
        <v>1</v>
      </c>
      <c r="AD55" s="5"/>
    </row>
    <row r="56" spans="1:30" ht="30.75" customHeight="1" x14ac:dyDescent="0.25">
      <c r="A56" s="1">
        <v>55</v>
      </c>
      <c r="B56" s="2" t="s">
        <v>212</v>
      </c>
      <c r="C56" s="2" t="s">
        <v>213</v>
      </c>
      <c r="D56" s="2" t="s">
        <v>214</v>
      </c>
      <c r="E56" s="2" t="s">
        <v>60</v>
      </c>
      <c r="F56" s="2"/>
      <c r="G56" s="3" t="s">
        <v>223</v>
      </c>
      <c r="H56" s="4" t="s">
        <v>224</v>
      </c>
      <c r="I56" s="5"/>
      <c r="J56" s="2">
        <v>7</v>
      </c>
      <c r="K56" s="6">
        <v>3</v>
      </c>
      <c r="L56" s="18">
        <v>2.6666666666666665</v>
      </c>
      <c r="M56" s="19">
        <v>0.33333333333333331</v>
      </c>
      <c r="N56" s="20"/>
      <c r="O56" s="21"/>
      <c r="P56" s="5" t="s">
        <v>26</v>
      </c>
      <c r="Q56" s="5"/>
      <c r="R56" s="2">
        <v>1</v>
      </c>
      <c r="S56" s="2">
        <v>0</v>
      </c>
      <c r="T56" s="5"/>
      <c r="U56" s="5"/>
      <c r="V56" s="11">
        <f t="shared" si="0"/>
        <v>40</v>
      </c>
      <c r="W56" s="12">
        <f t="shared" si="1"/>
        <v>10</v>
      </c>
      <c r="X56" s="13">
        <f t="shared" si="2"/>
        <v>0</v>
      </c>
      <c r="Y56" s="14">
        <f t="shared" si="6"/>
        <v>0</v>
      </c>
      <c r="Z56" s="15">
        <f t="shared" si="3"/>
        <v>84.999999999999986</v>
      </c>
      <c r="AA56" s="15">
        <f t="shared" si="4"/>
        <v>15</v>
      </c>
      <c r="AB56" s="5"/>
      <c r="AC56" s="5">
        <v>1</v>
      </c>
      <c r="AD56" s="5"/>
    </row>
    <row r="57" spans="1:30" ht="30.75" customHeight="1" x14ac:dyDescent="0.25">
      <c r="A57" s="1">
        <v>56</v>
      </c>
      <c r="B57" s="2" t="s">
        <v>212</v>
      </c>
      <c r="C57" s="2" t="s">
        <v>213</v>
      </c>
      <c r="D57" s="2" t="s">
        <v>214</v>
      </c>
      <c r="E57" s="2" t="s">
        <v>60</v>
      </c>
      <c r="F57" s="2"/>
      <c r="G57" s="3" t="s">
        <v>225</v>
      </c>
      <c r="H57" s="4" t="s">
        <v>226</v>
      </c>
      <c r="I57" s="5"/>
      <c r="J57" s="2">
        <v>6</v>
      </c>
      <c r="K57" s="6">
        <v>3</v>
      </c>
      <c r="L57" s="18">
        <v>2.6666666666666665</v>
      </c>
      <c r="M57" s="19">
        <v>0.33333333333333331</v>
      </c>
      <c r="N57" s="20"/>
      <c r="O57" s="21"/>
      <c r="P57" s="5" t="s">
        <v>26</v>
      </c>
      <c r="Q57" s="5"/>
      <c r="R57" s="2">
        <v>1</v>
      </c>
      <c r="S57" s="2">
        <v>0</v>
      </c>
      <c r="T57" s="5"/>
      <c r="U57" s="5"/>
      <c r="V57" s="11">
        <f t="shared" si="0"/>
        <v>40</v>
      </c>
      <c r="W57" s="12">
        <f t="shared" si="1"/>
        <v>10</v>
      </c>
      <c r="X57" s="13">
        <f t="shared" si="2"/>
        <v>0</v>
      </c>
      <c r="Y57" s="14">
        <f t="shared" si="6"/>
        <v>0</v>
      </c>
      <c r="Z57" s="15">
        <f t="shared" si="3"/>
        <v>84.999999999999986</v>
      </c>
      <c r="AA57" s="15">
        <f t="shared" si="4"/>
        <v>15</v>
      </c>
      <c r="AB57" s="5"/>
      <c r="AC57" s="5">
        <v>1</v>
      </c>
      <c r="AD57" s="5"/>
    </row>
    <row r="58" spans="1:30" ht="30.75" customHeight="1" x14ac:dyDescent="0.25">
      <c r="A58" s="1">
        <v>57</v>
      </c>
      <c r="B58" s="2" t="s">
        <v>212</v>
      </c>
      <c r="C58" s="2" t="s">
        <v>213</v>
      </c>
      <c r="D58" s="2" t="s">
        <v>214</v>
      </c>
      <c r="E58" s="2" t="s">
        <v>60</v>
      </c>
      <c r="F58" s="2"/>
      <c r="G58" s="3" t="s">
        <v>227</v>
      </c>
      <c r="H58" s="4" t="s">
        <v>228</v>
      </c>
      <c r="I58" s="5"/>
      <c r="J58" s="2">
        <v>6</v>
      </c>
      <c r="K58" s="6">
        <v>3</v>
      </c>
      <c r="L58" s="18">
        <v>2.6666666666666665</v>
      </c>
      <c r="M58" s="19">
        <v>0.33333333333333331</v>
      </c>
      <c r="N58" s="20"/>
      <c r="O58" s="21"/>
      <c r="P58" s="5" t="s">
        <v>26</v>
      </c>
      <c r="Q58" s="5"/>
      <c r="R58" s="2">
        <v>1</v>
      </c>
      <c r="S58" s="2">
        <v>0</v>
      </c>
      <c r="T58" s="5"/>
      <c r="U58" s="5"/>
      <c r="V58" s="11">
        <f t="shared" si="0"/>
        <v>40</v>
      </c>
      <c r="W58" s="12">
        <f t="shared" si="1"/>
        <v>10</v>
      </c>
      <c r="X58" s="13">
        <f t="shared" si="2"/>
        <v>0</v>
      </c>
      <c r="Y58" s="14">
        <f t="shared" si="6"/>
        <v>0</v>
      </c>
      <c r="Z58" s="15">
        <f t="shared" si="3"/>
        <v>84.999999999999986</v>
      </c>
      <c r="AA58" s="15">
        <f t="shared" si="4"/>
        <v>15</v>
      </c>
      <c r="AB58" s="5"/>
      <c r="AC58" s="5">
        <v>1</v>
      </c>
      <c r="AD58" s="5"/>
    </row>
    <row r="59" spans="1:30" ht="30.75" customHeight="1" x14ac:dyDescent="0.25">
      <c r="A59" s="1">
        <v>58</v>
      </c>
      <c r="B59" s="2" t="s">
        <v>212</v>
      </c>
      <c r="C59" s="2" t="s">
        <v>213</v>
      </c>
      <c r="D59" s="2" t="s">
        <v>214</v>
      </c>
      <c r="E59" s="2" t="s">
        <v>60</v>
      </c>
      <c r="F59" s="2"/>
      <c r="G59" s="3" t="s">
        <v>229</v>
      </c>
      <c r="H59" s="4" t="s">
        <v>230</v>
      </c>
      <c r="I59" s="5"/>
      <c r="J59" s="2">
        <v>6</v>
      </c>
      <c r="K59" s="6">
        <v>2</v>
      </c>
      <c r="L59" s="16">
        <v>2</v>
      </c>
      <c r="M59" s="17"/>
      <c r="N59" s="20"/>
      <c r="O59" s="21"/>
      <c r="P59" s="5"/>
      <c r="Q59" s="5"/>
      <c r="R59" s="2">
        <v>1</v>
      </c>
      <c r="S59" s="2">
        <v>0</v>
      </c>
      <c r="T59" s="5"/>
      <c r="U59" s="5"/>
      <c r="V59" s="11">
        <f t="shared" si="0"/>
        <v>30</v>
      </c>
      <c r="W59" s="12">
        <f t="shared" si="1"/>
        <v>0</v>
      </c>
      <c r="X59" s="13">
        <f t="shared" si="2"/>
        <v>0</v>
      </c>
      <c r="Y59" s="14">
        <f t="shared" si="6"/>
        <v>0</v>
      </c>
      <c r="Z59" s="15">
        <f t="shared" si="3"/>
        <v>60</v>
      </c>
      <c r="AA59" s="15">
        <f t="shared" si="4"/>
        <v>10</v>
      </c>
      <c r="AB59" s="5"/>
      <c r="AC59" s="5">
        <v>1</v>
      </c>
      <c r="AD59" s="5"/>
    </row>
    <row r="60" spans="1:30" ht="30.75" customHeight="1" x14ac:dyDescent="0.25">
      <c r="A60" s="1">
        <v>58</v>
      </c>
      <c r="B60" s="2" t="s">
        <v>212</v>
      </c>
      <c r="C60" s="2" t="s">
        <v>213</v>
      </c>
      <c r="D60" s="2" t="s">
        <v>214</v>
      </c>
      <c r="E60" s="2" t="s">
        <v>60</v>
      </c>
      <c r="F60" s="2"/>
      <c r="G60" s="3" t="s">
        <v>231</v>
      </c>
      <c r="H60" s="4" t="s">
        <v>232</v>
      </c>
      <c r="I60" s="5"/>
      <c r="J60" s="2">
        <v>7</v>
      </c>
      <c r="K60" s="6">
        <v>3</v>
      </c>
      <c r="L60" s="18">
        <v>2.6666666666666665</v>
      </c>
      <c r="M60" s="19">
        <v>0.33333333333333331</v>
      </c>
      <c r="N60" s="20"/>
      <c r="O60" s="21"/>
      <c r="P60" s="5" t="s">
        <v>26</v>
      </c>
      <c r="Q60" s="5"/>
      <c r="R60" s="2">
        <v>1</v>
      </c>
      <c r="S60" s="2">
        <v>0</v>
      </c>
      <c r="T60" s="5"/>
      <c r="U60" s="5"/>
      <c r="V60" s="11">
        <f t="shared" si="0"/>
        <v>40</v>
      </c>
      <c r="W60" s="12">
        <f t="shared" si="1"/>
        <v>10</v>
      </c>
      <c r="X60" s="13">
        <f t="shared" si="2"/>
        <v>0</v>
      </c>
      <c r="Y60" s="14">
        <f t="shared" si="6"/>
        <v>0</v>
      </c>
      <c r="Z60" s="15">
        <f t="shared" si="3"/>
        <v>84.999999999999986</v>
      </c>
      <c r="AA60" s="15">
        <f t="shared" si="4"/>
        <v>15</v>
      </c>
      <c r="AB60" s="5"/>
      <c r="AC60" s="5">
        <v>1</v>
      </c>
      <c r="AD60" s="5"/>
    </row>
    <row r="61" spans="1:30" ht="30.75" customHeight="1" x14ac:dyDescent="0.25">
      <c r="A61" s="1">
        <v>59</v>
      </c>
      <c r="B61" s="2" t="s">
        <v>212</v>
      </c>
      <c r="C61" s="2" t="s">
        <v>213</v>
      </c>
      <c r="D61" s="2" t="s">
        <v>214</v>
      </c>
      <c r="E61" s="2" t="s">
        <v>60</v>
      </c>
      <c r="F61" s="2"/>
      <c r="G61" s="3" t="s">
        <v>233</v>
      </c>
      <c r="H61" s="4" t="s">
        <v>234</v>
      </c>
      <c r="I61" s="5"/>
      <c r="J61" s="2">
        <v>7</v>
      </c>
      <c r="K61" s="6">
        <v>5</v>
      </c>
      <c r="L61" s="16">
        <v>5</v>
      </c>
      <c r="M61" s="17"/>
      <c r="N61" s="20"/>
      <c r="O61" s="21"/>
      <c r="P61" s="5"/>
      <c r="Q61" s="5"/>
      <c r="R61" s="2">
        <v>1</v>
      </c>
      <c r="S61" s="2">
        <v>0</v>
      </c>
      <c r="T61" s="5"/>
      <c r="U61" s="5"/>
      <c r="V61" s="11">
        <f t="shared" si="0"/>
        <v>75</v>
      </c>
      <c r="W61" s="12">
        <f t="shared" si="1"/>
        <v>0</v>
      </c>
      <c r="X61" s="13">
        <f t="shared" si="2"/>
        <v>0</v>
      </c>
      <c r="Y61" s="14">
        <f t="shared" si="6"/>
        <v>0</v>
      </c>
      <c r="Z61" s="15">
        <f t="shared" si="3"/>
        <v>150</v>
      </c>
      <c r="AA61" s="15">
        <f t="shared" si="4"/>
        <v>25</v>
      </c>
      <c r="AB61" s="5"/>
      <c r="AC61" s="5">
        <v>1</v>
      </c>
      <c r="AD61" s="5"/>
    </row>
    <row r="62" spans="1:30" ht="30.75" customHeight="1" x14ac:dyDescent="0.25">
      <c r="A62" s="1">
        <v>61</v>
      </c>
      <c r="B62" s="2" t="s">
        <v>104</v>
      </c>
      <c r="C62" s="2"/>
      <c r="D62" s="2"/>
      <c r="E62" s="2" t="s">
        <v>105</v>
      </c>
      <c r="F62" s="2"/>
      <c r="G62" s="3" t="s">
        <v>106</v>
      </c>
      <c r="H62" s="4" t="s">
        <v>105</v>
      </c>
      <c r="I62" s="5"/>
      <c r="J62" s="2">
        <v>8</v>
      </c>
      <c r="K62" s="6">
        <v>3</v>
      </c>
      <c r="L62" s="16">
        <v>1</v>
      </c>
      <c r="M62" s="17"/>
      <c r="N62" s="20"/>
      <c r="O62" s="21">
        <v>2</v>
      </c>
      <c r="P62" s="5" t="s">
        <v>97</v>
      </c>
      <c r="Q62" s="5"/>
      <c r="R62" s="2">
        <v>0</v>
      </c>
      <c r="S62" s="2">
        <v>0</v>
      </c>
      <c r="T62" s="5"/>
      <c r="U62" s="5"/>
      <c r="V62" s="11">
        <f t="shared" si="0"/>
        <v>15</v>
      </c>
      <c r="W62" s="12">
        <f t="shared" si="1"/>
        <v>0</v>
      </c>
      <c r="X62" s="13">
        <f t="shared" si="2"/>
        <v>0</v>
      </c>
      <c r="Y62" s="14">
        <f t="shared" si="6"/>
        <v>90</v>
      </c>
      <c r="Z62" s="15">
        <f t="shared" si="3"/>
        <v>120</v>
      </c>
      <c r="AA62" s="15">
        <f t="shared" si="4"/>
        <v>15</v>
      </c>
      <c r="AB62" s="5"/>
      <c r="AC62" s="5">
        <v>1</v>
      </c>
      <c r="AD62" s="5"/>
    </row>
    <row r="63" spans="1:30" ht="30.75" customHeight="1" x14ac:dyDescent="0.25">
      <c r="A63" s="1">
        <v>62</v>
      </c>
      <c r="B63" s="2" t="s">
        <v>104</v>
      </c>
      <c r="C63" s="2"/>
      <c r="D63" s="2"/>
      <c r="E63" s="2" t="s">
        <v>107</v>
      </c>
      <c r="F63" s="2"/>
      <c r="G63" s="3" t="s">
        <v>108</v>
      </c>
      <c r="H63" s="4" t="s">
        <v>109</v>
      </c>
      <c r="I63" s="5"/>
      <c r="J63" s="2">
        <v>8</v>
      </c>
      <c r="K63" s="6">
        <v>9</v>
      </c>
      <c r="L63" s="16">
        <v>1</v>
      </c>
      <c r="M63" s="17"/>
      <c r="N63" s="20"/>
      <c r="O63" s="21">
        <v>8</v>
      </c>
      <c r="P63" s="5"/>
      <c r="Q63" s="5"/>
      <c r="R63" s="2">
        <v>0</v>
      </c>
      <c r="S63" s="2">
        <v>0</v>
      </c>
      <c r="T63" s="5"/>
      <c r="U63" s="5"/>
      <c r="V63" s="11">
        <f t="shared" si="0"/>
        <v>15</v>
      </c>
      <c r="W63" s="12">
        <f t="shared" si="1"/>
        <v>0</v>
      </c>
      <c r="X63" s="13">
        <f t="shared" si="2"/>
        <v>0</v>
      </c>
      <c r="Y63" s="14">
        <f t="shared" si="6"/>
        <v>360</v>
      </c>
      <c r="Z63" s="15">
        <f t="shared" si="3"/>
        <v>390</v>
      </c>
      <c r="AA63" s="15">
        <f t="shared" si="4"/>
        <v>45</v>
      </c>
      <c r="AB63" s="5"/>
      <c r="AC63" s="5">
        <v>1</v>
      </c>
      <c r="AD63" s="5"/>
    </row>
  </sheetData>
  <dataValidations count="5">
    <dataValidation type="list" allowBlank="1" showErrorMessage="1" sqref="AC2:AC63" xr:uid="{00000000-0002-0000-0200-000000000000}">
      <formula1>"1,0"</formula1>
    </dataValidation>
    <dataValidation type="list" allowBlank="1" showErrorMessage="1" sqref="U2:U63" xr:uid="{00000000-0002-0000-0200-000001000000}">
      <formula1>"Tiên quyết (c),Học trước (d),Song hành (e)"</formula1>
    </dataValidation>
    <dataValidation type="list" allowBlank="1" showErrorMessage="1" sqref="Q2:Q63" xr:uid="{00000000-0002-0000-0200-000002000000}">
      <formula1>"Nhóm 1,Nhóm 2,Nhóm 3,Nhóm 4"</formula1>
    </dataValidation>
    <dataValidation type="list" allowBlank="1" showErrorMessage="1" sqref="P2:P63" xr:uid="{00000000-0002-0000-0200-000003000000}">
      <formula1>"T,N"</formula1>
    </dataValidation>
    <dataValidation type="list" allowBlank="1" showErrorMessage="1" sqref="AB2:AB63" xr:uid="{00000000-0002-0000-0200-000004000000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66"/>
  <sheetViews>
    <sheetView workbookViewId="0">
      <selection activeCell="F2" sqref="A2:XFD4"/>
    </sheetView>
  </sheetViews>
  <sheetFormatPr defaultColWidth="14.42578125" defaultRowHeight="15" customHeight="1" x14ac:dyDescent="0.25"/>
  <cols>
    <col min="1" max="1" width="5.140625" customWidth="1"/>
    <col min="2" max="2" width="17.5703125" customWidth="1"/>
    <col min="3" max="3" width="15.140625" customWidth="1"/>
    <col min="4" max="4" width="21.28515625" customWidth="1"/>
    <col min="5" max="6" width="26.42578125" customWidth="1"/>
    <col min="7" max="7" width="12.85546875" customWidth="1"/>
    <col min="8" max="8" width="29.85546875" customWidth="1"/>
    <col min="10" max="10" width="7.42578125" customWidth="1"/>
    <col min="11" max="11" width="12" customWidth="1"/>
    <col min="20" max="20" width="31.85546875" customWidth="1"/>
    <col min="29" max="29" width="20.42578125" customWidth="1"/>
  </cols>
  <sheetData>
    <row r="1" spans="1:30" ht="15" customHeight="1" x14ac:dyDescent="0.25">
      <c r="A1" t="s">
        <v>250</v>
      </c>
      <c r="B1" t="s">
        <v>251</v>
      </c>
      <c r="C1" t="s">
        <v>282</v>
      </c>
      <c r="D1" t="s">
        <v>283</v>
      </c>
      <c r="E1" t="s">
        <v>252</v>
      </c>
      <c r="F1" t="s">
        <v>284</v>
      </c>
      <c r="G1" t="s">
        <v>285</v>
      </c>
      <c r="H1" t="s">
        <v>286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262</v>
      </c>
      <c r="Q1" t="s">
        <v>263</v>
      </c>
      <c r="R1" t="s">
        <v>264</v>
      </c>
      <c r="S1" t="s">
        <v>265</v>
      </c>
      <c r="T1" t="s">
        <v>266</v>
      </c>
      <c r="U1" t="s">
        <v>267</v>
      </c>
      <c r="V1" t="s">
        <v>268</v>
      </c>
      <c r="W1" t="s">
        <v>269</v>
      </c>
      <c r="X1" t="s">
        <v>270</v>
      </c>
      <c r="Y1" t="s">
        <v>271</v>
      </c>
      <c r="Z1" t="s">
        <v>272</v>
      </c>
      <c r="AA1" t="s">
        <v>273</v>
      </c>
      <c r="AB1" t="s">
        <v>274</v>
      </c>
      <c r="AC1" t="s">
        <v>275</v>
      </c>
      <c r="AD1" t="s">
        <v>276</v>
      </c>
    </row>
    <row r="2" spans="1:30" ht="31.5" customHeight="1" x14ac:dyDescent="0.25">
      <c r="A2" s="1">
        <v>1</v>
      </c>
      <c r="B2" s="2" t="s">
        <v>0</v>
      </c>
      <c r="C2" s="2"/>
      <c r="D2" s="2"/>
      <c r="E2" s="2" t="s">
        <v>1</v>
      </c>
      <c r="F2" s="2"/>
      <c r="G2" s="3" t="s">
        <v>2</v>
      </c>
      <c r="H2" s="4" t="s">
        <v>3</v>
      </c>
      <c r="I2" s="5"/>
      <c r="J2" s="2">
        <v>1</v>
      </c>
      <c r="K2" s="6">
        <v>3</v>
      </c>
      <c r="L2" s="16">
        <v>3</v>
      </c>
      <c r="M2" s="17"/>
      <c r="N2" s="20"/>
      <c r="O2" s="21"/>
      <c r="P2" s="5"/>
      <c r="Q2" s="5"/>
      <c r="R2" s="2">
        <v>0</v>
      </c>
      <c r="S2" s="2">
        <v>0</v>
      </c>
      <c r="T2" s="5"/>
      <c r="U2" s="5"/>
      <c r="V2" s="11">
        <f t="shared" ref="V2:V66" si="0">L2*15</f>
        <v>45</v>
      </c>
      <c r="W2" s="12">
        <f t="shared" ref="W2:W66" si="1">IF(M2="",0,IF(P2="T",M2*15*2,IF(P2="N",M2*15*3,"fail")))</f>
        <v>0</v>
      </c>
      <c r="X2" s="13">
        <f t="shared" ref="X2:X66" si="2">N2*15</f>
        <v>0</v>
      </c>
      <c r="Y2" s="14">
        <f>IF(O2="",0,IF(P2="T",O2*15*2,IF(P2="N",O2*15*3,"fail")))</f>
        <v>0</v>
      </c>
      <c r="Z2" s="15">
        <f t="shared" ref="Z2:Z66" si="3">(L2*2+M2+N2*3+O2*3)*15</f>
        <v>90</v>
      </c>
      <c r="AA2" s="15">
        <f t="shared" ref="AA2:AA66" si="4">K2*5</f>
        <v>15</v>
      </c>
      <c r="AB2" s="5"/>
      <c r="AC2" s="5">
        <v>1</v>
      </c>
      <c r="AD2" s="5"/>
    </row>
    <row r="3" spans="1:30" ht="31.5" customHeight="1" x14ac:dyDescent="0.25">
      <c r="A3" s="1">
        <v>2</v>
      </c>
      <c r="B3" s="2" t="s">
        <v>0</v>
      </c>
      <c r="C3" s="2"/>
      <c r="D3" s="2"/>
      <c r="E3" s="2" t="s">
        <v>1</v>
      </c>
      <c r="F3" s="2"/>
      <c r="G3" s="3" t="s">
        <v>110</v>
      </c>
      <c r="H3" s="4" t="s">
        <v>111</v>
      </c>
      <c r="I3" s="5"/>
      <c r="J3" s="2">
        <v>2</v>
      </c>
      <c r="K3" s="6">
        <v>2</v>
      </c>
      <c r="L3" s="16">
        <v>2</v>
      </c>
      <c r="M3" s="17"/>
      <c r="N3" s="20"/>
      <c r="O3" s="21"/>
      <c r="P3" s="5"/>
      <c r="Q3" s="5"/>
      <c r="R3" s="2">
        <v>0</v>
      </c>
      <c r="S3" s="2">
        <v>0</v>
      </c>
      <c r="T3" s="3" t="s">
        <v>2</v>
      </c>
      <c r="U3" s="5" t="s">
        <v>112</v>
      </c>
      <c r="V3" s="11">
        <f t="shared" si="0"/>
        <v>30</v>
      </c>
      <c r="W3" s="12">
        <f t="shared" si="1"/>
        <v>0</v>
      </c>
      <c r="X3" s="13">
        <f t="shared" si="2"/>
        <v>0</v>
      </c>
      <c r="Y3" s="14">
        <f t="shared" ref="Y3:Y66" si="5">IF(O3="",0,IF(P3="T",O3*15*2,O3*15*3))</f>
        <v>0</v>
      </c>
      <c r="Z3" s="15">
        <f t="shared" si="3"/>
        <v>60</v>
      </c>
      <c r="AA3" s="15">
        <f t="shared" si="4"/>
        <v>10</v>
      </c>
      <c r="AB3" s="5"/>
      <c r="AC3" s="5">
        <v>1</v>
      </c>
      <c r="AD3" s="5"/>
    </row>
    <row r="4" spans="1:30" ht="31.5" customHeight="1" x14ac:dyDescent="0.25">
      <c r="A4" s="1">
        <v>3</v>
      </c>
      <c r="B4" s="2" t="s">
        <v>0</v>
      </c>
      <c r="C4" s="2"/>
      <c r="D4" s="2"/>
      <c r="E4" s="2" t="s">
        <v>1</v>
      </c>
      <c r="F4" s="2"/>
      <c r="G4" s="3" t="s">
        <v>113</v>
      </c>
      <c r="H4" s="4" t="s">
        <v>5</v>
      </c>
      <c r="I4" s="5"/>
      <c r="J4" s="2">
        <v>3</v>
      </c>
      <c r="K4" s="6">
        <v>2</v>
      </c>
      <c r="L4" s="16">
        <v>2</v>
      </c>
      <c r="M4" s="17"/>
      <c r="N4" s="20"/>
      <c r="O4" s="21"/>
      <c r="P4" s="5"/>
      <c r="Q4" s="5"/>
      <c r="R4" s="2">
        <v>0</v>
      </c>
      <c r="S4" s="2">
        <v>0</v>
      </c>
      <c r="T4" s="5"/>
      <c r="U4" s="5"/>
      <c r="V4" s="11">
        <f t="shared" si="0"/>
        <v>30</v>
      </c>
      <c r="W4" s="12">
        <f t="shared" si="1"/>
        <v>0</v>
      </c>
      <c r="X4" s="13">
        <f t="shared" si="2"/>
        <v>0</v>
      </c>
      <c r="Y4" s="14">
        <f t="shared" si="5"/>
        <v>0</v>
      </c>
      <c r="Z4" s="15">
        <f t="shared" si="3"/>
        <v>60</v>
      </c>
      <c r="AA4" s="15">
        <f t="shared" si="4"/>
        <v>10</v>
      </c>
      <c r="AB4" s="5"/>
      <c r="AC4" s="5">
        <v>1</v>
      </c>
      <c r="AD4" s="5"/>
    </row>
    <row r="5" spans="1:30" ht="31.5" customHeight="1" x14ac:dyDescent="0.25">
      <c r="A5" s="1">
        <v>4</v>
      </c>
      <c r="B5" s="2" t="s">
        <v>0</v>
      </c>
      <c r="C5" s="2"/>
      <c r="D5" s="2"/>
      <c r="E5" s="2" t="s">
        <v>1</v>
      </c>
      <c r="F5" s="2"/>
      <c r="G5" s="3" t="s">
        <v>114</v>
      </c>
      <c r="H5" s="4" t="s">
        <v>115</v>
      </c>
      <c r="I5" s="5"/>
      <c r="J5" s="2">
        <v>5</v>
      </c>
      <c r="K5" s="6">
        <v>2</v>
      </c>
      <c r="L5" s="16">
        <v>2</v>
      </c>
      <c r="M5" s="17"/>
      <c r="N5" s="20"/>
      <c r="O5" s="21"/>
      <c r="P5" s="5"/>
      <c r="Q5" s="5"/>
      <c r="R5" s="2">
        <v>0</v>
      </c>
      <c r="S5" s="2">
        <v>0</v>
      </c>
      <c r="T5" s="5"/>
      <c r="U5" s="5"/>
      <c r="V5" s="11">
        <f t="shared" si="0"/>
        <v>30</v>
      </c>
      <c r="W5" s="12">
        <f t="shared" si="1"/>
        <v>0</v>
      </c>
      <c r="X5" s="13">
        <f t="shared" si="2"/>
        <v>0</v>
      </c>
      <c r="Y5" s="14">
        <f t="shared" si="5"/>
        <v>0</v>
      </c>
      <c r="Z5" s="15">
        <f t="shared" si="3"/>
        <v>60</v>
      </c>
      <c r="AA5" s="15">
        <f t="shared" si="4"/>
        <v>10</v>
      </c>
      <c r="AB5" s="5"/>
      <c r="AC5" s="5">
        <v>1</v>
      </c>
      <c r="AD5" s="5"/>
    </row>
    <row r="6" spans="1:30" ht="31.5" customHeight="1" x14ac:dyDescent="0.25">
      <c r="A6" s="1">
        <v>5</v>
      </c>
      <c r="B6" s="2" t="s">
        <v>0</v>
      </c>
      <c r="C6" s="2"/>
      <c r="D6" s="2"/>
      <c r="E6" s="2" t="s">
        <v>1</v>
      </c>
      <c r="F6" s="2"/>
      <c r="G6" s="3" t="s">
        <v>10</v>
      </c>
      <c r="H6" s="4" t="s">
        <v>11</v>
      </c>
      <c r="I6" s="5"/>
      <c r="J6" s="2">
        <v>4</v>
      </c>
      <c r="K6" s="6">
        <v>2</v>
      </c>
      <c r="L6" s="16">
        <v>2</v>
      </c>
      <c r="M6" s="17"/>
      <c r="N6" s="20"/>
      <c r="O6" s="21"/>
      <c r="P6" s="5"/>
      <c r="Q6" s="5"/>
      <c r="R6" s="2">
        <v>0</v>
      </c>
      <c r="S6" s="2">
        <v>0</v>
      </c>
      <c r="T6" s="5"/>
      <c r="U6" s="5"/>
      <c r="V6" s="11">
        <f t="shared" si="0"/>
        <v>30</v>
      </c>
      <c r="W6" s="12">
        <f t="shared" si="1"/>
        <v>0</v>
      </c>
      <c r="X6" s="13">
        <f t="shared" si="2"/>
        <v>0</v>
      </c>
      <c r="Y6" s="14">
        <f t="shared" si="5"/>
        <v>0</v>
      </c>
      <c r="Z6" s="15">
        <f t="shared" si="3"/>
        <v>60</v>
      </c>
      <c r="AA6" s="15">
        <f t="shared" si="4"/>
        <v>10</v>
      </c>
      <c r="AB6" s="5"/>
      <c r="AC6" s="5">
        <v>1</v>
      </c>
      <c r="AD6" s="5"/>
    </row>
    <row r="7" spans="1:30" ht="31.5" customHeight="1" x14ac:dyDescent="0.25">
      <c r="A7" s="1">
        <v>6</v>
      </c>
      <c r="B7" s="2" t="s">
        <v>0</v>
      </c>
      <c r="C7" s="2"/>
      <c r="D7" s="2"/>
      <c r="E7" s="2" t="s">
        <v>1</v>
      </c>
      <c r="F7" s="2"/>
      <c r="G7" s="3" t="s">
        <v>162</v>
      </c>
      <c r="H7" s="4" t="s">
        <v>28</v>
      </c>
      <c r="I7" s="5"/>
      <c r="J7" s="2">
        <v>2</v>
      </c>
      <c r="K7" s="6">
        <v>2</v>
      </c>
      <c r="L7" s="16">
        <v>2</v>
      </c>
      <c r="M7" s="17"/>
      <c r="N7" s="20"/>
      <c r="O7" s="21"/>
      <c r="P7" s="5"/>
      <c r="Q7" s="5"/>
      <c r="R7" s="2">
        <v>0</v>
      </c>
      <c r="S7" s="2">
        <v>0</v>
      </c>
      <c r="T7" s="5"/>
      <c r="U7" s="5"/>
      <c r="V7" s="11">
        <f t="shared" si="0"/>
        <v>30</v>
      </c>
      <c r="W7" s="12">
        <f t="shared" si="1"/>
        <v>0</v>
      </c>
      <c r="X7" s="13">
        <f t="shared" si="2"/>
        <v>0</v>
      </c>
      <c r="Y7" s="14">
        <f t="shared" si="5"/>
        <v>0</v>
      </c>
      <c r="Z7" s="15">
        <f t="shared" si="3"/>
        <v>60</v>
      </c>
      <c r="AA7" s="15">
        <f t="shared" si="4"/>
        <v>10</v>
      </c>
      <c r="AB7" s="5"/>
      <c r="AC7" s="5">
        <v>1</v>
      </c>
      <c r="AD7" s="5"/>
    </row>
    <row r="8" spans="1:30" ht="31.5" customHeight="1" x14ac:dyDescent="0.25">
      <c r="A8" s="1">
        <v>7</v>
      </c>
      <c r="B8" s="2" t="s">
        <v>0</v>
      </c>
      <c r="C8" s="2"/>
      <c r="D8" s="2"/>
      <c r="E8" s="2" t="s">
        <v>1</v>
      </c>
      <c r="F8" s="2"/>
      <c r="G8" s="3" t="s">
        <v>163</v>
      </c>
      <c r="H8" s="4" t="s">
        <v>125</v>
      </c>
      <c r="I8" s="5"/>
      <c r="J8" s="2">
        <v>2</v>
      </c>
      <c r="K8" s="6">
        <v>3</v>
      </c>
      <c r="L8" s="16">
        <v>3</v>
      </c>
      <c r="M8" s="17"/>
      <c r="N8" s="20"/>
      <c r="O8" s="21"/>
      <c r="P8" s="5"/>
      <c r="Q8" s="5"/>
      <c r="R8" s="2">
        <v>0</v>
      </c>
      <c r="S8" s="2">
        <v>0</v>
      </c>
      <c r="T8" s="5"/>
      <c r="U8" s="5"/>
      <c r="V8" s="11">
        <f t="shared" si="0"/>
        <v>45</v>
      </c>
      <c r="W8" s="12">
        <f t="shared" si="1"/>
        <v>0</v>
      </c>
      <c r="X8" s="13">
        <f t="shared" si="2"/>
        <v>0</v>
      </c>
      <c r="Y8" s="14">
        <f t="shared" si="5"/>
        <v>0</v>
      </c>
      <c r="Z8" s="15">
        <f t="shared" si="3"/>
        <v>90</v>
      </c>
      <c r="AA8" s="15">
        <f t="shared" si="4"/>
        <v>15</v>
      </c>
      <c r="AB8" s="5"/>
      <c r="AC8" s="5">
        <v>1</v>
      </c>
      <c r="AD8" s="5"/>
    </row>
    <row r="9" spans="1:30" ht="31.5" customHeight="1" x14ac:dyDescent="0.25">
      <c r="A9" s="1">
        <v>8</v>
      </c>
      <c r="B9" s="2" t="s">
        <v>0</v>
      </c>
      <c r="C9" s="2"/>
      <c r="D9" s="2"/>
      <c r="E9" s="2" t="s">
        <v>1</v>
      </c>
      <c r="F9" s="2"/>
      <c r="G9" s="3" t="s">
        <v>164</v>
      </c>
      <c r="H9" s="4" t="s">
        <v>25</v>
      </c>
      <c r="I9" s="5"/>
      <c r="J9" s="2">
        <v>1</v>
      </c>
      <c r="K9" s="6">
        <v>3</v>
      </c>
      <c r="L9" s="16">
        <v>2</v>
      </c>
      <c r="M9" s="17">
        <v>1</v>
      </c>
      <c r="N9" s="20"/>
      <c r="O9" s="21"/>
      <c r="P9" s="5" t="s">
        <v>26</v>
      </c>
      <c r="Q9" s="5"/>
      <c r="R9" s="2">
        <v>0</v>
      </c>
      <c r="S9" s="2">
        <v>0</v>
      </c>
      <c r="T9" s="5"/>
      <c r="U9" s="5"/>
      <c r="V9" s="11">
        <f t="shared" si="0"/>
        <v>30</v>
      </c>
      <c r="W9" s="12">
        <f t="shared" si="1"/>
        <v>30</v>
      </c>
      <c r="X9" s="13">
        <f t="shared" si="2"/>
        <v>0</v>
      </c>
      <c r="Y9" s="14">
        <f t="shared" si="5"/>
        <v>0</v>
      </c>
      <c r="Z9" s="15">
        <f t="shared" si="3"/>
        <v>75</v>
      </c>
      <c r="AA9" s="15">
        <f t="shared" si="4"/>
        <v>15</v>
      </c>
      <c r="AB9" s="5"/>
      <c r="AC9" s="5">
        <v>1</v>
      </c>
      <c r="AD9" s="5"/>
    </row>
    <row r="10" spans="1:30" ht="31.5" customHeight="1" x14ac:dyDescent="0.25">
      <c r="A10" s="1">
        <v>9</v>
      </c>
      <c r="B10" s="2" t="s">
        <v>0</v>
      </c>
      <c r="C10" s="2"/>
      <c r="D10" s="2"/>
      <c r="E10" s="2" t="s">
        <v>1</v>
      </c>
      <c r="F10" s="2"/>
      <c r="G10" s="3" t="s">
        <v>165</v>
      </c>
      <c r="H10" s="4" t="s">
        <v>117</v>
      </c>
      <c r="I10" s="5"/>
      <c r="J10" s="2">
        <v>1</v>
      </c>
      <c r="K10" s="6">
        <v>3</v>
      </c>
      <c r="L10" s="16">
        <v>3</v>
      </c>
      <c r="M10" s="17"/>
      <c r="N10" s="20"/>
      <c r="O10" s="21"/>
      <c r="P10" s="5"/>
      <c r="Q10" s="5"/>
      <c r="R10" s="2">
        <v>0</v>
      </c>
      <c r="S10" s="2">
        <v>0</v>
      </c>
      <c r="T10" s="5"/>
      <c r="U10" s="5"/>
      <c r="V10" s="11">
        <f t="shared" si="0"/>
        <v>45</v>
      </c>
      <c r="W10" s="12">
        <f t="shared" si="1"/>
        <v>0</v>
      </c>
      <c r="X10" s="13">
        <f t="shared" si="2"/>
        <v>0</v>
      </c>
      <c r="Y10" s="14">
        <f t="shared" si="5"/>
        <v>0</v>
      </c>
      <c r="Z10" s="15">
        <f t="shared" si="3"/>
        <v>90</v>
      </c>
      <c r="AA10" s="15">
        <f t="shared" si="4"/>
        <v>15</v>
      </c>
      <c r="AB10" s="5"/>
      <c r="AC10" s="5">
        <v>1</v>
      </c>
      <c r="AD10" s="5"/>
    </row>
    <row r="11" spans="1:30" ht="31.5" customHeight="1" x14ac:dyDescent="0.25">
      <c r="A11" s="1">
        <v>10</v>
      </c>
      <c r="B11" s="2" t="s">
        <v>0</v>
      </c>
      <c r="C11" s="2"/>
      <c r="D11" s="2"/>
      <c r="E11" s="2" t="s">
        <v>1</v>
      </c>
      <c r="F11" s="2"/>
      <c r="G11" s="3" t="s">
        <v>166</v>
      </c>
      <c r="H11" s="4" t="s">
        <v>119</v>
      </c>
      <c r="I11" s="5"/>
      <c r="J11" s="2">
        <v>2</v>
      </c>
      <c r="K11" s="6">
        <v>2</v>
      </c>
      <c r="L11" s="16">
        <v>2</v>
      </c>
      <c r="M11" s="17"/>
      <c r="N11" s="20"/>
      <c r="O11" s="21"/>
      <c r="P11" s="5"/>
      <c r="Q11" s="5"/>
      <c r="R11" s="2">
        <v>0</v>
      </c>
      <c r="S11" s="2">
        <v>0</v>
      </c>
      <c r="T11" s="5"/>
      <c r="U11" s="5"/>
      <c r="V11" s="11">
        <f t="shared" si="0"/>
        <v>30</v>
      </c>
      <c r="W11" s="12">
        <f t="shared" si="1"/>
        <v>0</v>
      </c>
      <c r="X11" s="13">
        <f t="shared" si="2"/>
        <v>0</v>
      </c>
      <c r="Y11" s="14">
        <f t="shared" si="5"/>
        <v>0</v>
      </c>
      <c r="Z11" s="15">
        <f t="shared" si="3"/>
        <v>60</v>
      </c>
      <c r="AA11" s="15">
        <f t="shared" si="4"/>
        <v>10</v>
      </c>
      <c r="AB11" s="5"/>
      <c r="AC11" s="5">
        <v>1</v>
      </c>
      <c r="AD11" s="5"/>
    </row>
    <row r="12" spans="1:30" ht="31.5" customHeight="1" x14ac:dyDescent="0.25">
      <c r="A12" s="1">
        <v>11</v>
      </c>
      <c r="B12" s="2" t="s">
        <v>0</v>
      </c>
      <c r="C12" s="2"/>
      <c r="D12" s="2"/>
      <c r="E12" s="2" t="s">
        <v>1</v>
      </c>
      <c r="F12" s="2"/>
      <c r="G12" s="3" t="s">
        <v>167</v>
      </c>
      <c r="H12" s="4" t="s">
        <v>32</v>
      </c>
      <c r="I12" s="5"/>
      <c r="J12" s="2">
        <v>2</v>
      </c>
      <c r="K12" s="6">
        <v>2</v>
      </c>
      <c r="L12" s="16">
        <v>2</v>
      </c>
      <c r="M12" s="17"/>
      <c r="N12" s="20"/>
      <c r="O12" s="21"/>
      <c r="P12" s="5"/>
      <c r="Q12" s="5"/>
      <c r="R12" s="2">
        <v>0</v>
      </c>
      <c r="S12" s="2">
        <v>0</v>
      </c>
      <c r="T12" s="5"/>
      <c r="U12" s="5"/>
      <c r="V12" s="11">
        <f t="shared" si="0"/>
        <v>30</v>
      </c>
      <c r="W12" s="12">
        <f t="shared" si="1"/>
        <v>0</v>
      </c>
      <c r="X12" s="13">
        <f t="shared" si="2"/>
        <v>0</v>
      </c>
      <c r="Y12" s="14">
        <f t="shared" si="5"/>
        <v>0</v>
      </c>
      <c r="Z12" s="15">
        <f t="shared" si="3"/>
        <v>60</v>
      </c>
      <c r="AA12" s="15">
        <f t="shared" si="4"/>
        <v>10</v>
      </c>
      <c r="AB12" s="5"/>
      <c r="AC12" s="5">
        <v>1</v>
      </c>
      <c r="AD12" s="5"/>
    </row>
    <row r="13" spans="1:30" ht="31.5" customHeight="1" x14ac:dyDescent="0.25">
      <c r="A13" s="1">
        <v>12</v>
      </c>
      <c r="B13" s="2" t="s">
        <v>0</v>
      </c>
      <c r="C13" s="2"/>
      <c r="D13" s="2"/>
      <c r="E13" s="2" t="s">
        <v>1</v>
      </c>
      <c r="F13" s="2"/>
      <c r="G13" s="3" t="s">
        <v>132</v>
      </c>
      <c r="H13" s="4" t="s">
        <v>133</v>
      </c>
      <c r="I13" s="5"/>
      <c r="J13" s="2">
        <v>2</v>
      </c>
      <c r="K13" s="6">
        <v>2</v>
      </c>
      <c r="L13" s="16">
        <v>2</v>
      </c>
      <c r="M13" s="17"/>
      <c r="N13" s="20"/>
      <c r="O13" s="21"/>
      <c r="P13" s="5"/>
      <c r="Q13" s="5"/>
      <c r="R13" s="2">
        <v>1</v>
      </c>
      <c r="S13" s="2">
        <v>1</v>
      </c>
      <c r="T13" s="3" t="s">
        <v>165</v>
      </c>
      <c r="U13" s="5" t="s">
        <v>112</v>
      </c>
      <c r="V13" s="11">
        <f t="shared" si="0"/>
        <v>30</v>
      </c>
      <c r="W13" s="12">
        <f t="shared" si="1"/>
        <v>0</v>
      </c>
      <c r="X13" s="13">
        <f t="shared" si="2"/>
        <v>0</v>
      </c>
      <c r="Y13" s="14">
        <f t="shared" si="5"/>
        <v>0</v>
      </c>
      <c r="Z13" s="15">
        <f t="shared" si="3"/>
        <v>60</v>
      </c>
      <c r="AA13" s="15">
        <f t="shared" si="4"/>
        <v>10</v>
      </c>
      <c r="AB13" s="5"/>
      <c r="AC13" s="5">
        <v>1</v>
      </c>
      <c r="AD13" s="5"/>
    </row>
    <row r="14" spans="1:30" ht="31.5" customHeight="1" x14ac:dyDescent="0.25">
      <c r="A14" s="1">
        <v>13</v>
      </c>
      <c r="B14" s="2" t="s">
        <v>0</v>
      </c>
      <c r="C14" s="2"/>
      <c r="D14" s="2"/>
      <c r="E14" s="2" t="s">
        <v>1</v>
      </c>
      <c r="F14" s="2"/>
      <c r="G14" s="3" t="s">
        <v>168</v>
      </c>
      <c r="H14" s="4" t="s">
        <v>17</v>
      </c>
      <c r="I14" s="5"/>
      <c r="J14" s="2">
        <v>1</v>
      </c>
      <c r="K14" s="6">
        <v>3</v>
      </c>
      <c r="L14" s="16">
        <v>3</v>
      </c>
      <c r="M14" s="17"/>
      <c r="N14" s="20"/>
      <c r="O14" s="21"/>
      <c r="P14" s="5"/>
      <c r="Q14" s="5"/>
      <c r="R14" s="2">
        <v>0</v>
      </c>
      <c r="S14" s="2">
        <v>0</v>
      </c>
      <c r="T14" s="5"/>
      <c r="U14" s="5"/>
      <c r="V14" s="11">
        <f t="shared" si="0"/>
        <v>45</v>
      </c>
      <c r="W14" s="12">
        <f t="shared" si="1"/>
        <v>0</v>
      </c>
      <c r="X14" s="13">
        <f t="shared" si="2"/>
        <v>0</v>
      </c>
      <c r="Y14" s="14">
        <f t="shared" si="5"/>
        <v>0</v>
      </c>
      <c r="Z14" s="15">
        <f t="shared" si="3"/>
        <v>90</v>
      </c>
      <c r="AA14" s="15">
        <f t="shared" si="4"/>
        <v>15</v>
      </c>
      <c r="AB14" s="5"/>
      <c r="AC14" s="5">
        <v>1</v>
      </c>
      <c r="AD14" s="5"/>
    </row>
    <row r="15" spans="1:30" ht="31.5" customHeight="1" x14ac:dyDescent="0.25">
      <c r="A15" s="1">
        <v>14</v>
      </c>
      <c r="B15" s="2" t="s">
        <v>0</v>
      </c>
      <c r="C15" s="2"/>
      <c r="D15" s="2"/>
      <c r="E15" s="2" t="s">
        <v>1</v>
      </c>
      <c r="F15" s="2"/>
      <c r="G15" s="3" t="s">
        <v>169</v>
      </c>
      <c r="H15" s="4" t="s">
        <v>19</v>
      </c>
      <c r="I15" s="5"/>
      <c r="J15" s="2">
        <v>2</v>
      </c>
      <c r="K15" s="6">
        <v>3</v>
      </c>
      <c r="L15" s="16">
        <v>3</v>
      </c>
      <c r="M15" s="17"/>
      <c r="N15" s="20"/>
      <c r="O15" s="21"/>
      <c r="P15" s="5"/>
      <c r="Q15" s="5"/>
      <c r="R15" s="2">
        <v>0</v>
      </c>
      <c r="S15" s="2">
        <v>0</v>
      </c>
      <c r="T15" s="3" t="s">
        <v>168</v>
      </c>
      <c r="U15" s="5" t="s">
        <v>112</v>
      </c>
      <c r="V15" s="11">
        <f t="shared" si="0"/>
        <v>45</v>
      </c>
      <c r="W15" s="12">
        <f t="shared" si="1"/>
        <v>0</v>
      </c>
      <c r="X15" s="13">
        <f t="shared" si="2"/>
        <v>0</v>
      </c>
      <c r="Y15" s="14">
        <f t="shared" si="5"/>
        <v>0</v>
      </c>
      <c r="Z15" s="15">
        <f t="shared" si="3"/>
        <v>90</v>
      </c>
      <c r="AA15" s="15">
        <f t="shared" si="4"/>
        <v>15</v>
      </c>
      <c r="AB15" s="5"/>
      <c r="AC15" s="5">
        <v>1</v>
      </c>
      <c r="AD15" s="5"/>
    </row>
    <row r="16" spans="1:30" ht="31.5" customHeight="1" x14ac:dyDescent="0.25">
      <c r="A16" s="1">
        <v>15</v>
      </c>
      <c r="B16" s="2" t="s">
        <v>0</v>
      </c>
      <c r="C16" s="2"/>
      <c r="D16" s="2"/>
      <c r="E16" s="2" t="s">
        <v>1</v>
      </c>
      <c r="F16" s="2"/>
      <c r="G16" s="3" t="s">
        <v>170</v>
      </c>
      <c r="H16" s="4" t="s">
        <v>21</v>
      </c>
      <c r="I16" s="5"/>
      <c r="J16" s="2">
        <v>3</v>
      </c>
      <c r="K16" s="6">
        <v>3</v>
      </c>
      <c r="L16" s="16">
        <v>3</v>
      </c>
      <c r="M16" s="17"/>
      <c r="N16" s="20"/>
      <c r="O16" s="21"/>
      <c r="P16" s="5"/>
      <c r="Q16" s="5"/>
      <c r="R16" s="2">
        <v>0</v>
      </c>
      <c r="S16" s="2">
        <v>0</v>
      </c>
      <c r="T16" s="3" t="s">
        <v>169</v>
      </c>
      <c r="U16" s="5" t="s">
        <v>112</v>
      </c>
      <c r="V16" s="11">
        <f t="shared" si="0"/>
        <v>45</v>
      </c>
      <c r="W16" s="12">
        <f t="shared" si="1"/>
        <v>0</v>
      </c>
      <c r="X16" s="13">
        <f t="shared" si="2"/>
        <v>0</v>
      </c>
      <c r="Y16" s="14">
        <f t="shared" si="5"/>
        <v>0</v>
      </c>
      <c r="Z16" s="15">
        <f t="shared" si="3"/>
        <v>90</v>
      </c>
      <c r="AA16" s="15">
        <f t="shared" si="4"/>
        <v>15</v>
      </c>
      <c r="AB16" s="5"/>
      <c r="AC16" s="5">
        <v>1</v>
      </c>
      <c r="AD16" s="5"/>
    </row>
    <row r="17" spans="1:30" ht="31.5" customHeight="1" x14ac:dyDescent="0.25">
      <c r="A17" s="1">
        <v>16</v>
      </c>
      <c r="B17" s="2" t="s">
        <v>0</v>
      </c>
      <c r="C17" s="2"/>
      <c r="D17" s="2"/>
      <c r="E17" s="2" t="s">
        <v>1</v>
      </c>
      <c r="F17" s="2"/>
      <c r="G17" s="3" t="s">
        <v>33</v>
      </c>
      <c r="H17" s="4" t="s">
        <v>34</v>
      </c>
      <c r="I17" s="5"/>
      <c r="J17" s="2">
        <v>3</v>
      </c>
      <c r="K17" s="6">
        <v>3</v>
      </c>
      <c r="L17" s="16">
        <v>1</v>
      </c>
      <c r="M17" s="17">
        <v>2</v>
      </c>
      <c r="N17" s="20"/>
      <c r="O17" s="21"/>
      <c r="P17" s="5" t="s">
        <v>26</v>
      </c>
      <c r="Q17" s="5"/>
      <c r="R17" s="2">
        <v>1</v>
      </c>
      <c r="S17" s="2">
        <v>2</v>
      </c>
      <c r="T17" s="5"/>
      <c r="U17" s="5"/>
      <c r="V17" s="11">
        <f t="shared" si="0"/>
        <v>15</v>
      </c>
      <c r="W17" s="12">
        <f t="shared" si="1"/>
        <v>60</v>
      </c>
      <c r="X17" s="13">
        <f t="shared" si="2"/>
        <v>0</v>
      </c>
      <c r="Y17" s="14">
        <f t="shared" si="5"/>
        <v>0</v>
      </c>
      <c r="Z17" s="15">
        <f t="shared" si="3"/>
        <v>60</v>
      </c>
      <c r="AA17" s="15">
        <f t="shared" si="4"/>
        <v>15</v>
      </c>
      <c r="AB17" s="5"/>
      <c r="AC17" s="5">
        <v>0</v>
      </c>
      <c r="AD17" s="5"/>
    </row>
    <row r="18" spans="1:30" ht="31.5" customHeight="1" x14ac:dyDescent="0.25">
      <c r="A18" s="1">
        <v>17</v>
      </c>
      <c r="B18" s="2" t="s">
        <v>0</v>
      </c>
      <c r="C18" s="2"/>
      <c r="D18" s="2"/>
      <c r="E18" s="2" t="s">
        <v>1</v>
      </c>
      <c r="F18" s="2"/>
      <c r="G18" s="3" t="s">
        <v>35</v>
      </c>
      <c r="H18" s="4" t="s">
        <v>36</v>
      </c>
      <c r="I18" s="5"/>
      <c r="J18" s="2">
        <v>1</v>
      </c>
      <c r="K18" s="6">
        <v>8</v>
      </c>
      <c r="L18" s="16"/>
      <c r="M18" s="17"/>
      <c r="N18" s="20"/>
      <c r="O18" s="21"/>
      <c r="P18" s="5"/>
      <c r="Q18" s="5"/>
      <c r="R18" s="2">
        <v>0</v>
      </c>
      <c r="S18" s="2">
        <v>0</v>
      </c>
      <c r="T18" s="5"/>
      <c r="U18" s="5"/>
      <c r="V18" s="11">
        <f t="shared" si="0"/>
        <v>0</v>
      </c>
      <c r="W18" s="12">
        <f t="shared" si="1"/>
        <v>0</v>
      </c>
      <c r="X18" s="13">
        <f t="shared" si="2"/>
        <v>0</v>
      </c>
      <c r="Y18" s="14">
        <f t="shared" si="5"/>
        <v>0</v>
      </c>
      <c r="Z18" s="15">
        <f t="shared" si="3"/>
        <v>0</v>
      </c>
      <c r="AA18" s="15">
        <f t="shared" si="4"/>
        <v>40</v>
      </c>
      <c r="AB18" s="5"/>
      <c r="AC18" s="5">
        <v>0</v>
      </c>
      <c r="AD18" s="5"/>
    </row>
    <row r="19" spans="1:30" ht="31.5" customHeight="1" x14ac:dyDescent="0.25">
      <c r="A19" s="1">
        <v>18</v>
      </c>
      <c r="B19" s="2" t="s">
        <v>37</v>
      </c>
      <c r="C19" s="2"/>
      <c r="D19" s="2"/>
      <c r="E19" s="2" t="s">
        <v>38</v>
      </c>
      <c r="F19" s="2"/>
      <c r="G19" s="3" t="s">
        <v>126</v>
      </c>
      <c r="H19" s="4" t="s">
        <v>171</v>
      </c>
      <c r="I19" s="5"/>
      <c r="J19" s="2">
        <v>1</v>
      </c>
      <c r="K19" s="6">
        <v>3</v>
      </c>
      <c r="L19" s="18">
        <f>35/15</f>
        <v>2.3333333333333335</v>
      </c>
      <c r="M19" s="19">
        <f>20/30</f>
        <v>0.66666666666666663</v>
      </c>
      <c r="N19" s="20"/>
      <c r="O19" s="21"/>
      <c r="P19" s="5"/>
      <c r="Q19" s="5"/>
      <c r="R19" s="2">
        <v>0</v>
      </c>
      <c r="S19" s="2">
        <v>0</v>
      </c>
      <c r="T19" s="5"/>
      <c r="U19" s="5"/>
      <c r="V19" s="11">
        <f t="shared" si="0"/>
        <v>35</v>
      </c>
      <c r="W19" s="12" t="str">
        <f t="shared" si="1"/>
        <v>fail</v>
      </c>
      <c r="X19" s="13">
        <f t="shared" si="2"/>
        <v>0</v>
      </c>
      <c r="Y19" s="14">
        <f t="shared" si="5"/>
        <v>0</v>
      </c>
      <c r="Z19" s="15">
        <f t="shared" si="3"/>
        <v>80.000000000000014</v>
      </c>
      <c r="AA19" s="15">
        <f t="shared" si="4"/>
        <v>15</v>
      </c>
      <c r="AB19" s="5"/>
      <c r="AC19" s="5">
        <v>1</v>
      </c>
      <c r="AD19" s="5"/>
    </row>
    <row r="20" spans="1:30" ht="31.5" customHeight="1" x14ac:dyDescent="0.25">
      <c r="A20" s="1">
        <v>19</v>
      </c>
      <c r="B20" s="2" t="s">
        <v>37</v>
      </c>
      <c r="C20" s="2"/>
      <c r="D20" s="2"/>
      <c r="E20" s="2" t="s">
        <v>38</v>
      </c>
      <c r="F20" s="2"/>
      <c r="G20" s="3" t="s">
        <v>172</v>
      </c>
      <c r="H20" s="4" t="s">
        <v>173</v>
      </c>
      <c r="I20" s="5"/>
      <c r="J20" s="2">
        <v>1</v>
      </c>
      <c r="K20" s="6">
        <v>4</v>
      </c>
      <c r="L20" s="16">
        <v>3</v>
      </c>
      <c r="M20" s="17">
        <v>1</v>
      </c>
      <c r="N20" s="20"/>
      <c r="O20" s="21"/>
      <c r="P20" s="5" t="s">
        <v>26</v>
      </c>
      <c r="Q20" s="5"/>
      <c r="R20" s="2">
        <v>0</v>
      </c>
      <c r="S20" s="2">
        <v>0</v>
      </c>
      <c r="T20" s="5"/>
      <c r="U20" s="5"/>
      <c r="V20" s="11">
        <f t="shared" si="0"/>
        <v>45</v>
      </c>
      <c r="W20" s="12">
        <f t="shared" si="1"/>
        <v>30</v>
      </c>
      <c r="X20" s="13">
        <f t="shared" si="2"/>
        <v>0</v>
      </c>
      <c r="Y20" s="14">
        <f t="shared" si="5"/>
        <v>0</v>
      </c>
      <c r="Z20" s="15">
        <f t="shared" si="3"/>
        <v>105</v>
      </c>
      <c r="AA20" s="15">
        <f t="shared" si="4"/>
        <v>20</v>
      </c>
      <c r="AB20" s="5"/>
      <c r="AC20" s="5">
        <v>1</v>
      </c>
      <c r="AD20" s="5"/>
    </row>
    <row r="21" spans="1:30" ht="31.5" customHeight="1" x14ac:dyDescent="0.25">
      <c r="A21" s="1">
        <v>20</v>
      </c>
      <c r="B21" s="2" t="s">
        <v>37</v>
      </c>
      <c r="C21" s="2"/>
      <c r="D21" s="2"/>
      <c r="E21" s="2" t="s">
        <v>38</v>
      </c>
      <c r="F21" s="2"/>
      <c r="G21" s="3" t="s">
        <v>174</v>
      </c>
      <c r="H21" s="4" t="s">
        <v>175</v>
      </c>
      <c r="I21" s="5"/>
      <c r="J21" s="2">
        <v>3</v>
      </c>
      <c r="K21" s="6">
        <v>3</v>
      </c>
      <c r="L21" s="16">
        <v>2</v>
      </c>
      <c r="M21" s="17">
        <v>1</v>
      </c>
      <c r="N21" s="20"/>
      <c r="O21" s="21"/>
      <c r="P21" s="5" t="s">
        <v>26</v>
      </c>
      <c r="Q21" s="5"/>
      <c r="R21" s="2">
        <v>0</v>
      </c>
      <c r="S21" s="2">
        <v>0</v>
      </c>
      <c r="T21" s="5"/>
      <c r="U21" s="5"/>
      <c r="V21" s="11">
        <f t="shared" si="0"/>
        <v>30</v>
      </c>
      <c r="W21" s="12">
        <f t="shared" si="1"/>
        <v>30</v>
      </c>
      <c r="X21" s="13">
        <f t="shared" si="2"/>
        <v>0</v>
      </c>
      <c r="Y21" s="14">
        <f t="shared" si="5"/>
        <v>0</v>
      </c>
      <c r="Z21" s="15">
        <f t="shared" si="3"/>
        <v>75</v>
      </c>
      <c r="AA21" s="15">
        <f t="shared" si="4"/>
        <v>15</v>
      </c>
      <c r="AB21" s="5"/>
      <c r="AC21" s="5">
        <v>1</v>
      </c>
      <c r="AD21" s="5"/>
    </row>
    <row r="22" spans="1:30" ht="31.5" customHeight="1" x14ac:dyDescent="0.25">
      <c r="A22" s="1">
        <v>21</v>
      </c>
      <c r="B22" s="2" t="s">
        <v>37</v>
      </c>
      <c r="C22" s="2"/>
      <c r="D22" s="2"/>
      <c r="E22" s="2" t="s">
        <v>38</v>
      </c>
      <c r="F22" s="2"/>
      <c r="G22" s="3" t="s">
        <v>129</v>
      </c>
      <c r="H22" s="4" t="s">
        <v>48</v>
      </c>
      <c r="I22" s="5"/>
      <c r="J22" s="2">
        <v>4</v>
      </c>
      <c r="K22" s="6">
        <v>3</v>
      </c>
      <c r="L22" s="16">
        <v>3</v>
      </c>
      <c r="M22" s="17"/>
      <c r="N22" s="20"/>
      <c r="O22" s="21"/>
      <c r="P22" s="5"/>
      <c r="Q22" s="5"/>
      <c r="R22" s="2">
        <v>0</v>
      </c>
      <c r="S22" s="2">
        <v>0</v>
      </c>
      <c r="T22" s="3" t="s">
        <v>164</v>
      </c>
      <c r="U22" s="5" t="s">
        <v>112</v>
      </c>
      <c r="V22" s="11">
        <f t="shared" si="0"/>
        <v>45</v>
      </c>
      <c r="W22" s="12">
        <f t="shared" si="1"/>
        <v>0</v>
      </c>
      <c r="X22" s="13">
        <f t="shared" si="2"/>
        <v>0</v>
      </c>
      <c r="Y22" s="14">
        <f t="shared" si="5"/>
        <v>0</v>
      </c>
      <c r="Z22" s="15">
        <f t="shared" si="3"/>
        <v>90</v>
      </c>
      <c r="AA22" s="15">
        <f t="shared" si="4"/>
        <v>15</v>
      </c>
      <c r="AB22" s="5"/>
      <c r="AC22" s="5">
        <v>1</v>
      </c>
      <c r="AD22" s="5"/>
    </row>
    <row r="23" spans="1:30" ht="31.5" customHeight="1" x14ac:dyDescent="0.25">
      <c r="A23" s="1">
        <v>22</v>
      </c>
      <c r="B23" s="2" t="s">
        <v>37</v>
      </c>
      <c r="C23" s="2"/>
      <c r="D23" s="2"/>
      <c r="E23" s="2" t="s">
        <v>38</v>
      </c>
      <c r="F23" s="2"/>
      <c r="G23" s="3" t="s">
        <v>49</v>
      </c>
      <c r="H23" s="4" t="s">
        <v>50</v>
      </c>
      <c r="I23" s="5"/>
      <c r="J23" s="2">
        <v>6</v>
      </c>
      <c r="K23" s="6">
        <v>4</v>
      </c>
      <c r="L23" s="22">
        <f>45/15</f>
        <v>3</v>
      </c>
      <c r="M23" s="23">
        <v>1</v>
      </c>
      <c r="N23" s="20"/>
      <c r="O23" s="21"/>
      <c r="P23" s="5" t="s">
        <v>26</v>
      </c>
      <c r="Q23" s="5"/>
      <c r="R23" s="2">
        <v>0</v>
      </c>
      <c r="S23" s="2">
        <v>0</v>
      </c>
      <c r="T23" s="3" t="s">
        <v>176</v>
      </c>
      <c r="U23" s="5" t="s">
        <v>112</v>
      </c>
      <c r="V23" s="11">
        <f t="shared" si="0"/>
        <v>45</v>
      </c>
      <c r="W23" s="12">
        <f t="shared" si="1"/>
        <v>30</v>
      </c>
      <c r="X23" s="13">
        <f t="shared" si="2"/>
        <v>0</v>
      </c>
      <c r="Y23" s="14">
        <f t="shared" si="5"/>
        <v>0</v>
      </c>
      <c r="Z23" s="15">
        <f t="shared" si="3"/>
        <v>105</v>
      </c>
      <c r="AA23" s="15">
        <f t="shared" si="4"/>
        <v>20</v>
      </c>
      <c r="AB23" s="5"/>
      <c r="AC23" s="5">
        <v>1</v>
      </c>
      <c r="AD23" s="5"/>
    </row>
    <row r="24" spans="1:30" ht="31.5" customHeight="1" x14ac:dyDescent="0.25">
      <c r="A24" s="1">
        <v>23</v>
      </c>
      <c r="B24" s="2" t="s">
        <v>37</v>
      </c>
      <c r="C24" s="2"/>
      <c r="D24" s="2"/>
      <c r="E24" s="2" t="s">
        <v>38</v>
      </c>
      <c r="F24" s="2"/>
      <c r="G24" s="3" t="s">
        <v>51</v>
      </c>
      <c r="H24" s="4" t="s">
        <v>52</v>
      </c>
      <c r="I24" s="5"/>
      <c r="J24" s="2">
        <v>6</v>
      </c>
      <c r="K24" s="6">
        <v>3</v>
      </c>
      <c r="L24" s="16">
        <v>3</v>
      </c>
      <c r="M24" s="17"/>
      <c r="N24" s="20"/>
      <c r="O24" s="21"/>
      <c r="P24" s="5"/>
      <c r="Q24" s="5"/>
      <c r="R24" s="2">
        <v>0</v>
      </c>
      <c r="S24" s="2">
        <v>0</v>
      </c>
      <c r="T24" s="3" t="s">
        <v>177</v>
      </c>
      <c r="U24" s="5" t="s">
        <v>112</v>
      </c>
      <c r="V24" s="11">
        <f t="shared" si="0"/>
        <v>45</v>
      </c>
      <c r="W24" s="12">
        <f t="shared" si="1"/>
        <v>0</v>
      </c>
      <c r="X24" s="13">
        <f t="shared" si="2"/>
        <v>0</v>
      </c>
      <c r="Y24" s="14">
        <f t="shared" si="5"/>
        <v>0</v>
      </c>
      <c r="Z24" s="15">
        <f t="shared" si="3"/>
        <v>90</v>
      </c>
      <c r="AA24" s="15">
        <f t="shared" si="4"/>
        <v>15</v>
      </c>
      <c r="AB24" s="5"/>
      <c r="AC24" s="5">
        <v>1</v>
      </c>
      <c r="AD24" s="5"/>
    </row>
    <row r="25" spans="1:30" ht="31.5" customHeight="1" x14ac:dyDescent="0.25">
      <c r="A25" s="1">
        <v>24</v>
      </c>
      <c r="B25" s="2" t="s">
        <v>37</v>
      </c>
      <c r="C25" s="2"/>
      <c r="D25" s="2"/>
      <c r="E25" s="2" t="s">
        <v>38</v>
      </c>
      <c r="F25" s="2"/>
      <c r="G25" s="3" t="s">
        <v>130</v>
      </c>
      <c r="H25" s="4" t="s">
        <v>131</v>
      </c>
      <c r="I25" s="5"/>
      <c r="J25" s="2">
        <v>3</v>
      </c>
      <c r="K25" s="6">
        <v>3</v>
      </c>
      <c r="L25" s="18">
        <v>2.3333333333333335</v>
      </c>
      <c r="M25" s="19">
        <v>0.66666666666666663</v>
      </c>
      <c r="N25" s="20"/>
      <c r="O25" s="21"/>
      <c r="P25" s="5" t="s">
        <v>26</v>
      </c>
      <c r="Q25" s="5"/>
      <c r="R25" s="2">
        <v>0</v>
      </c>
      <c r="S25" s="2">
        <v>0</v>
      </c>
      <c r="T25" s="3" t="s">
        <v>126</v>
      </c>
      <c r="U25" s="5" t="s">
        <v>112</v>
      </c>
      <c r="V25" s="11">
        <f t="shared" si="0"/>
        <v>35</v>
      </c>
      <c r="W25" s="12">
        <f t="shared" si="1"/>
        <v>20</v>
      </c>
      <c r="X25" s="13">
        <f t="shared" si="2"/>
        <v>0</v>
      </c>
      <c r="Y25" s="14">
        <f t="shared" si="5"/>
        <v>0</v>
      </c>
      <c r="Z25" s="15">
        <f t="shared" si="3"/>
        <v>80.000000000000014</v>
      </c>
      <c r="AA25" s="15">
        <f t="shared" si="4"/>
        <v>15</v>
      </c>
      <c r="AB25" s="5"/>
      <c r="AC25" s="5">
        <v>1</v>
      </c>
      <c r="AD25" s="5"/>
    </row>
    <row r="26" spans="1:30" ht="31.5" customHeight="1" x14ac:dyDescent="0.25">
      <c r="A26" s="1">
        <v>25</v>
      </c>
      <c r="B26" s="2" t="s">
        <v>37</v>
      </c>
      <c r="C26" s="2"/>
      <c r="D26" s="2"/>
      <c r="E26" s="2" t="s">
        <v>38</v>
      </c>
      <c r="F26" s="2"/>
      <c r="G26" s="3" t="s">
        <v>178</v>
      </c>
      <c r="H26" s="4" t="s">
        <v>179</v>
      </c>
      <c r="I26" s="5"/>
      <c r="J26" s="2">
        <v>2</v>
      </c>
      <c r="K26" s="6">
        <v>2</v>
      </c>
      <c r="L26" s="16">
        <v>1</v>
      </c>
      <c r="M26" s="17">
        <v>1</v>
      </c>
      <c r="N26" s="20"/>
      <c r="O26" s="21"/>
      <c r="P26" s="5" t="s">
        <v>26</v>
      </c>
      <c r="Q26" s="5"/>
      <c r="R26" s="2">
        <v>0</v>
      </c>
      <c r="S26" s="2">
        <v>0</v>
      </c>
      <c r="T26" s="5"/>
      <c r="U26" s="5"/>
      <c r="V26" s="11">
        <f t="shared" si="0"/>
        <v>15</v>
      </c>
      <c r="W26" s="12">
        <f t="shared" si="1"/>
        <v>30</v>
      </c>
      <c r="X26" s="13">
        <f t="shared" si="2"/>
        <v>0</v>
      </c>
      <c r="Y26" s="14">
        <f t="shared" si="5"/>
        <v>0</v>
      </c>
      <c r="Z26" s="15">
        <f t="shared" si="3"/>
        <v>45</v>
      </c>
      <c r="AA26" s="15">
        <f t="shared" si="4"/>
        <v>10</v>
      </c>
      <c r="AB26" s="5"/>
      <c r="AC26" s="5">
        <v>1</v>
      </c>
      <c r="AD26" s="5"/>
    </row>
    <row r="27" spans="1:30" ht="31.5" customHeight="1" x14ac:dyDescent="0.25">
      <c r="A27" s="1">
        <v>26</v>
      </c>
      <c r="B27" s="2" t="s">
        <v>37</v>
      </c>
      <c r="C27" s="2"/>
      <c r="D27" s="2"/>
      <c r="E27" s="2" t="s">
        <v>38</v>
      </c>
      <c r="F27" s="2"/>
      <c r="G27" s="3" t="s">
        <v>180</v>
      </c>
      <c r="H27" s="4" t="s">
        <v>181</v>
      </c>
      <c r="I27" s="5"/>
      <c r="J27" s="2">
        <v>3</v>
      </c>
      <c r="K27" s="6">
        <v>2</v>
      </c>
      <c r="L27" s="16">
        <v>2</v>
      </c>
      <c r="M27" s="17"/>
      <c r="N27" s="20"/>
      <c r="O27" s="21"/>
      <c r="P27" s="5"/>
      <c r="Q27" s="5"/>
      <c r="R27" s="2">
        <v>0</v>
      </c>
      <c r="S27" s="2">
        <v>0</v>
      </c>
      <c r="T27" s="5"/>
      <c r="U27" s="5"/>
      <c r="V27" s="11">
        <f t="shared" si="0"/>
        <v>30</v>
      </c>
      <c r="W27" s="12">
        <f t="shared" si="1"/>
        <v>0</v>
      </c>
      <c r="X27" s="13">
        <f t="shared" si="2"/>
        <v>0</v>
      </c>
      <c r="Y27" s="14">
        <f t="shared" si="5"/>
        <v>0</v>
      </c>
      <c r="Z27" s="15">
        <f t="shared" si="3"/>
        <v>60</v>
      </c>
      <c r="AA27" s="15">
        <f t="shared" si="4"/>
        <v>10</v>
      </c>
      <c r="AB27" s="5"/>
      <c r="AC27" s="5">
        <v>1</v>
      </c>
      <c r="AD27" s="5"/>
    </row>
    <row r="28" spans="1:30" ht="31.5" customHeight="1" x14ac:dyDescent="0.25">
      <c r="A28" s="1">
        <v>27</v>
      </c>
      <c r="B28" s="2" t="s">
        <v>59</v>
      </c>
      <c r="C28" s="2"/>
      <c r="D28" s="2"/>
      <c r="E28" s="2" t="s">
        <v>60</v>
      </c>
      <c r="F28" s="2"/>
      <c r="G28" s="3" t="s">
        <v>182</v>
      </c>
      <c r="H28" s="4" t="s">
        <v>183</v>
      </c>
      <c r="I28" s="5"/>
      <c r="J28" s="2">
        <v>2</v>
      </c>
      <c r="K28" s="6">
        <v>2</v>
      </c>
      <c r="L28" s="16">
        <v>2</v>
      </c>
      <c r="M28" s="17"/>
      <c r="N28" s="20"/>
      <c r="O28" s="21"/>
      <c r="P28" s="5"/>
      <c r="Q28" s="5"/>
      <c r="R28" s="2">
        <v>0</v>
      </c>
      <c r="S28" s="2">
        <v>0</v>
      </c>
      <c r="T28" s="5"/>
      <c r="U28" s="5"/>
      <c r="V28" s="11">
        <f t="shared" si="0"/>
        <v>30</v>
      </c>
      <c r="W28" s="12">
        <f t="shared" si="1"/>
        <v>0</v>
      </c>
      <c r="X28" s="13">
        <f t="shared" si="2"/>
        <v>0</v>
      </c>
      <c r="Y28" s="14">
        <f t="shared" si="5"/>
        <v>0</v>
      </c>
      <c r="Z28" s="15">
        <f t="shared" si="3"/>
        <v>60</v>
      </c>
      <c r="AA28" s="15">
        <f t="shared" si="4"/>
        <v>10</v>
      </c>
      <c r="AB28" s="5"/>
      <c r="AC28" s="5">
        <v>1</v>
      </c>
      <c r="AD28" s="5"/>
    </row>
    <row r="29" spans="1:30" ht="31.5" customHeight="1" x14ac:dyDescent="0.25">
      <c r="A29" s="1">
        <v>28</v>
      </c>
      <c r="B29" s="2" t="s">
        <v>59</v>
      </c>
      <c r="C29" s="2"/>
      <c r="D29" s="2"/>
      <c r="E29" s="2" t="s">
        <v>60</v>
      </c>
      <c r="F29" s="2"/>
      <c r="G29" s="3" t="s">
        <v>184</v>
      </c>
      <c r="H29" s="4" t="s">
        <v>185</v>
      </c>
      <c r="I29" s="5"/>
      <c r="J29" s="2">
        <v>7</v>
      </c>
      <c r="K29" s="6">
        <v>3</v>
      </c>
      <c r="L29" s="18">
        <v>2.6666666666666665</v>
      </c>
      <c r="M29" s="19">
        <v>0.33333333333333331</v>
      </c>
      <c r="N29" s="20"/>
      <c r="O29" s="21"/>
      <c r="P29" s="5" t="s">
        <v>26</v>
      </c>
      <c r="Q29" s="5"/>
      <c r="R29" s="2">
        <v>0</v>
      </c>
      <c r="S29" s="2">
        <v>0</v>
      </c>
      <c r="T29" s="5"/>
      <c r="U29" s="5"/>
      <c r="V29" s="11">
        <f t="shared" si="0"/>
        <v>40</v>
      </c>
      <c r="W29" s="12">
        <f t="shared" si="1"/>
        <v>10</v>
      </c>
      <c r="X29" s="13">
        <f t="shared" si="2"/>
        <v>0</v>
      </c>
      <c r="Y29" s="14">
        <f t="shared" si="5"/>
        <v>0</v>
      </c>
      <c r="Z29" s="15">
        <f t="shared" si="3"/>
        <v>84.999999999999986</v>
      </c>
      <c r="AA29" s="15">
        <f t="shared" si="4"/>
        <v>15</v>
      </c>
      <c r="AB29" s="5"/>
      <c r="AC29" s="5">
        <v>1</v>
      </c>
      <c r="AD29" s="5"/>
    </row>
    <row r="30" spans="1:30" ht="31.5" customHeight="1" x14ac:dyDescent="0.25">
      <c r="A30" s="1">
        <v>29</v>
      </c>
      <c r="B30" s="2" t="s">
        <v>59</v>
      </c>
      <c r="C30" s="2"/>
      <c r="D30" s="2"/>
      <c r="E30" s="2" t="s">
        <v>60</v>
      </c>
      <c r="F30" s="2"/>
      <c r="G30" s="3" t="s">
        <v>186</v>
      </c>
      <c r="H30" s="4" t="s">
        <v>187</v>
      </c>
      <c r="I30" s="5"/>
      <c r="J30" s="2">
        <v>6</v>
      </c>
      <c r="K30" s="6">
        <v>3</v>
      </c>
      <c r="L30" s="16">
        <v>3</v>
      </c>
      <c r="M30" s="17"/>
      <c r="N30" s="20"/>
      <c r="O30" s="21"/>
      <c r="P30" s="5"/>
      <c r="Q30" s="5"/>
      <c r="R30" s="2">
        <v>0</v>
      </c>
      <c r="S30" s="2">
        <v>0</v>
      </c>
      <c r="T30" s="3" t="s">
        <v>144</v>
      </c>
      <c r="U30" s="5" t="s">
        <v>112</v>
      </c>
      <c r="V30" s="11">
        <f t="shared" si="0"/>
        <v>45</v>
      </c>
      <c r="W30" s="12">
        <f t="shared" si="1"/>
        <v>0</v>
      </c>
      <c r="X30" s="13">
        <f t="shared" si="2"/>
        <v>0</v>
      </c>
      <c r="Y30" s="14">
        <f t="shared" si="5"/>
        <v>0</v>
      </c>
      <c r="Z30" s="15">
        <f t="shared" si="3"/>
        <v>90</v>
      </c>
      <c r="AA30" s="15">
        <f t="shared" si="4"/>
        <v>15</v>
      </c>
      <c r="AB30" s="5"/>
      <c r="AC30" s="5">
        <v>1</v>
      </c>
      <c r="AD30" s="5"/>
    </row>
    <row r="31" spans="1:30" ht="31.5" customHeight="1" x14ac:dyDescent="0.25">
      <c r="A31" s="1">
        <v>30</v>
      </c>
      <c r="B31" s="2" t="s">
        <v>59</v>
      </c>
      <c r="C31" s="2"/>
      <c r="D31" s="2"/>
      <c r="E31" s="2" t="s">
        <v>60</v>
      </c>
      <c r="F31" s="2"/>
      <c r="G31" s="3" t="s">
        <v>139</v>
      </c>
      <c r="H31" s="4" t="s">
        <v>140</v>
      </c>
      <c r="I31" s="5"/>
      <c r="J31" s="2">
        <v>3</v>
      </c>
      <c r="K31" s="6">
        <v>2</v>
      </c>
      <c r="L31" s="18">
        <f>25/15</f>
        <v>1.6666666666666667</v>
      </c>
      <c r="M31" s="19">
        <v>0.33333333333333331</v>
      </c>
      <c r="N31" s="20"/>
      <c r="O31" s="21"/>
      <c r="P31" s="5" t="s">
        <v>26</v>
      </c>
      <c r="Q31" s="5"/>
      <c r="R31" s="2">
        <v>0</v>
      </c>
      <c r="S31" s="2">
        <v>0</v>
      </c>
      <c r="T31" s="5"/>
      <c r="U31" s="5"/>
      <c r="V31" s="11">
        <f t="shared" si="0"/>
        <v>25</v>
      </c>
      <c r="W31" s="12">
        <f t="shared" si="1"/>
        <v>10</v>
      </c>
      <c r="X31" s="13">
        <f t="shared" si="2"/>
        <v>0</v>
      </c>
      <c r="Y31" s="14">
        <f t="shared" si="5"/>
        <v>0</v>
      </c>
      <c r="Z31" s="15">
        <f t="shared" si="3"/>
        <v>55.000000000000007</v>
      </c>
      <c r="AA31" s="15">
        <f t="shared" si="4"/>
        <v>10</v>
      </c>
      <c r="AB31" s="5"/>
      <c r="AC31" s="5">
        <v>1</v>
      </c>
      <c r="AD31" s="5"/>
    </row>
    <row r="32" spans="1:30" ht="31.5" customHeight="1" x14ac:dyDescent="0.25">
      <c r="A32" s="1">
        <v>31</v>
      </c>
      <c r="B32" s="2" t="s">
        <v>59</v>
      </c>
      <c r="C32" s="2"/>
      <c r="D32" s="2"/>
      <c r="E32" s="2" t="s">
        <v>60</v>
      </c>
      <c r="F32" s="2"/>
      <c r="G32" s="3" t="s">
        <v>188</v>
      </c>
      <c r="H32" s="4" t="s">
        <v>189</v>
      </c>
      <c r="I32" s="5"/>
      <c r="J32" s="2">
        <v>5</v>
      </c>
      <c r="K32" s="6">
        <v>3</v>
      </c>
      <c r="L32" s="18">
        <v>2.6666666666666665</v>
      </c>
      <c r="M32" s="19">
        <v>0.33333333333333331</v>
      </c>
      <c r="N32" s="20"/>
      <c r="O32" s="21"/>
      <c r="P32" s="5" t="s">
        <v>26</v>
      </c>
      <c r="Q32" s="5"/>
      <c r="R32" s="2">
        <v>0</v>
      </c>
      <c r="S32" s="2">
        <v>0</v>
      </c>
      <c r="T32" s="3" t="s">
        <v>172</v>
      </c>
      <c r="U32" s="5" t="s">
        <v>112</v>
      </c>
      <c r="V32" s="11">
        <f t="shared" si="0"/>
        <v>40</v>
      </c>
      <c r="W32" s="12">
        <f t="shared" si="1"/>
        <v>10</v>
      </c>
      <c r="X32" s="13">
        <f t="shared" si="2"/>
        <v>0</v>
      </c>
      <c r="Y32" s="14">
        <f t="shared" si="5"/>
        <v>0</v>
      </c>
      <c r="Z32" s="15">
        <f t="shared" si="3"/>
        <v>84.999999999999986</v>
      </c>
      <c r="AA32" s="15">
        <f t="shared" si="4"/>
        <v>15</v>
      </c>
      <c r="AB32" s="5"/>
      <c r="AC32" s="5">
        <v>1</v>
      </c>
      <c r="AD32" s="5"/>
    </row>
    <row r="33" spans="1:30" ht="31.5" customHeight="1" x14ac:dyDescent="0.25">
      <c r="A33" s="1">
        <v>32</v>
      </c>
      <c r="B33" s="2" t="s">
        <v>59</v>
      </c>
      <c r="C33" s="2"/>
      <c r="D33" s="2"/>
      <c r="E33" s="2" t="s">
        <v>60</v>
      </c>
      <c r="F33" s="2"/>
      <c r="G33" s="3" t="s">
        <v>142</v>
      </c>
      <c r="H33" s="4" t="s">
        <v>74</v>
      </c>
      <c r="I33" s="5"/>
      <c r="J33" s="2">
        <v>3</v>
      </c>
      <c r="K33" s="6">
        <v>3</v>
      </c>
      <c r="L33" s="16">
        <v>2</v>
      </c>
      <c r="M33" s="17">
        <v>1</v>
      </c>
      <c r="N33" s="20"/>
      <c r="O33" s="21"/>
      <c r="P33" s="5" t="s">
        <v>26</v>
      </c>
      <c r="Q33" s="5"/>
      <c r="R33" s="2">
        <v>0</v>
      </c>
      <c r="S33" s="2">
        <v>0</v>
      </c>
      <c r="T33" s="5"/>
      <c r="U33" s="5"/>
      <c r="V33" s="11">
        <f t="shared" si="0"/>
        <v>30</v>
      </c>
      <c r="W33" s="12">
        <f t="shared" si="1"/>
        <v>30</v>
      </c>
      <c r="X33" s="13">
        <f t="shared" si="2"/>
        <v>0</v>
      </c>
      <c r="Y33" s="14">
        <f t="shared" si="5"/>
        <v>0</v>
      </c>
      <c r="Z33" s="15">
        <f t="shared" si="3"/>
        <v>75</v>
      </c>
      <c r="AA33" s="15">
        <f t="shared" si="4"/>
        <v>15</v>
      </c>
      <c r="AB33" s="5"/>
      <c r="AC33" s="5">
        <v>1</v>
      </c>
      <c r="AD33" s="5"/>
    </row>
    <row r="34" spans="1:30" ht="31.5" customHeight="1" x14ac:dyDescent="0.25">
      <c r="A34" s="1">
        <v>33</v>
      </c>
      <c r="B34" s="2" t="s">
        <v>59</v>
      </c>
      <c r="C34" s="2"/>
      <c r="D34" s="2"/>
      <c r="E34" s="2" t="s">
        <v>60</v>
      </c>
      <c r="F34" s="2"/>
      <c r="G34" s="3" t="s">
        <v>176</v>
      </c>
      <c r="H34" s="4" t="s">
        <v>190</v>
      </c>
      <c r="I34" s="5"/>
      <c r="J34" s="2">
        <v>5</v>
      </c>
      <c r="K34" s="6">
        <v>3</v>
      </c>
      <c r="L34" s="18">
        <v>2.3333333333333335</v>
      </c>
      <c r="M34" s="19">
        <v>0.66666666666666663</v>
      </c>
      <c r="N34" s="20"/>
      <c r="O34" s="21"/>
      <c r="P34" s="5" t="s">
        <v>26</v>
      </c>
      <c r="Q34" s="5"/>
      <c r="R34" s="2">
        <v>0</v>
      </c>
      <c r="S34" s="2">
        <v>0</v>
      </c>
      <c r="T34" s="3" t="s">
        <v>278</v>
      </c>
      <c r="U34" s="5" t="s">
        <v>112</v>
      </c>
      <c r="V34" s="11">
        <f t="shared" si="0"/>
        <v>35</v>
      </c>
      <c r="W34" s="12">
        <f t="shared" si="1"/>
        <v>20</v>
      </c>
      <c r="X34" s="13">
        <f t="shared" si="2"/>
        <v>0</v>
      </c>
      <c r="Y34" s="14">
        <f t="shared" si="5"/>
        <v>0</v>
      </c>
      <c r="Z34" s="15">
        <f t="shared" si="3"/>
        <v>80.000000000000014</v>
      </c>
      <c r="AA34" s="15">
        <f t="shared" si="4"/>
        <v>15</v>
      </c>
      <c r="AB34" s="5"/>
      <c r="AC34" s="5">
        <v>1</v>
      </c>
      <c r="AD34" s="5"/>
    </row>
    <row r="35" spans="1:30" ht="31.5" customHeight="1" x14ac:dyDescent="0.25">
      <c r="A35" s="1">
        <v>34</v>
      </c>
      <c r="B35" s="2" t="s">
        <v>59</v>
      </c>
      <c r="C35" s="2"/>
      <c r="D35" s="2"/>
      <c r="E35" s="2" t="s">
        <v>60</v>
      </c>
      <c r="F35" s="2"/>
      <c r="G35" s="3" t="s">
        <v>144</v>
      </c>
      <c r="H35" s="4" t="s">
        <v>82</v>
      </c>
      <c r="I35" s="5"/>
      <c r="J35" s="2">
        <v>3</v>
      </c>
      <c r="K35" s="6">
        <v>3</v>
      </c>
      <c r="L35" s="18">
        <v>2.6666666666666665</v>
      </c>
      <c r="M35" s="19">
        <v>0.33333333333333331</v>
      </c>
      <c r="N35" s="20"/>
      <c r="O35" s="21"/>
      <c r="P35" s="5" t="s">
        <v>26</v>
      </c>
      <c r="Q35" s="5"/>
      <c r="R35" s="2">
        <v>0</v>
      </c>
      <c r="S35" s="2">
        <v>0</v>
      </c>
      <c r="T35" s="5"/>
      <c r="U35" s="5"/>
      <c r="V35" s="11">
        <f t="shared" si="0"/>
        <v>40</v>
      </c>
      <c r="W35" s="12">
        <f t="shared" si="1"/>
        <v>10</v>
      </c>
      <c r="X35" s="13">
        <f t="shared" si="2"/>
        <v>0</v>
      </c>
      <c r="Y35" s="14">
        <f t="shared" si="5"/>
        <v>0</v>
      </c>
      <c r="Z35" s="15">
        <f t="shared" si="3"/>
        <v>84.999999999999986</v>
      </c>
      <c r="AA35" s="15">
        <f t="shared" si="4"/>
        <v>15</v>
      </c>
      <c r="AB35" s="5"/>
      <c r="AC35" s="5">
        <v>1</v>
      </c>
      <c r="AD35" s="5"/>
    </row>
    <row r="36" spans="1:30" ht="31.5" customHeight="1" x14ac:dyDescent="0.25">
      <c r="A36" s="1">
        <v>35</v>
      </c>
      <c r="B36" s="2" t="s">
        <v>59</v>
      </c>
      <c r="C36" s="2"/>
      <c r="D36" s="2"/>
      <c r="E36" s="2" t="s">
        <v>60</v>
      </c>
      <c r="F36" s="2"/>
      <c r="G36" s="3" t="s">
        <v>145</v>
      </c>
      <c r="H36" s="4" t="s">
        <v>88</v>
      </c>
      <c r="I36" s="5"/>
      <c r="J36" s="2">
        <v>4</v>
      </c>
      <c r="K36" s="6">
        <v>3</v>
      </c>
      <c r="L36" s="16">
        <v>3</v>
      </c>
      <c r="M36" s="17"/>
      <c r="N36" s="20"/>
      <c r="O36" s="21"/>
      <c r="P36" s="5"/>
      <c r="Q36" s="5"/>
      <c r="R36" s="2">
        <v>0</v>
      </c>
      <c r="S36" s="2">
        <v>0</v>
      </c>
      <c r="T36" s="5"/>
      <c r="U36" s="5"/>
      <c r="V36" s="11">
        <f t="shared" si="0"/>
        <v>45</v>
      </c>
      <c r="W36" s="12">
        <f t="shared" si="1"/>
        <v>0</v>
      </c>
      <c r="X36" s="13">
        <f t="shared" si="2"/>
        <v>0</v>
      </c>
      <c r="Y36" s="14">
        <f t="shared" si="5"/>
        <v>0</v>
      </c>
      <c r="Z36" s="15">
        <f t="shared" si="3"/>
        <v>90</v>
      </c>
      <c r="AA36" s="15">
        <f t="shared" si="4"/>
        <v>15</v>
      </c>
      <c r="AB36" s="5"/>
      <c r="AC36" s="5">
        <v>1</v>
      </c>
      <c r="AD36" s="5"/>
    </row>
    <row r="37" spans="1:30" ht="31.5" customHeight="1" x14ac:dyDescent="0.25">
      <c r="A37" s="1">
        <v>36</v>
      </c>
      <c r="B37" s="2" t="s">
        <v>59</v>
      </c>
      <c r="C37" s="2"/>
      <c r="D37" s="2"/>
      <c r="E37" s="2" t="s">
        <v>60</v>
      </c>
      <c r="F37" s="2"/>
      <c r="G37" s="3" t="s">
        <v>191</v>
      </c>
      <c r="H37" s="4" t="s">
        <v>192</v>
      </c>
      <c r="I37" s="5"/>
      <c r="J37" s="2">
        <v>5</v>
      </c>
      <c r="K37" s="6">
        <v>5</v>
      </c>
      <c r="L37" s="16">
        <v>1</v>
      </c>
      <c r="M37" s="17">
        <v>4</v>
      </c>
      <c r="N37" s="20"/>
      <c r="O37" s="21"/>
      <c r="P37" s="5" t="s">
        <v>26</v>
      </c>
      <c r="Q37" s="5"/>
      <c r="R37" s="2">
        <v>0</v>
      </c>
      <c r="S37" s="2">
        <v>0</v>
      </c>
      <c r="T37" s="5"/>
      <c r="U37" s="5"/>
      <c r="V37" s="11">
        <f t="shared" si="0"/>
        <v>15</v>
      </c>
      <c r="W37" s="12">
        <f t="shared" si="1"/>
        <v>120</v>
      </c>
      <c r="X37" s="13">
        <f t="shared" si="2"/>
        <v>0</v>
      </c>
      <c r="Y37" s="14">
        <f t="shared" si="5"/>
        <v>0</v>
      </c>
      <c r="Z37" s="15">
        <f t="shared" si="3"/>
        <v>90</v>
      </c>
      <c r="AA37" s="15">
        <f t="shared" si="4"/>
        <v>25</v>
      </c>
      <c r="AB37" s="5"/>
      <c r="AC37" s="5">
        <v>1</v>
      </c>
      <c r="AD37" s="5"/>
    </row>
    <row r="38" spans="1:30" ht="31.5" customHeight="1" x14ac:dyDescent="0.25">
      <c r="A38" s="1">
        <v>37</v>
      </c>
      <c r="B38" s="2" t="s">
        <v>59</v>
      </c>
      <c r="C38" s="2"/>
      <c r="D38" s="2"/>
      <c r="E38" s="2" t="s">
        <v>60</v>
      </c>
      <c r="F38" s="2"/>
      <c r="G38" s="3" t="s">
        <v>98</v>
      </c>
      <c r="H38" s="4" t="s">
        <v>99</v>
      </c>
      <c r="I38" s="5"/>
      <c r="J38" s="2">
        <v>4</v>
      </c>
      <c r="K38" s="6">
        <v>2</v>
      </c>
      <c r="L38" s="16">
        <v>2</v>
      </c>
      <c r="M38" s="17"/>
      <c r="N38" s="20"/>
      <c r="O38" s="21"/>
      <c r="P38" s="5"/>
      <c r="Q38" s="5"/>
      <c r="R38" s="2">
        <v>0</v>
      </c>
      <c r="S38" s="2">
        <v>0</v>
      </c>
      <c r="T38" s="5"/>
      <c r="U38" s="5"/>
      <c r="V38" s="11">
        <f t="shared" si="0"/>
        <v>30</v>
      </c>
      <c r="W38" s="12">
        <f t="shared" si="1"/>
        <v>0</v>
      </c>
      <c r="X38" s="13">
        <f t="shared" si="2"/>
        <v>0</v>
      </c>
      <c r="Y38" s="14">
        <f t="shared" si="5"/>
        <v>0</v>
      </c>
      <c r="Z38" s="15">
        <f t="shared" si="3"/>
        <v>60</v>
      </c>
      <c r="AA38" s="15">
        <f t="shared" si="4"/>
        <v>10</v>
      </c>
      <c r="AB38" s="5"/>
      <c r="AC38" s="5">
        <v>1</v>
      </c>
      <c r="AD38" s="5"/>
    </row>
    <row r="39" spans="1:30" ht="31.5" customHeight="1" x14ac:dyDescent="0.25">
      <c r="A39" s="1">
        <v>38</v>
      </c>
      <c r="B39" s="2" t="s">
        <v>59</v>
      </c>
      <c r="C39" s="2"/>
      <c r="D39" s="2"/>
      <c r="E39" s="2" t="s">
        <v>60</v>
      </c>
      <c r="F39" s="2"/>
      <c r="G39" s="3" t="s">
        <v>193</v>
      </c>
      <c r="H39" s="4" t="s">
        <v>194</v>
      </c>
      <c r="I39" s="5"/>
      <c r="J39" s="2">
        <v>4</v>
      </c>
      <c r="K39" s="6">
        <v>3</v>
      </c>
      <c r="L39" s="18">
        <v>2.3333333333333335</v>
      </c>
      <c r="M39" s="19">
        <v>0.66666666666666663</v>
      </c>
      <c r="N39" s="20"/>
      <c r="O39" s="21"/>
      <c r="P39" s="5" t="s">
        <v>26</v>
      </c>
      <c r="Q39" s="5"/>
      <c r="R39" s="2">
        <v>0</v>
      </c>
      <c r="S39" s="2">
        <v>0</v>
      </c>
      <c r="T39" s="3" t="s">
        <v>144</v>
      </c>
      <c r="U39" s="5" t="s">
        <v>112</v>
      </c>
      <c r="V39" s="11">
        <f t="shared" si="0"/>
        <v>35</v>
      </c>
      <c r="W39" s="12">
        <f t="shared" si="1"/>
        <v>20</v>
      </c>
      <c r="X39" s="13">
        <f t="shared" si="2"/>
        <v>0</v>
      </c>
      <c r="Y39" s="14">
        <f t="shared" si="5"/>
        <v>0</v>
      </c>
      <c r="Z39" s="15">
        <f t="shared" si="3"/>
        <v>80.000000000000014</v>
      </c>
      <c r="AA39" s="15">
        <f t="shared" si="4"/>
        <v>15</v>
      </c>
      <c r="AB39" s="5"/>
      <c r="AC39" s="5">
        <v>1</v>
      </c>
      <c r="AD39" s="5"/>
    </row>
    <row r="40" spans="1:30" ht="31.5" customHeight="1" x14ac:dyDescent="0.25">
      <c r="A40" s="1">
        <v>39</v>
      </c>
      <c r="B40" s="2" t="s">
        <v>59</v>
      </c>
      <c r="C40" s="2"/>
      <c r="D40" s="2"/>
      <c r="E40" s="2" t="s">
        <v>60</v>
      </c>
      <c r="F40" s="2"/>
      <c r="G40" s="3" t="s">
        <v>195</v>
      </c>
      <c r="H40" s="4" t="s">
        <v>196</v>
      </c>
      <c r="I40" s="5"/>
      <c r="J40" s="2">
        <v>4</v>
      </c>
      <c r="K40" s="6">
        <v>2</v>
      </c>
      <c r="L40" s="16">
        <v>2</v>
      </c>
      <c r="M40" s="17"/>
      <c r="N40" s="20"/>
      <c r="O40" s="21"/>
      <c r="P40" s="5"/>
      <c r="Q40" s="5"/>
      <c r="R40" s="2">
        <v>0</v>
      </c>
      <c r="S40" s="2">
        <v>0</v>
      </c>
      <c r="T40" s="5"/>
      <c r="U40" s="5"/>
      <c r="V40" s="11">
        <f t="shared" si="0"/>
        <v>30</v>
      </c>
      <c r="W40" s="12">
        <f t="shared" si="1"/>
        <v>0</v>
      </c>
      <c r="X40" s="13">
        <f t="shared" si="2"/>
        <v>0</v>
      </c>
      <c r="Y40" s="14">
        <f t="shared" si="5"/>
        <v>0</v>
      </c>
      <c r="Z40" s="15">
        <f t="shared" si="3"/>
        <v>60</v>
      </c>
      <c r="AA40" s="15">
        <f t="shared" si="4"/>
        <v>10</v>
      </c>
      <c r="AB40" s="5"/>
      <c r="AC40" s="5">
        <v>1</v>
      </c>
      <c r="AD40" s="5"/>
    </row>
    <row r="41" spans="1:30" ht="31.5" customHeight="1" x14ac:dyDescent="0.25">
      <c r="A41" s="1">
        <v>40</v>
      </c>
      <c r="B41" s="2" t="s">
        <v>59</v>
      </c>
      <c r="C41" s="2"/>
      <c r="D41" s="2"/>
      <c r="E41" s="2" t="s">
        <v>60</v>
      </c>
      <c r="F41" s="2"/>
      <c r="G41" s="3" t="s">
        <v>137</v>
      </c>
      <c r="H41" s="4" t="s">
        <v>138</v>
      </c>
      <c r="I41" s="5"/>
      <c r="J41" s="2">
        <v>4</v>
      </c>
      <c r="K41" s="6">
        <v>4</v>
      </c>
      <c r="L41" s="16">
        <v>3</v>
      </c>
      <c r="M41" s="17">
        <v>1</v>
      </c>
      <c r="N41" s="20"/>
      <c r="O41" s="21"/>
      <c r="P41" s="5" t="s">
        <v>26</v>
      </c>
      <c r="Q41" s="5"/>
      <c r="R41" s="2">
        <v>0</v>
      </c>
      <c r="S41" s="2">
        <v>0</v>
      </c>
      <c r="T41" s="3" t="s">
        <v>278</v>
      </c>
      <c r="U41" s="5" t="s">
        <v>112</v>
      </c>
      <c r="V41" s="11">
        <f t="shared" si="0"/>
        <v>45</v>
      </c>
      <c r="W41" s="12">
        <f t="shared" si="1"/>
        <v>30</v>
      </c>
      <c r="X41" s="13">
        <f t="shared" si="2"/>
        <v>0</v>
      </c>
      <c r="Y41" s="14">
        <f t="shared" si="5"/>
        <v>0</v>
      </c>
      <c r="Z41" s="15">
        <f t="shared" si="3"/>
        <v>105</v>
      </c>
      <c r="AA41" s="15">
        <f t="shared" si="4"/>
        <v>20</v>
      </c>
      <c r="AB41" s="5"/>
      <c r="AC41" s="5">
        <v>1</v>
      </c>
      <c r="AD41" s="5"/>
    </row>
    <row r="42" spans="1:30" ht="31.5" customHeight="1" x14ac:dyDescent="0.25">
      <c r="A42" s="1">
        <v>41</v>
      </c>
      <c r="B42" s="2" t="s">
        <v>197</v>
      </c>
      <c r="C42" s="2" t="s">
        <v>198</v>
      </c>
      <c r="D42" s="2" t="s">
        <v>90</v>
      </c>
      <c r="E42" s="2" t="s">
        <v>60</v>
      </c>
      <c r="F42" s="2"/>
      <c r="G42" s="3" t="s">
        <v>199</v>
      </c>
      <c r="H42" s="4" t="s">
        <v>200</v>
      </c>
      <c r="I42" s="5"/>
      <c r="J42" s="2">
        <v>7</v>
      </c>
      <c r="K42" s="6">
        <v>3</v>
      </c>
      <c r="L42" s="18">
        <v>2.3333333333333335</v>
      </c>
      <c r="M42" s="19">
        <v>0.66666666666666663</v>
      </c>
      <c r="N42" s="20"/>
      <c r="O42" s="21"/>
      <c r="P42" s="5" t="s">
        <v>26</v>
      </c>
      <c r="Q42" s="5"/>
      <c r="R42" s="2">
        <v>1</v>
      </c>
      <c r="S42" s="2">
        <v>0</v>
      </c>
      <c r="T42" s="3" t="s">
        <v>279</v>
      </c>
      <c r="U42" s="5" t="s">
        <v>112</v>
      </c>
      <c r="V42" s="11">
        <f t="shared" si="0"/>
        <v>35</v>
      </c>
      <c r="W42" s="12">
        <f t="shared" si="1"/>
        <v>20</v>
      </c>
      <c r="X42" s="13">
        <f t="shared" si="2"/>
        <v>0</v>
      </c>
      <c r="Y42" s="14">
        <f t="shared" si="5"/>
        <v>0</v>
      </c>
      <c r="Z42" s="15">
        <f t="shared" si="3"/>
        <v>80.000000000000014</v>
      </c>
      <c r="AA42" s="15">
        <f t="shared" si="4"/>
        <v>15</v>
      </c>
      <c r="AB42" s="5"/>
      <c r="AC42" s="5">
        <v>1</v>
      </c>
      <c r="AD42" s="5"/>
    </row>
    <row r="43" spans="1:30" ht="31.5" customHeight="1" x14ac:dyDescent="0.25">
      <c r="A43" s="1">
        <v>42</v>
      </c>
      <c r="B43" s="2" t="s">
        <v>197</v>
      </c>
      <c r="C43" s="2" t="s">
        <v>198</v>
      </c>
      <c r="D43" s="2" t="s">
        <v>90</v>
      </c>
      <c r="E43" s="2" t="s">
        <v>60</v>
      </c>
      <c r="F43" s="2"/>
      <c r="G43" s="3" t="s">
        <v>160</v>
      </c>
      <c r="H43" s="4" t="s">
        <v>201</v>
      </c>
      <c r="I43" s="5"/>
      <c r="J43" s="2">
        <v>6</v>
      </c>
      <c r="K43" s="6">
        <v>3</v>
      </c>
      <c r="L43" s="18">
        <v>2.3333333333333335</v>
      </c>
      <c r="M43" s="19">
        <v>0.66666666666666663</v>
      </c>
      <c r="N43" s="20"/>
      <c r="O43" s="21"/>
      <c r="P43" s="5" t="s">
        <v>26</v>
      </c>
      <c r="Q43" s="5"/>
      <c r="R43" s="2">
        <v>1</v>
      </c>
      <c r="S43" s="2">
        <v>0</v>
      </c>
      <c r="T43" s="3" t="s">
        <v>280</v>
      </c>
      <c r="U43" s="5" t="s">
        <v>112</v>
      </c>
      <c r="V43" s="11">
        <f t="shared" si="0"/>
        <v>35</v>
      </c>
      <c r="W43" s="12">
        <f t="shared" si="1"/>
        <v>20</v>
      </c>
      <c r="X43" s="13">
        <f t="shared" si="2"/>
        <v>0</v>
      </c>
      <c r="Y43" s="14">
        <f t="shared" si="5"/>
        <v>0</v>
      </c>
      <c r="Z43" s="15">
        <f t="shared" si="3"/>
        <v>80.000000000000014</v>
      </c>
      <c r="AA43" s="15">
        <f t="shared" si="4"/>
        <v>15</v>
      </c>
      <c r="AB43" s="5"/>
      <c r="AC43" s="5">
        <v>1</v>
      </c>
      <c r="AD43" s="5"/>
    </row>
    <row r="44" spans="1:30" ht="31.5" customHeight="1" x14ac:dyDescent="0.25">
      <c r="A44" s="1">
        <v>43</v>
      </c>
      <c r="B44" s="2" t="s">
        <v>197</v>
      </c>
      <c r="C44" s="2" t="s">
        <v>198</v>
      </c>
      <c r="D44" s="2" t="s">
        <v>90</v>
      </c>
      <c r="E44" s="2" t="s">
        <v>60</v>
      </c>
      <c r="F44" s="2"/>
      <c r="G44" s="3" t="s">
        <v>156</v>
      </c>
      <c r="H44" s="4" t="s">
        <v>157</v>
      </c>
      <c r="I44" s="5"/>
      <c r="J44" s="2">
        <v>7</v>
      </c>
      <c r="K44" s="6">
        <v>3</v>
      </c>
      <c r="L44" s="16">
        <v>3</v>
      </c>
      <c r="M44" s="17"/>
      <c r="N44" s="20"/>
      <c r="O44" s="21"/>
      <c r="P44" s="5"/>
      <c r="Q44" s="5"/>
      <c r="R44" s="2">
        <v>1</v>
      </c>
      <c r="S44" s="2">
        <v>0</v>
      </c>
      <c r="T44" s="3" t="s">
        <v>130</v>
      </c>
      <c r="U44" s="5" t="s">
        <v>112</v>
      </c>
      <c r="V44" s="11">
        <f t="shared" si="0"/>
        <v>45</v>
      </c>
      <c r="W44" s="12">
        <f t="shared" si="1"/>
        <v>0</v>
      </c>
      <c r="X44" s="13">
        <f t="shared" si="2"/>
        <v>0</v>
      </c>
      <c r="Y44" s="14">
        <f t="shared" si="5"/>
        <v>0</v>
      </c>
      <c r="Z44" s="15">
        <f t="shared" si="3"/>
        <v>90</v>
      </c>
      <c r="AA44" s="15">
        <f t="shared" si="4"/>
        <v>15</v>
      </c>
      <c r="AB44" s="5"/>
      <c r="AC44" s="5">
        <v>1</v>
      </c>
      <c r="AD44" s="5"/>
    </row>
    <row r="45" spans="1:30" ht="31.5" customHeight="1" x14ac:dyDescent="0.25">
      <c r="A45" s="1">
        <v>44</v>
      </c>
      <c r="B45" s="2" t="s">
        <v>197</v>
      </c>
      <c r="C45" s="2" t="s">
        <v>198</v>
      </c>
      <c r="D45" s="2" t="s">
        <v>90</v>
      </c>
      <c r="E45" s="2" t="s">
        <v>60</v>
      </c>
      <c r="F45" s="2"/>
      <c r="G45" s="3" t="s">
        <v>202</v>
      </c>
      <c r="H45" s="4" t="s">
        <v>203</v>
      </c>
      <c r="I45" s="5"/>
      <c r="J45" s="2">
        <v>6</v>
      </c>
      <c r="K45" s="6">
        <v>4</v>
      </c>
      <c r="L45" s="16">
        <v>4</v>
      </c>
      <c r="M45" s="17"/>
      <c r="N45" s="20"/>
      <c r="O45" s="21"/>
      <c r="P45" s="5"/>
      <c r="Q45" s="5"/>
      <c r="R45" s="2">
        <v>1</v>
      </c>
      <c r="S45" s="2">
        <v>0</v>
      </c>
      <c r="T45" s="3" t="s">
        <v>176</v>
      </c>
      <c r="U45" s="5" t="s">
        <v>112</v>
      </c>
      <c r="V45" s="11">
        <f t="shared" si="0"/>
        <v>60</v>
      </c>
      <c r="W45" s="12">
        <f t="shared" si="1"/>
        <v>0</v>
      </c>
      <c r="X45" s="13">
        <f t="shared" si="2"/>
        <v>0</v>
      </c>
      <c r="Y45" s="14">
        <f t="shared" si="5"/>
        <v>0</v>
      </c>
      <c r="Z45" s="15">
        <f t="shared" si="3"/>
        <v>120</v>
      </c>
      <c r="AA45" s="15">
        <f t="shared" si="4"/>
        <v>20</v>
      </c>
      <c r="AB45" s="5"/>
      <c r="AC45" s="5">
        <v>1</v>
      </c>
      <c r="AD45" s="5"/>
    </row>
    <row r="46" spans="1:30" ht="31.5" customHeight="1" x14ac:dyDescent="0.25">
      <c r="A46" s="1">
        <v>45</v>
      </c>
      <c r="B46" s="2" t="s">
        <v>197</v>
      </c>
      <c r="C46" s="2" t="s">
        <v>198</v>
      </c>
      <c r="D46" s="2" t="s">
        <v>90</v>
      </c>
      <c r="E46" s="2" t="s">
        <v>60</v>
      </c>
      <c r="F46" s="2"/>
      <c r="G46" s="3" t="s">
        <v>204</v>
      </c>
      <c r="H46" s="4" t="s">
        <v>205</v>
      </c>
      <c r="I46" s="5"/>
      <c r="J46" s="2">
        <v>6</v>
      </c>
      <c r="K46" s="6">
        <v>3</v>
      </c>
      <c r="L46" s="18">
        <v>2.6666666666666665</v>
      </c>
      <c r="M46" s="19">
        <v>0.33333333333333331</v>
      </c>
      <c r="N46" s="20"/>
      <c r="O46" s="21"/>
      <c r="P46" s="5" t="s">
        <v>26</v>
      </c>
      <c r="Q46" s="5"/>
      <c r="R46" s="2">
        <v>1</v>
      </c>
      <c r="S46" s="2">
        <v>0</v>
      </c>
      <c r="T46" s="3" t="s">
        <v>130</v>
      </c>
      <c r="U46" s="5" t="s">
        <v>112</v>
      </c>
      <c r="V46" s="11">
        <f t="shared" si="0"/>
        <v>40</v>
      </c>
      <c r="W46" s="12">
        <f t="shared" si="1"/>
        <v>10</v>
      </c>
      <c r="X46" s="13">
        <f t="shared" si="2"/>
        <v>0</v>
      </c>
      <c r="Y46" s="14">
        <f t="shared" si="5"/>
        <v>0</v>
      </c>
      <c r="Z46" s="15">
        <f t="shared" si="3"/>
        <v>84.999999999999986</v>
      </c>
      <c r="AA46" s="15">
        <f t="shared" si="4"/>
        <v>15</v>
      </c>
      <c r="AB46" s="5"/>
      <c r="AC46" s="5">
        <v>1</v>
      </c>
      <c r="AD46" s="5"/>
    </row>
    <row r="47" spans="1:30" ht="31.5" customHeight="1" x14ac:dyDescent="0.25">
      <c r="A47" s="1">
        <v>46</v>
      </c>
      <c r="B47" s="2" t="s">
        <v>197</v>
      </c>
      <c r="C47" s="2" t="s">
        <v>198</v>
      </c>
      <c r="D47" s="2" t="s">
        <v>90</v>
      </c>
      <c r="E47" s="2" t="s">
        <v>60</v>
      </c>
      <c r="F47" s="2"/>
      <c r="G47" s="3" t="s">
        <v>177</v>
      </c>
      <c r="H47" s="4" t="s">
        <v>206</v>
      </c>
      <c r="I47" s="5"/>
      <c r="J47" s="2">
        <v>6</v>
      </c>
      <c r="K47" s="6">
        <v>4</v>
      </c>
      <c r="L47" s="16">
        <v>3</v>
      </c>
      <c r="M47" s="17">
        <v>1</v>
      </c>
      <c r="N47" s="20"/>
      <c r="O47" s="21"/>
      <c r="P47" s="5" t="s">
        <v>26</v>
      </c>
      <c r="Q47" s="5"/>
      <c r="R47" s="2">
        <v>1</v>
      </c>
      <c r="S47" s="2">
        <v>0</v>
      </c>
      <c r="T47" s="3" t="s">
        <v>281</v>
      </c>
      <c r="U47" s="5" t="s">
        <v>112</v>
      </c>
      <c r="V47" s="11">
        <f t="shared" si="0"/>
        <v>45</v>
      </c>
      <c r="W47" s="12">
        <f t="shared" si="1"/>
        <v>30</v>
      </c>
      <c r="X47" s="13">
        <f t="shared" si="2"/>
        <v>0</v>
      </c>
      <c r="Y47" s="14">
        <f t="shared" si="5"/>
        <v>0</v>
      </c>
      <c r="Z47" s="15">
        <f t="shared" si="3"/>
        <v>105</v>
      </c>
      <c r="AA47" s="15">
        <f t="shared" si="4"/>
        <v>20</v>
      </c>
      <c r="AB47" s="5"/>
      <c r="AC47" s="5">
        <v>1</v>
      </c>
      <c r="AD47" s="5"/>
    </row>
    <row r="48" spans="1:30" ht="31.5" customHeight="1" x14ac:dyDescent="0.25">
      <c r="A48" s="1">
        <v>47</v>
      </c>
      <c r="B48" s="2" t="s">
        <v>197</v>
      </c>
      <c r="C48" s="2" t="s">
        <v>198</v>
      </c>
      <c r="D48" s="2" t="s">
        <v>90</v>
      </c>
      <c r="E48" s="2" t="s">
        <v>60</v>
      </c>
      <c r="F48" s="2"/>
      <c r="G48" s="3" t="s">
        <v>207</v>
      </c>
      <c r="H48" s="4" t="s">
        <v>208</v>
      </c>
      <c r="I48" s="5"/>
      <c r="J48" s="2">
        <v>6</v>
      </c>
      <c r="K48" s="6">
        <v>4</v>
      </c>
      <c r="L48" s="18">
        <f>50/15</f>
        <v>3.3333333333333335</v>
      </c>
      <c r="M48" s="19">
        <f>20/30</f>
        <v>0.66666666666666663</v>
      </c>
      <c r="N48" s="20"/>
      <c r="O48" s="21"/>
      <c r="P48" s="5" t="s">
        <v>26</v>
      </c>
      <c r="Q48" s="5"/>
      <c r="R48" s="2">
        <v>1</v>
      </c>
      <c r="S48" s="2">
        <v>0</v>
      </c>
      <c r="T48" s="5"/>
      <c r="U48" s="5"/>
      <c r="V48" s="11">
        <f t="shared" si="0"/>
        <v>50</v>
      </c>
      <c r="W48" s="12">
        <f t="shared" si="1"/>
        <v>20</v>
      </c>
      <c r="X48" s="13">
        <f t="shared" si="2"/>
        <v>0</v>
      </c>
      <c r="Y48" s="14">
        <f t="shared" si="5"/>
        <v>0</v>
      </c>
      <c r="Z48" s="15">
        <f t="shared" si="3"/>
        <v>110.00000000000001</v>
      </c>
      <c r="AA48" s="15">
        <f t="shared" si="4"/>
        <v>20</v>
      </c>
      <c r="AB48" s="5"/>
      <c r="AC48" s="5">
        <v>1</v>
      </c>
      <c r="AD48" s="5"/>
    </row>
    <row r="49" spans="1:30" ht="31.5" customHeight="1" x14ac:dyDescent="0.25">
      <c r="A49" s="1">
        <v>48</v>
      </c>
      <c r="B49" s="2" t="s">
        <v>197</v>
      </c>
      <c r="C49" s="2" t="s">
        <v>198</v>
      </c>
      <c r="D49" s="2" t="s">
        <v>90</v>
      </c>
      <c r="E49" s="2" t="s">
        <v>60</v>
      </c>
      <c r="F49" s="2"/>
      <c r="G49" s="3" t="s">
        <v>89</v>
      </c>
      <c r="H49" s="4" t="s">
        <v>90</v>
      </c>
      <c r="I49" s="5"/>
      <c r="J49" s="2">
        <v>6</v>
      </c>
      <c r="K49" s="6">
        <v>2</v>
      </c>
      <c r="L49" s="16">
        <v>2</v>
      </c>
      <c r="M49" s="17"/>
      <c r="N49" s="20"/>
      <c r="O49" s="21"/>
      <c r="P49" s="5"/>
      <c r="Q49" s="5"/>
      <c r="R49" s="2">
        <v>1</v>
      </c>
      <c r="S49" s="2">
        <v>0</v>
      </c>
      <c r="T49" s="3" t="s">
        <v>126</v>
      </c>
      <c r="U49" s="5" t="s">
        <v>112</v>
      </c>
      <c r="V49" s="11">
        <f t="shared" si="0"/>
        <v>30</v>
      </c>
      <c r="W49" s="12">
        <f t="shared" si="1"/>
        <v>0</v>
      </c>
      <c r="X49" s="13">
        <f t="shared" si="2"/>
        <v>0</v>
      </c>
      <c r="Y49" s="14">
        <f t="shared" si="5"/>
        <v>0</v>
      </c>
      <c r="Z49" s="15">
        <f t="shared" si="3"/>
        <v>60</v>
      </c>
      <c r="AA49" s="15">
        <f t="shared" si="4"/>
        <v>10</v>
      </c>
      <c r="AB49" s="5"/>
      <c r="AC49" s="5">
        <v>1</v>
      </c>
      <c r="AD49" s="5"/>
    </row>
    <row r="50" spans="1:30" ht="31.5" customHeight="1" x14ac:dyDescent="0.25">
      <c r="A50" s="1">
        <v>49</v>
      </c>
      <c r="B50" s="2" t="s">
        <v>197</v>
      </c>
      <c r="C50" s="2" t="s">
        <v>198</v>
      </c>
      <c r="D50" s="2" t="s">
        <v>90</v>
      </c>
      <c r="E50" s="2" t="s">
        <v>60</v>
      </c>
      <c r="F50" s="2"/>
      <c r="G50" s="3" t="s">
        <v>210</v>
      </c>
      <c r="H50" s="4" t="s">
        <v>211</v>
      </c>
      <c r="I50" s="5"/>
      <c r="J50" s="2">
        <v>6</v>
      </c>
      <c r="K50" s="6">
        <v>2</v>
      </c>
      <c r="L50" s="16">
        <v>2</v>
      </c>
      <c r="M50" s="17"/>
      <c r="N50" s="20"/>
      <c r="O50" s="21"/>
      <c r="P50" s="5"/>
      <c r="Q50" s="5"/>
      <c r="R50" s="2">
        <v>1</v>
      </c>
      <c r="S50" s="2">
        <v>0</v>
      </c>
      <c r="T50" s="5"/>
      <c r="U50" s="5"/>
      <c r="V50" s="11">
        <f t="shared" si="0"/>
        <v>30</v>
      </c>
      <c r="W50" s="12">
        <f t="shared" si="1"/>
        <v>0</v>
      </c>
      <c r="X50" s="13">
        <f t="shared" si="2"/>
        <v>0</v>
      </c>
      <c r="Y50" s="14">
        <f t="shared" si="5"/>
        <v>0</v>
      </c>
      <c r="Z50" s="15">
        <f t="shared" si="3"/>
        <v>60</v>
      </c>
      <c r="AA50" s="15">
        <f t="shared" si="4"/>
        <v>10</v>
      </c>
      <c r="AB50" s="5"/>
      <c r="AC50" s="5">
        <v>1</v>
      </c>
      <c r="AD50" s="5"/>
    </row>
    <row r="51" spans="1:30" ht="31.5" customHeight="1" x14ac:dyDescent="0.25">
      <c r="A51" s="1">
        <v>50</v>
      </c>
      <c r="B51" s="2" t="s">
        <v>197</v>
      </c>
      <c r="C51" s="2" t="s">
        <v>198</v>
      </c>
      <c r="D51" s="2" t="s">
        <v>90</v>
      </c>
      <c r="E51" s="2" t="s">
        <v>60</v>
      </c>
      <c r="F51" s="2"/>
      <c r="G51" s="3" t="s">
        <v>148</v>
      </c>
      <c r="H51" s="4" t="s">
        <v>209</v>
      </c>
      <c r="I51" s="5"/>
      <c r="J51" s="2">
        <v>7</v>
      </c>
      <c r="K51" s="6">
        <v>5</v>
      </c>
      <c r="L51" s="16">
        <v>5</v>
      </c>
      <c r="M51" s="17"/>
      <c r="N51" s="20"/>
      <c r="O51" s="21"/>
      <c r="P51" s="5"/>
      <c r="Q51" s="5"/>
      <c r="R51" s="2">
        <v>1</v>
      </c>
      <c r="S51" s="2">
        <v>0</v>
      </c>
      <c r="T51" s="5"/>
      <c r="U51" s="5"/>
      <c r="V51" s="11">
        <f t="shared" si="0"/>
        <v>75</v>
      </c>
      <c r="W51" s="12">
        <f t="shared" si="1"/>
        <v>0</v>
      </c>
      <c r="X51" s="13">
        <f t="shared" si="2"/>
        <v>0</v>
      </c>
      <c r="Y51" s="14">
        <f t="shared" si="5"/>
        <v>0</v>
      </c>
      <c r="Z51" s="15">
        <f t="shared" si="3"/>
        <v>150</v>
      </c>
      <c r="AA51" s="15">
        <f t="shared" si="4"/>
        <v>25</v>
      </c>
      <c r="AB51" s="5"/>
      <c r="AC51" s="5">
        <v>1</v>
      </c>
      <c r="AD51" s="5"/>
    </row>
    <row r="52" spans="1:30" ht="31.5" customHeight="1" x14ac:dyDescent="0.25">
      <c r="A52" s="1">
        <v>51</v>
      </c>
      <c r="B52" s="2" t="s">
        <v>212</v>
      </c>
      <c r="C52" s="2" t="s">
        <v>213</v>
      </c>
      <c r="D52" s="2" t="s">
        <v>214</v>
      </c>
      <c r="E52" s="2" t="s">
        <v>60</v>
      </c>
      <c r="F52" s="2"/>
      <c r="G52" s="3" t="s">
        <v>215</v>
      </c>
      <c r="H52" s="4" t="s">
        <v>216</v>
      </c>
      <c r="I52" s="5"/>
      <c r="J52" s="2">
        <v>6</v>
      </c>
      <c r="K52" s="6">
        <v>3</v>
      </c>
      <c r="L52" s="18">
        <v>2.3333333333333335</v>
      </c>
      <c r="M52" s="19">
        <v>0.66666666666666663</v>
      </c>
      <c r="N52" s="20"/>
      <c r="O52" s="21"/>
      <c r="P52" s="5" t="s">
        <v>26</v>
      </c>
      <c r="Q52" s="5"/>
      <c r="R52" s="2">
        <v>1</v>
      </c>
      <c r="S52" s="2">
        <v>0</v>
      </c>
      <c r="T52" s="5"/>
      <c r="U52" s="5"/>
      <c r="V52" s="11">
        <f t="shared" si="0"/>
        <v>35</v>
      </c>
      <c r="W52" s="12">
        <f t="shared" si="1"/>
        <v>20</v>
      </c>
      <c r="X52" s="13">
        <f t="shared" si="2"/>
        <v>0</v>
      </c>
      <c r="Y52" s="14">
        <f t="shared" si="5"/>
        <v>0</v>
      </c>
      <c r="Z52" s="15">
        <f t="shared" si="3"/>
        <v>80.000000000000014</v>
      </c>
      <c r="AA52" s="15">
        <f t="shared" si="4"/>
        <v>15</v>
      </c>
      <c r="AB52" s="5"/>
      <c r="AC52" s="5">
        <v>1</v>
      </c>
      <c r="AD52" s="5"/>
    </row>
    <row r="53" spans="1:30" ht="31.5" customHeight="1" x14ac:dyDescent="0.25">
      <c r="A53" s="1">
        <v>52</v>
      </c>
      <c r="B53" s="2" t="s">
        <v>212</v>
      </c>
      <c r="C53" s="2" t="s">
        <v>213</v>
      </c>
      <c r="D53" s="2" t="s">
        <v>214</v>
      </c>
      <c r="E53" s="2" t="s">
        <v>60</v>
      </c>
      <c r="F53" s="2"/>
      <c r="G53" s="3" t="s">
        <v>217</v>
      </c>
      <c r="H53" s="4" t="s">
        <v>218</v>
      </c>
      <c r="I53" s="5"/>
      <c r="J53" s="2">
        <v>6</v>
      </c>
      <c r="K53" s="6">
        <v>3</v>
      </c>
      <c r="L53" s="18">
        <v>2.3333333333333335</v>
      </c>
      <c r="M53" s="19">
        <v>0.66666666666666663</v>
      </c>
      <c r="N53" s="20"/>
      <c r="O53" s="21"/>
      <c r="P53" s="5" t="s">
        <v>26</v>
      </c>
      <c r="Q53" s="5"/>
      <c r="R53" s="2">
        <v>1</v>
      </c>
      <c r="S53" s="2">
        <v>0</v>
      </c>
      <c r="T53" s="5"/>
      <c r="U53" s="5"/>
      <c r="V53" s="11">
        <f t="shared" si="0"/>
        <v>35</v>
      </c>
      <c r="W53" s="12">
        <f t="shared" si="1"/>
        <v>20</v>
      </c>
      <c r="X53" s="13">
        <f t="shared" si="2"/>
        <v>0</v>
      </c>
      <c r="Y53" s="14">
        <f t="shared" si="5"/>
        <v>0</v>
      </c>
      <c r="Z53" s="15">
        <f t="shared" si="3"/>
        <v>80.000000000000014</v>
      </c>
      <c r="AA53" s="15">
        <f t="shared" si="4"/>
        <v>15</v>
      </c>
      <c r="AB53" s="5"/>
      <c r="AC53" s="5">
        <v>1</v>
      </c>
      <c r="AD53" s="5"/>
    </row>
    <row r="54" spans="1:30" ht="31.5" customHeight="1" x14ac:dyDescent="0.25">
      <c r="A54" s="1">
        <v>53</v>
      </c>
      <c r="B54" s="2" t="s">
        <v>212</v>
      </c>
      <c r="C54" s="2" t="s">
        <v>213</v>
      </c>
      <c r="D54" s="2" t="s">
        <v>214</v>
      </c>
      <c r="E54" s="2" t="s">
        <v>60</v>
      </c>
      <c r="F54" s="2"/>
      <c r="G54" s="3" t="s">
        <v>219</v>
      </c>
      <c r="H54" s="4" t="s">
        <v>220</v>
      </c>
      <c r="I54" s="5"/>
      <c r="J54" s="2">
        <v>7</v>
      </c>
      <c r="K54" s="6">
        <v>4</v>
      </c>
      <c r="L54" s="18">
        <v>3.3333333333333335</v>
      </c>
      <c r="M54" s="19">
        <v>0.66666666666666663</v>
      </c>
      <c r="N54" s="20"/>
      <c r="O54" s="21"/>
      <c r="P54" s="5" t="s">
        <v>26</v>
      </c>
      <c r="Q54" s="5"/>
      <c r="R54" s="2">
        <v>1</v>
      </c>
      <c r="S54" s="2">
        <v>0</v>
      </c>
      <c r="T54" s="5"/>
      <c r="U54" s="5"/>
      <c r="V54" s="11">
        <f t="shared" si="0"/>
        <v>50</v>
      </c>
      <c r="W54" s="12">
        <f t="shared" si="1"/>
        <v>20</v>
      </c>
      <c r="X54" s="13">
        <f t="shared" si="2"/>
        <v>0</v>
      </c>
      <c r="Y54" s="14">
        <f t="shared" si="5"/>
        <v>0</v>
      </c>
      <c r="Z54" s="15">
        <f t="shared" si="3"/>
        <v>110.00000000000001</v>
      </c>
      <c r="AA54" s="15">
        <f t="shared" si="4"/>
        <v>20</v>
      </c>
      <c r="AB54" s="5"/>
      <c r="AC54" s="5">
        <v>1</v>
      </c>
      <c r="AD54" s="5"/>
    </row>
    <row r="55" spans="1:30" ht="31.5" customHeight="1" x14ac:dyDescent="0.25">
      <c r="A55" s="1">
        <v>54</v>
      </c>
      <c r="B55" s="2" t="s">
        <v>212</v>
      </c>
      <c r="C55" s="2" t="s">
        <v>213</v>
      </c>
      <c r="D55" s="2" t="s">
        <v>214</v>
      </c>
      <c r="E55" s="2" t="s">
        <v>60</v>
      </c>
      <c r="F55" s="2"/>
      <c r="G55" s="3" t="s">
        <v>221</v>
      </c>
      <c r="H55" s="4" t="s">
        <v>222</v>
      </c>
      <c r="I55" s="5"/>
      <c r="J55" s="2">
        <v>6</v>
      </c>
      <c r="K55" s="6">
        <v>4</v>
      </c>
      <c r="L55" s="18">
        <v>3.3333333333333335</v>
      </c>
      <c r="M55" s="19">
        <v>0.66666666666666663</v>
      </c>
      <c r="N55" s="20"/>
      <c r="O55" s="21"/>
      <c r="P55" s="5" t="s">
        <v>26</v>
      </c>
      <c r="Q55" s="5"/>
      <c r="R55" s="2">
        <v>1</v>
      </c>
      <c r="S55" s="2">
        <v>0</v>
      </c>
      <c r="T55" s="5"/>
      <c r="U55" s="5"/>
      <c r="V55" s="11">
        <f t="shared" si="0"/>
        <v>50</v>
      </c>
      <c r="W55" s="12">
        <f t="shared" si="1"/>
        <v>20</v>
      </c>
      <c r="X55" s="13">
        <f t="shared" si="2"/>
        <v>0</v>
      </c>
      <c r="Y55" s="14">
        <f t="shared" si="5"/>
        <v>0</v>
      </c>
      <c r="Z55" s="15">
        <f t="shared" si="3"/>
        <v>110.00000000000001</v>
      </c>
      <c r="AA55" s="15">
        <f t="shared" si="4"/>
        <v>20</v>
      </c>
      <c r="AB55" s="5"/>
      <c r="AC55" s="5">
        <v>1</v>
      </c>
      <c r="AD55" s="5"/>
    </row>
    <row r="56" spans="1:30" ht="31.5" customHeight="1" x14ac:dyDescent="0.25">
      <c r="A56" s="1">
        <v>55</v>
      </c>
      <c r="B56" s="2" t="s">
        <v>212</v>
      </c>
      <c r="C56" s="2" t="s">
        <v>213</v>
      </c>
      <c r="D56" s="2" t="s">
        <v>214</v>
      </c>
      <c r="E56" s="2" t="s">
        <v>60</v>
      </c>
      <c r="F56" s="2"/>
      <c r="G56" s="3" t="s">
        <v>223</v>
      </c>
      <c r="H56" s="4" t="s">
        <v>224</v>
      </c>
      <c r="I56" s="5"/>
      <c r="J56" s="2">
        <v>7</v>
      </c>
      <c r="K56" s="6">
        <v>3</v>
      </c>
      <c r="L56" s="18">
        <v>2.6666666666666665</v>
      </c>
      <c r="M56" s="19">
        <v>0.33333333333333331</v>
      </c>
      <c r="N56" s="20"/>
      <c r="O56" s="21"/>
      <c r="P56" s="5" t="s">
        <v>26</v>
      </c>
      <c r="Q56" s="5"/>
      <c r="R56" s="2">
        <v>1</v>
      </c>
      <c r="S56" s="2">
        <v>0</v>
      </c>
      <c r="T56" s="5"/>
      <c r="U56" s="5"/>
      <c r="V56" s="11">
        <f t="shared" si="0"/>
        <v>40</v>
      </c>
      <c r="W56" s="12">
        <f t="shared" si="1"/>
        <v>10</v>
      </c>
      <c r="X56" s="13">
        <f t="shared" si="2"/>
        <v>0</v>
      </c>
      <c r="Y56" s="14">
        <f t="shared" si="5"/>
        <v>0</v>
      </c>
      <c r="Z56" s="15">
        <f t="shared" si="3"/>
        <v>84.999999999999986</v>
      </c>
      <c r="AA56" s="15">
        <f t="shared" si="4"/>
        <v>15</v>
      </c>
      <c r="AB56" s="5"/>
      <c r="AC56" s="5">
        <v>1</v>
      </c>
      <c r="AD56" s="5"/>
    </row>
    <row r="57" spans="1:30" ht="31.5" customHeight="1" x14ac:dyDescent="0.25">
      <c r="A57" s="1">
        <v>56</v>
      </c>
      <c r="B57" s="2" t="s">
        <v>212</v>
      </c>
      <c r="C57" s="2" t="s">
        <v>213</v>
      </c>
      <c r="D57" s="2" t="s">
        <v>214</v>
      </c>
      <c r="E57" s="2" t="s">
        <v>60</v>
      </c>
      <c r="F57" s="2"/>
      <c r="G57" s="3" t="s">
        <v>225</v>
      </c>
      <c r="H57" s="4" t="s">
        <v>226</v>
      </c>
      <c r="I57" s="5"/>
      <c r="J57" s="2">
        <v>6</v>
      </c>
      <c r="K57" s="6">
        <v>3</v>
      </c>
      <c r="L57" s="18">
        <v>2.6666666666666665</v>
      </c>
      <c r="M57" s="19">
        <v>0.33333333333333331</v>
      </c>
      <c r="N57" s="20"/>
      <c r="O57" s="21"/>
      <c r="P57" s="5" t="s">
        <v>26</v>
      </c>
      <c r="Q57" s="5"/>
      <c r="R57" s="2">
        <v>1</v>
      </c>
      <c r="S57" s="2">
        <v>0</v>
      </c>
      <c r="T57" s="5"/>
      <c r="U57" s="5"/>
      <c r="V57" s="11">
        <f t="shared" si="0"/>
        <v>40</v>
      </c>
      <c r="W57" s="12">
        <f t="shared" si="1"/>
        <v>10</v>
      </c>
      <c r="X57" s="13">
        <f t="shared" si="2"/>
        <v>0</v>
      </c>
      <c r="Y57" s="14">
        <f t="shared" si="5"/>
        <v>0</v>
      </c>
      <c r="Z57" s="15">
        <f t="shared" si="3"/>
        <v>84.999999999999986</v>
      </c>
      <c r="AA57" s="15">
        <f t="shared" si="4"/>
        <v>15</v>
      </c>
      <c r="AB57" s="5"/>
      <c r="AC57" s="5">
        <v>1</v>
      </c>
      <c r="AD57" s="5"/>
    </row>
    <row r="58" spans="1:30" ht="31.5" customHeight="1" x14ac:dyDescent="0.25">
      <c r="A58" s="1">
        <v>57</v>
      </c>
      <c r="B58" s="2" t="s">
        <v>212</v>
      </c>
      <c r="C58" s="2" t="s">
        <v>213</v>
      </c>
      <c r="D58" s="2" t="s">
        <v>214</v>
      </c>
      <c r="E58" s="2" t="s">
        <v>60</v>
      </c>
      <c r="F58" s="2"/>
      <c r="G58" s="3" t="s">
        <v>227</v>
      </c>
      <c r="H58" s="4" t="s">
        <v>228</v>
      </c>
      <c r="I58" s="5"/>
      <c r="J58" s="2">
        <v>6</v>
      </c>
      <c r="K58" s="6">
        <v>3</v>
      </c>
      <c r="L58" s="18">
        <v>2.6666666666666665</v>
      </c>
      <c r="M58" s="19">
        <v>0.33333333333333331</v>
      </c>
      <c r="N58" s="20"/>
      <c r="O58" s="21"/>
      <c r="P58" s="5" t="s">
        <v>26</v>
      </c>
      <c r="Q58" s="5"/>
      <c r="R58" s="2">
        <v>1</v>
      </c>
      <c r="S58" s="2">
        <v>0</v>
      </c>
      <c r="T58" s="5"/>
      <c r="U58" s="5"/>
      <c r="V58" s="11">
        <f t="shared" si="0"/>
        <v>40</v>
      </c>
      <c r="W58" s="12">
        <f t="shared" si="1"/>
        <v>10</v>
      </c>
      <c r="X58" s="13">
        <f t="shared" si="2"/>
        <v>0</v>
      </c>
      <c r="Y58" s="14">
        <f t="shared" si="5"/>
        <v>0</v>
      </c>
      <c r="Z58" s="15">
        <f t="shared" si="3"/>
        <v>84.999999999999986</v>
      </c>
      <c r="AA58" s="15">
        <f t="shared" si="4"/>
        <v>15</v>
      </c>
      <c r="AB58" s="5"/>
      <c r="AC58" s="5">
        <v>1</v>
      </c>
      <c r="AD58" s="5"/>
    </row>
    <row r="59" spans="1:30" ht="31.5" customHeight="1" x14ac:dyDescent="0.25">
      <c r="A59" s="1">
        <v>58</v>
      </c>
      <c r="B59" s="2" t="s">
        <v>212</v>
      </c>
      <c r="C59" s="2" t="s">
        <v>213</v>
      </c>
      <c r="D59" s="2" t="s">
        <v>214</v>
      </c>
      <c r="E59" s="2" t="s">
        <v>60</v>
      </c>
      <c r="F59" s="2"/>
      <c r="G59" s="3" t="s">
        <v>231</v>
      </c>
      <c r="H59" s="4" t="s">
        <v>232</v>
      </c>
      <c r="I59" s="5"/>
      <c r="J59" s="2">
        <v>7</v>
      </c>
      <c r="K59" s="6">
        <v>3</v>
      </c>
      <c r="L59" s="18">
        <v>2.6666666666666665</v>
      </c>
      <c r="M59" s="19">
        <v>0.33333333333333331</v>
      </c>
      <c r="N59" s="20"/>
      <c r="O59" s="21"/>
      <c r="P59" s="5" t="s">
        <v>26</v>
      </c>
      <c r="Q59" s="5"/>
      <c r="R59" s="2">
        <v>1</v>
      </c>
      <c r="S59" s="2">
        <v>0</v>
      </c>
      <c r="T59" s="5"/>
      <c r="U59" s="5"/>
      <c r="V59" s="11">
        <f t="shared" si="0"/>
        <v>40</v>
      </c>
      <c r="W59" s="12">
        <f t="shared" si="1"/>
        <v>10</v>
      </c>
      <c r="X59" s="13">
        <f t="shared" si="2"/>
        <v>0</v>
      </c>
      <c r="Y59" s="14">
        <f t="shared" si="5"/>
        <v>0</v>
      </c>
      <c r="Z59" s="15">
        <f t="shared" si="3"/>
        <v>84.999999999999986</v>
      </c>
      <c r="AA59" s="15">
        <f t="shared" si="4"/>
        <v>15</v>
      </c>
      <c r="AB59" s="5"/>
      <c r="AC59" s="5">
        <v>1</v>
      </c>
      <c r="AD59" s="5"/>
    </row>
    <row r="60" spans="1:30" ht="31.5" customHeight="1" x14ac:dyDescent="0.25">
      <c r="A60" s="1">
        <v>59</v>
      </c>
      <c r="B60" s="2" t="s">
        <v>212</v>
      </c>
      <c r="C60" s="2" t="s">
        <v>213</v>
      </c>
      <c r="D60" s="2" t="s">
        <v>214</v>
      </c>
      <c r="E60" s="2" t="s">
        <v>60</v>
      </c>
      <c r="F60" s="2"/>
      <c r="G60" s="3" t="s">
        <v>233</v>
      </c>
      <c r="H60" s="4" t="s">
        <v>234</v>
      </c>
      <c r="I60" s="5"/>
      <c r="J60" s="2">
        <v>7</v>
      </c>
      <c r="K60" s="6">
        <v>5</v>
      </c>
      <c r="L60" s="16">
        <v>5</v>
      </c>
      <c r="M60" s="17"/>
      <c r="N60" s="20"/>
      <c r="O60" s="21"/>
      <c r="P60" s="5"/>
      <c r="Q60" s="5"/>
      <c r="R60" s="2">
        <v>1</v>
      </c>
      <c r="S60" s="2">
        <v>0</v>
      </c>
      <c r="T60" s="5"/>
      <c r="U60" s="5"/>
      <c r="V60" s="11">
        <f t="shared" si="0"/>
        <v>75</v>
      </c>
      <c r="W60" s="12">
        <f t="shared" si="1"/>
        <v>0</v>
      </c>
      <c r="X60" s="13">
        <f t="shared" si="2"/>
        <v>0</v>
      </c>
      <c r="Y60" s="14">
        <f t="shared" si="5"/>
        <v>0</v>
      </c>
      <c r="Z60" s="15">
        <f t="shared" si="3"/>
        <v>150</v>
      </c>
      <c r="AA60" s="15">
        <f t="shared" si="4"/>
        <v>25</v>
      </c>
      <c r="AB60" s="5"/>
      <c r="AC60" s="5">
        <v>1</v>
      </c>
      <c r="AD60" s="5"/>
    </row>
    <row r="61" spans="1:30" ht="31.5" customHeight="1" x14ac:dyDescent="0.25">
      <c r="A61" s="1">
        <v>60</v>
      </c>
      <c r="B61" s="2" t="s">
        <v>212</v>
      </c>
      <c r="C61" s="2" t="s">
        <v>213</v>
      </c>
      <c r="D61" s="2" t="s">
        <v>214</v>
      </c>
      <c r="E61" s="2" t="s">
        <v>60</v>
      </c>
      <c r="F61" s="2"/>
      <c r="G61" s="3" t="s">
        <v>229</v>
      </c>
      <c r="H61" s="4" t="s">
        <v>230</v>
      </c>
      <c r="I61" s="5"/>
      <c r="J61" s="2">
        <v>6</v>
      </c>
      <c r="K61" s="6">
        <v>2</v>
      </c>
      <c r="L61" s="16">
        <v>2</v>
      </c>
      <c r="M61" s="17"/>
      <c r="N61" s="20"/>
      <c r="O61" s="21"/>
      <c r="P61" s="5"/>
      <c r="Q61" s="5"/>
      <c r="R61" s="2">
        <v>1</v>
      </c>
      <c r="S61" s="2">
        <v>0</v>
      </c>
      <c r="T61" s="5"/>
      <c r="U61" s="5"/>
      <c r="V61" s="11">
        <f t="shared" si="0"/>
        <v>30</v>
      </c>
      <c r="W61" s="12">
        <f t="shared" si="1"/>
        <v>0</v>
      </c>
      <c r="X61" s="13">
        <f t="shared" si="2"/>
        <v>0</v>
      </c>
      <c r="Y61" s="14">
        <f t="shared" si="5"/>
        <v>0</v>
      </c>
      <c r="Z61" s="15">
        <f t="shared" si="3"/>
        <v>60</v>
      </c>
      <c r="AA61" s="15">
        <f t="shared" si="4"/>
        <v>10</v>
      </c>
      <c r="AB61" s="5"/>
      <c r="AC61" s="5">
        <v>1</v>
      </c>
      <c r="AD61" s="5"/>
    </row>
    <row r="62" spans="1:30" ht="31.5" customHeight="1" x14ac:dyDescent="0.25">
      <c r="A62" s="1">
        <v>61</v>
      </c>
      <c r="B62" s="2" t="s">
        <v>104</v>
      </c>
      <c r="C62" s="2"/>
      <c r="D62" s="2"/>
      <c r="E62" s="2" t="s">
        <v>105</v>
      </c>
      <c r="F62" s="2"/>
      <c r="G62" s="3" t="s">
        <v>106</v>
      </c>
      <c r="H62" s="4" t="s">
        <v>105</v>
      </c>
      <c r="I62" s="5"/>
      <c r="J62" s="2">
        <v>8</v>
      </c>
      <c r="K62" s="6">
        <v>3</v>
      </c>
      <c r="L62" s="16">
        <v>1</v>
      </c>
      <c r="M62" s="17"/>
      <c r="N62" s="20"/>
      <c r="O62" s="21">
        <v>2</v>
      </c>
      <c r="P62" s="5" t="s">
        <v>97</v>
      </c>
      <c r="Q62" s="5"/>
      <c r="R62" s="2">
        <v>0</v>
      </c>
      <c r="S62" s="2">
        <v>0</v>
      </c>
      <c r="T62" s="5"/>
      <c r="U62" s="5"/>
      <c r="V62" s="11">
        <f t="shared" si="0"/>
        <v>15</v>
      </c>
      <c r="W62" s="12">
        <f t="shared" si="1"/>
        <v>0</v>
      </c>
      <c r="X62" s="13">
        <f t="shared" si="2"/>
        <v>0</v>
      </c>
      <c r="Y62" s="14">
        <f t="shared" si="5"/>
        <v>90</v>
      </c>
      <c r="Z62" s="15">
        <f t="shared" si="3"/>
        <v>120</v>
      </c>
      <c r="AA62" s="15">
        <f t="shared" si="4"/>
        <v>15</v>
      </c>
      <c r="AB62" s="5"/>
      <c r="AC62" s="5">
        <v>1</v>
      </c>
      <c r="AD62" s="5"/>
    </row>
    <row r="63" spans="1:30" ht="31.5" customHeight="1" x14ac:dyDescent="0.25">
      <c r="A63" s="1">
        <v>62</v>
      </c>
      <c r="B63" s="2" t="s">
        <v>235</v>
      </c>
      <c r="C63" s="2"/>
      <c r="D63" s="2"/>
      <c r="E63" s="2" t="s">
        <v>107</v>
      </c>
      <c r="F63" s="2"/>
      <c r="G63" s="3" t="s">
        <v>108</v>
      </c>
      <c r="H63" s="4" t="s">
        <v>109</v>
      </c>
      <c r="I63" s="5"/>
      <c r="J63" s="2">
        <v>8</v>
      </c>
      <c r="K63" s="6">
        <v>9</v>
      </c>
      <c r="L63" s="16">
        <v>1</v>
      </c>
      <c r="M63" s="17"/>
      <c r="N63" s="20"/>
      <c r="O63" s="21">
        <v>8</v>
      </c>
      <c r="P63" s="5"/>
      <c r="Q63" s="5"/>
      <c r="R63" s="2">
        <v>1</v>
      </c>
      <c r="S63" s="2">
        <v>3</v>
      </c>
      <c r="T63" s="5"/>
      <c r="U63" s="5"/>
      <c r="V63" s="11">
        <f t="shared" si="0"/>
        <v>15</v>
      </c>
      <c r="W63" s="12">
        <f t="shared" si="1"/>
        <v>0</v>
      </c>
      <c r="X63" s="13">
        <f t="shared" si="2"/>
        <v>0</v>
      </c>
      <c r="Y63" s="14">
        <f t="shared" si="5"/>
        <v>360</v>
      </c>
      <c r="Z63" s="15">
        <f t="shared" si="3"/>
        <v>390</v>
      </c>
      <c r="AA63" s="15">
        <f t="shared" si="4"/>
        <v>45</v>
      </c>
      <c r="AB63" s="5"/>
      <c r="AC63" s="5">
        <v>1</v>
      </c>
      <c r="AD63" s="5"/>
    </row>
    <row r="64" spans="1:30" ht="31.5" customHeight="1" x14ac:dyDescent="0.25">
      <c r="A64" s="1">
        <v>63</v>
      </c>
      <c r="B64" s="2" t="s">
        <v>235</v>
      </c>
      <c r="C64" s="2"/>
      <c r="D64" s="2"/>
      <c r="E64" s="2" t="s">
        <v>236</v>
      </c>
      <c r="F64" s="2"/>
      <c r="G64" s="3" t="s">
        <v>237</v>
      </c>
      <c r="H64" s="4" t="s">
        <v>238</v>
      </c>
      <c r="I64" s="5"/>
      <c r="J64" s="2">
        <v>8</v>
      </c>
      <c r="K64" s="6">
        <v>3</v>
      </c>
      <c r="L64" s="16">
        <v>2</v>
      </c>
      <c r="M64" s="17">
        <v>1</v>
      </c>
      <c r="N64" s="20"/>
      <c r="O64" s="21"/>
      <c r="P64" s="5" t="s">
        <v>26</v>
      </c>
      <c r="Q64" s="5"/>
      <c r="R64" s="2">
        <v>1</v>
      </c>
      <c r="S64" s="2">
        <v>3</v>
      </c>
      <c r="T64" s="5"/>
      <c r="U64" s="5"/>
      <c r="V64" s="11">
        <f t="shared" si="0"/>
        <v>30</v>
      </c>
      <c r="W64" s="12">
        <f t="shared" si="1"/>
        <v>30</v>
      </c>
      <c r="X64" s="13">
        <f t="shared" si="2"/>
        <v>0</v>
      </c>
      <c r="Y64" s="14">
        <f t="shared" si="5"/>
        <v>0</v>
      </c>
      <c r="Z64" s="15">
        <f t="shared" si="3"/>
        <v>75</v>
      </c>
      <c r="AA64" s="15">
        <f t="shared" si="4"/>
        <v>15</v>
      </c>
      <c r="AB64" s="5"/>
      <c r="AC64" s="5">
        <v>1</v>
      </c>
      <c r="AD64" s="5"/>
    </row>
    <row r="65" spans="1:30" ht="31.5" customHeight="1" x14ac:dyDescent="0.25">
      <c r="A65" s="1">
        <v>64</v>
      </c>
      <c r="B65" s="2" t="s">
        <v>235</v>
      </c>
      <c r="C65" s="2"/>
      <c r="D65" s="2"/>
      <c r="E65" s="2" t="s">
        <v>236</v>
      </c>
      <c r="F65" s="2"/>
      <c r="G65" s="3" t="s">
        <v>239</v>
      </c>
      <c r="H65" s="4" t="s">
        <v>240</v>
      </c>
      <c r="I65" s="5"/>
      <c r="J65" s="2">
        <v>8</v>
      </c>
      <c r="K65" s="6">
        <v>3</v>
      </c>
      <c r="L65" s="16">
        <v>2</v>
      </c>
      <c r="M65" s="17">
        <v>1</v>
      </c>
      <c r="N65" s="20"/>
      <c r="O65" s="21"/>
      <c r="P65" s="5" t="s">
        <v>26</v>
      </c>
      <c r="Q65" s="5"/>
      <c r="R65" s="2">
        <v>1</v>
      </c>
      <c r="S65" s="2">
        <v>3</v>
      </c>
      <c r="T65" s="5"/>
      <c r="U65" s="5"/>
      <c r="V65" s="11">
        <f t="shared" si="0"/>
        <v>30</v>
      </c>
      <c r="W65" s="12">
        <f t="shared" si="1"/>
        <v>30</v>
      </c>
      <c r="X65" s="13">
        <f t="shared" si="2"/>
        <v>0</v>
      </c>
      <c r="Y65" s="14">
        <f t="shared" si="5"/>
        <v>0</v>
      </c>
      <c r="Z65" s="15">
        <f t="shared" si="3"/>
        <v>75</v>
      </c>
      <c r="AA65" s="15">
        <f t="shared" si="4"/>
        <v>15</v>
      </c>
      <c r="AB65" s="5"/>
      <c r="AC65" s="5">
        <v>1</v>
      </c>
      <c r="AD65" s="5"/>
    </row>
    <row r="66" spans="1:30" ht="33.75" customHeight="1" x14ac:dyDescent="0.25">
      <c r="A66" s="1">
        <v>65</v>
      </c>
      <c r="B66" s="2" t="s">
        <v>235</v>
      </c>
      <c r="C66" s="2"/>
      <c r="D66" s="2"/>
      <c r="E66" s="2" t="s">
        <v>236</v>
      </c>
      <c r="F66" s="2"/>
      <c r="G66" s="3" t="s">
        <v>241</v>
      </c>
      <c r="H66" s="4" t="s">
        <v>242</v>
      </c>
      <c r="I66" s="5"/>
      <c r="J66" s="2">
        <v>8</v>
      </c>
      <c r="K66" s="6">
        <v>3</v>
      </c>
      <c r="L66" s="16">
        <v>2</v>
      </c>
      <c r="M66" s="17">
        <v>1</v>
      </c>
      <c r="N66" s="20"/>
      <c r="O66" s="21"/>
      <c r="P66" s="5" t="s">
        <v>26</v>
      </c>
      <c r="Q66" s="5"/>
      <c r="R66" s="2">
        <v>1</v>
      </c>
      <c r="S66" s="2">
        <v>3</v>
      </c>
      <c r="T66" s="5"/>
      <c r="U66" s="5"/>
      <c r="V66" s="11">
        <f t="shared" si="0"/>
        <v>30</v>
      </c>
      <c r="W66" s="12">
        <f t="shared" si="1"/>
        <v>30</v>
      </c>
      <c r="X66" s="13">
        <f t="shared" si="2"/>
        <v>0</v>
      </c>
      <c r="Y66" s="14">
        <f t="shared" si="5"/>
        <v>0</v>
      </c>
      <c r="Z66" s="15">
        <f t="shared" si="3"/>
        <v>75</v>
      </c>
      <c r="AA66" s="15">
        <f t="shared" si="4"/>
        <v>15</v>
      </c>
      <c r="AB66" s="5"/>
      <c r="AC66" s="5">
        <v>1</v>
      </c>
      <c r="AD66" s="5"/>
    </row>
  </sheetData>
  <dataValidations count="5">
    <dataValidation type="list" allowBlank="1" showErrorMessage="1" sqref="AC2:AC66" xr:uid="{00000000-0002-0000-0300-000000000000}">
      <formula1>"1,0"</formula1>
    </dataValidation>
    <dataValidation type="list" allowBlank="1" showErrorMessage="1" sqref="U2:U66" xr:uid="{00000000-0002-0000-0300-000001000000}">
      <formula1>"Tiên quyết (c),Học trước (d),Song hành (e)"</formula1>
    </dataValidation>
    <dataValidation type="list" allowBlank="1" showErrorMessage="1" sqref="Q2:Q66" xr:uid="{00000000-0002-0000-0300-000002000000}">
      <formula1>"Nhóm 1,Nhóm 2,Nhóm 3,Nhóm 4"</formula1>
    </dataValidation>
    <dataValidation type="list" allowBlank="1" showErrorMessage="1" sqref="P2:P66" xr:uid="{00000000-0002-0000-0300-000003000000}">
      <formula1>"T,N"</formula1>
    </dataValidation>
    <dataValidation type="list" allowBlank="1" showErrorMessage="1" sqref="AB2:AB66" xr:uid="{00000000-0002-0000-0300-000004000000}">
      <formula1>#REF!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D66"/>
  <sheetViews>
    <sheetView workbookViewId="0">
      <selection activeCell="F13" sqref="F13"/>
    </sheetView>
  </sheetViews>
  <sheetFormatPr defaultColWidth="14.42578125" defaultRowHeight="15" customHeight="1" x14ac:dyDescent="0.25"/>
  <cols>
    <col min="1" max="1" width="5.140625" customWidth="1"/>
    <col min="2" max="2" width="17.5703125" customWidth="1"/>
    <col min="3" max="3" width="15.140625" customWidth="1"/>
    <col min="4" max="4" width="21.28515625" customWidth="1"/>
    <col min="5" max="6" width="24.5703125" customWidth="1"/>
    <col min="7" max="7" width="12.85546875" customWidth="1"/>
    <col min="8" max="8" width="28.140625" customWidth="1"/>
    <col min="10" max="10" width="7.42578125" customWidth="1"/>
    <col min="11" max="11" width="9.7109375" customWidth="1"/>
    <col min="12" max="15" width="9.85546875" customWidth="1"/>
    <col min="20" max="20" width="24.28515625" customWidth="1"/>
    <col min="29" max="30" width="17.28515625" customWidth="1"/>
  </cols>
  <sheetData>
    <row r="1" spans="1:30" ht="15" customHeight="1" x14ac:dyDescent="0.25">
      <c r="A1" t="s">
        <v>250</v>
      </c>
      <c r="B1" t="s">
        <v>251</v>
      </c>
      <c r="C1" t="s">
        <v>282</v>
      </c>
      <c r="D1" t="s">
        <v>283</v>
      </c>
      <c r="E1" t="s">
        <v>252</v>
      </c>
      <c r="F1" t="s">
        <v>284</v>
      </c>
      <c r="G1" t="s">
        <v>285</v>
      </c>
      <c r="H1" t="s">
        <v>286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262</v>
      </c>
      <c r="Q1" t="s">
        <v>263</v>
      </c>
      <c r="R1" t="s">
        <v>264</v>
      </c>
      <c r="S1" t="s">
        <v>265</v>
      </c>
      <c r="T1" t="s">
        <v>266</v>
      </c>
      <c r="U1" t="s">
        <v>267</v>
      </c>
      <c r="V1" t="s">
        <v>268</v>
      </c>
      <c r="W1" t="s">
        <v>269</v>
      </c>
      <c r="X1" t="s">
        <v>270</v>
      </c>
      <c r="Y1" t="s">
        <v>271</v>
      </c>
      <c r="Z1" t="s">
        <v>272</v>
      </c>
      <c r="AA1" t="s">
        <v>273</v>
      </c>
      <c r="AB1" t="s">
        <v>274</v>
      </c>
      <c r="AC1" t="s">
        <v>275</v>
      </c>
      <c r="AD1" t="s">
        <v>276</v>
      </c>
    </row>
    <row r="2" spans="1:30" ht="31.5" x14ac:dyDescent="0.25">
      <c r="A2" s="1">
        <v>1</v>
      </c>
      <c r="B2" s="2" t="s">
        <v>0</v>
      </c>
      <c r="C2" s="2"/>
      <c r="D2" s="2"/>
      <c r="E2" s="2" t="s">
        <v>1</v>
      </c>
      <c r="F2" s="2"/>
      <c r="G2" s="3" t="s">
        <v>2</v>
      </c>
      <c r="H2" s="4" t="s">
        <v>3</v>
      </c>
      <c r="I2" s="5"/>
      <c r="J2" s="2">
        <v>1</v>
      </c>
      <c r="K2" s="6">
        <v>3</v>
      </c>
      <c r="L2" s="24">
        <v>3</v>
      </c>
      <c r="M2" s="25"/>
      <c r="N2" s="26"/>
      <c r="O2" s="27"/>
      <c r="P2" s="5"/>
      <c r="Q2" s="5"/>
      <c r="R2" s="2">
        <v>0</v>
      </c>
      <c r="S2" s="2">
        <v>0</v>
      </c>
      <c r="T2" s="5"/>
      <c r="U2" s="5"/>
      <c r="V2" s="11">
        <f t="shared" ref="V2:V66" si="0">L2*15</f>
        <v>45</v>
      </c>
      <c r="W2" s="12">
        <f t="shared" ref="W2:W66" si="1">IF(M2="",0,IF(P2="T",M2*15*2,IF(P2="N",M2*15*3,"fail")))</f>
        <v>0</v>
      </c>
      <c r="X2" s="13">
        <f t="shared" ref="X2:X66" si="2">N2*15</f>
        <v>0</v>
      </c>
      <c r="Y2" s="14">
        <f>IF(O2="",0,IF(P2="T",O2*15*2,IF(P2="N",O2*15*3,"fail")))</f>
        <v>0</v>
      </c>
      <c r="Z2" s="15">
        <f t="shared" ref="Z2:Z66" si="3">(L2*2+M2+N2*3+O2*3)*15</f>
        <v>90</v>
      </c>
      <c r="AA2" s="15">
        <f t="shared" ref="AA2:AA66" si="4">K2*5</f>
        <v>15</v>
      </c>
      <c r="AB2" s="5"/>
      <c r="AC2" s="5">
        <v>1</v>
      </c>
      <c r="AD2" s="5"/>
    </row>
    <row r="3" spans="1:30" ht="31.5" x14ac:dyDescent="0.25">
      <c r="A3" s="1">
        <v>2</v>
      </c>
      <c r="B3" s="2" t="s">
        <v>0</v>
      </c>
      <c r="C3" s="2"/>
      <c r="D3" s="2"/>
      <c r="E3" s="2" t="s">
        <v>1</v>
      </c>
      <c r="F3" s="2"/>
      <c r="G3" s="3" t="s">
        <v>110</v>
      </c>
      <c r="H3" s="4" t="s">
        <v>111</v>
      </c>
      <c r="I3" s="5"/>
      <c r="J3" s="2">
        <v>2</v>
      </c>
      <c r="K3" s="6">
        <v>2</v>
      </c>
      <c r="L3" s="24">
        <v>2</v>
      </c>
      <c r="M3" s="25"/>
      <c r="N3" s="26"/>
      <c r="O3" s="27"/>
      <c r="P3" s="5"/>
      <c r="Q3" s="5"/>
      <c r="R3" s="2">
        <v>0</v>
      </c>
      <c r="S3" s="2">
        <v>0</v>
      </c>
      <c r="T3" s="5"/>
      <c r="U3" s="5"/>
      <c r="V3" s="11">
        <f t="shared" si="0"/>
        <v>30</v>
      </c>
      <c r="W3" s="12">
        <f t="shared" si="1"/>
        <v>0</v>
      </c>
      <c r="X3" s="13">
        <f t="shared" si="2"/>
        <v>0</v>
      </c>
      <c r="Y3" s="14">
        <f t="shared" ref="Y3:Y66" si="5">IF(O3="",0,IF(P3="T",O3*15*2,O3*15*3))</f>
        <v>0</v>
      </c>
      <c r="Z3" s="15">
        <f t="shared" si="3"/>
        <v>60</v>
      </c>
      <c r="AA3" s="15">
        <f t="shared" si="4"/>
        <v>10</v>
      </c>
      <c r="AB3" s="5"/>
      <c r="AC3" s="5">
        <v>1</v>
      </c>
      <c r="AD3" s="5"/>
    </row>
    <row r="4" spans="1:30" ht="31.5" x14ac:dyDescent="0.25">
      <c r="A4" s="1">
        <v>3</v>
      </c>
      <c r="B4" s="2" t="s">
        <v>0</v>
      </c>
      <c r="C4" s="2"/>
      <c r="D4" s="2"/>
      <c r="E4" s="2" t="s">
        <v>1</v>
      </c>
      <c r="F4" s="2"/>
      <c r="G4" s="3" t="s">
        <v>113</v>
      </c>
      <c r="H4" s="4" t="s">
        <v>5</v>
      </c>
      <c r="I4" s="5"/>
      <c r="J4" s="2">
        <v>3</v>
      </c>
      <c r="K4" s="6">
        <v>2</v>
      </c>
      <c r="L4" s="24">
        <v>2</v>
      </c>
      <c r="M4" s="25"/>
      <c r="N4" s="26"/>
      <c r="O4" s="27"/>
      <c r="P4" s="5"/>
      <c r="Q4" s="5"/>
      <c r="R4" s="2">
        <v>0</v>
      </c>
      <c r="S4" s="2">
        <v>0</v>
      </c>
      <c r="T4" s="5"/>
      <c r="U4" s="5"/>
      <c r="V4" s="11">
        <f t="shared" si="0"/>
        <v>30</v>
      </c>
      <c r="W4" s="12">
        <f t="shared" si="1"/>
        <v>0</v>
      </c>
      <c r="X4" s="13">
        <f t="shared" si="2"/>
        <v>0</v>
      </c>
      <c r="Y4" s="14">
        <f t="shared" si="5"/>
        <v>0</v>
      </c>
      <c r="Z4" s="15">
        <f t="shared" si="3"/>
        <v>60</v>
      </c>
      <c r="AA4" s="15">
        <f t="shared" si="4"/>
        <v>10</v>
      </c>
      <c r="AB4" s="5"/>
      <c r="AC4" s="5">
        <v>1</v>
      </c>
      <c r="AD4" s="5"/>
    </row>
    <row r="5" spans="1:30" ht="31.5" x14ac:dyDescent="0.25">
      <c r="A5" s="1">
        <v>4</v>
      </c>
      <c r="B5" s="2" t="s">
        <v>0</v>
      </c>
      <c r="C5" s="2"/>
      <c r="D5" s="2"/>
      <c r="E5" s="2" t="s">
        <v>1</v>
      </c>
      <c r="F5" s="2"/>
      <c r="G5" s="3" t="s">
        <v>114</v>
      </c>
      <c r="H5" s="4" t="s">
        <v>115</v>
      </c>
      <c r="I5" s="5"/>
      <c r="J5" s="2">
        <v>4</v>
      </c>
      <c r="K5" s="6">
        <v>2</v>
      </c>
      <c r="L5" s="24">
        <v>2</v>
      </c>
      <c r="M5" s="25"/>
      <c r="N5" s="26"/>
      <c r="O5" s="27"/>
      <c r="P5" s="5"/>
      <c r="Q5" s="5"/>
      <c r="R5" s="2">
        <v>0</v>
      </c>
      <c r="S5" s="2">
        <v>0</v>
      </c>
      <c r="T5" s="5"/>
      <c r="U5" s="5"/>
      <c r="V5" s="11">
        <f t="shared" si="0"/>
        <v>30</v>
      </c>
      <c r="W5" s="12">
        <f t="shared" si="1"/>
        <v>0</v>
      </c>
      <c r="X5" s="13">
        <f t="shared" si="2"/>
        <v>0</v>
      </c>
      <c r="Y5" s="14">
        <f t="shared" si="5"/>
        <v>0</v>
      </c>
      <c r="Z5" s="15">
        <f t="shared" si="3"/>
        <v>60</v>
      </c>
      <c r="AA5" s="15">
        <f t="shared" si="4"/>
        <v>10</v>
      </c>
      <c r="AB5" s="5"/>
      <c r="AC5" s="5">
        <v>1</v>
      </c>
      <c r="AD5" s="5"/>
    </row>
    <row r="6" spans="1:30" ht="31.5" x14ac:dyDescent="0.25">
      <c r="A6" s="1">
        <v>5</v>
      </c>
      <c r="B6" s="2" t="s">
        <v>0</v>
      </c>
      <c r="C6" s="2"/>
      <c r="D6" s="2"/>
      <c r="E6" s="2" t="s">
        <v>1</v>
      </c>
      <c r="F6" s="2"/>
      <c r="G6" s="3" t="s">
        <v>10</v>
      </c>
      <c r="H6" s="4" t="s">
        <v>11</v>
      </c>
      <c r="I6" s="5"/>
      <c r="J6" s="2">
        <v>4</v>
      </c>
      <c r="K6" s="6">
        <v>2</v>
      </c>
      <c r="L6" s="24">
        <v>2</v>
      </c>
      <c r="M6" s="25"/>
      <c r="N6" s="26"/>
      <c r="O6" s="27"/>
      <c r="P6" s="5"/>
      <c r="Q6" s="5"/>
      <c r="R6" s="2">
        <v>0</v>
      </c>
      <c r="S6" s="2">
        <v>0</v>
      </c>
      <c r="T6" s="5"/>
      <c r="U6" s="5"/>
      <c r="V6" s="11">
        <f t="shared" si="0"/>
        <v>30</v>
      </c>
      <c r="W6" s="12">
        <f t="shared" si="1"/>
        <v>0</v>
      </c>
      <c r="X6" s="13">
        <f t="shared" si="2"/>
        <v>0</v>
      </c>
      <c r="Y6" s="14">
        <f t="shared" si="5"/>
        <v>0</v>
      </c>
      <c r="Z6" s="15">
        <f t="shared" si="3"/>
        <v>60</v>
      </c>
      <c r="AA6" s="15">
        <f t="shared" si="4"/>
        <v>10</v>
      </c>
      <c r="AB6" s="5"/>
      <c r="AC6" s="5">
        <v>1</v>
      </c>
      <c r="AD6" s="5"/>
    </row>
    <row r="7" spans="1:30" ht="31.5" x14ac:dyDescent="0.25">
      <c r="A7" s="1">
        <v>6</v>
      </c>
      <c r="B7" s="2" t="s">
        <v>0</v>
      </c>
      <c r="C7" s="2"/>
      <c r="D7" s="2"/>
      <c r="E7" s="2" t="s">
        <v>1</v>
      </c>
      <c r="F7" s="2"/>
      <c r="G7" s="3" t="s">
        <v>162</v>
      </c>
      <c r="H7" s="4" t="s">
        <v>28</v>
      </c>
      <c r="I7" s="5"/>
      <c r="J7" s="2">
        <v>1</v>
      </c>
      <c r="K7" s="6">
        <v>2</v>
      </c>
      <c r="L7" s="24">
        <v>2</v>
      </c>
      <c r="M7" s="25"/>
      <c r="N7" s="26"/>
      <c r="O7" s="27"/>
      <c r="P7" s="5"/>
      <c r="Q7" s="5"/>
      <c r="R7" s="2">
        <v>0</v>
      </c>
      <c r="S7" s="2">
        <v>0</v>
      </c>
      <c r="T7" s="5"/>
      <c r="U7" s="5"/>
      <c r="V7" s="11">
        <f t="shared" si="0"/>
        <v>30</v>
      </c>
      <c r="W7" s="12">
        <f t="shared" si="1"/>
        <v>0</v>
      </c>
      <c r="X7" s="13">
        <f t="shared" si="2"/>
        <v>0</v>
      </c>
      <c r="Y7" s="14">
        <f t="shared" si="5"/>
        <v>0</v>
      </c>
      <c r="Z7" s="15">
        <f t="shared" si="3"/>
        <v>60</v>
      </c>
      <c r="AA7" s="15">
        <f t="shared" si="4"/>
        <v>10</v>
      </c>
      <c r="AB7" s="5"/>
      <c r="AC7" s="5">
        <v>1</v>
      </c>
      <c r="AD7" s="5"/>
    </row>
    <row r="8" spans="1:30" ht="31.5" x14ac:dyDescent="0.25">
      <c r="A8" s="1">
        <v>7</v>
      </c>
      <c r="B8" s="2" t="s">
        <v>0</v>
      </c>
      <c r="C8" s="2"/>
      <c r="D8" s="2"/>
      <c r="E8" s="2" t="s">
        <v>1</v>
      </c>
      <c r="F8" s="2"/>
      <c r="G8" s="3" t="s">
        <v>163</v>
      </c>
      <c r="H8" s="4" t="s">
        <v>125</v>
      </c>
      <c r="I8" s="5"/>
      <c r="J8" s="2">
        <v>1</v>
      </c>
      <c r="K8" s="6">
        <v>3</v>
      </c>
      <c r="L8" s="24">
        <v>3</v>
      </c>
      <c r="M8" s="25"/>
      <c r="N8" s="26"/>
      <c r="O8" s="27"/>
      <c r="P8" s="5"/>
      <c r="Q8" s="5"/>
      <c r="R8" s="2">
        <v>0</v>
      </c>
      <c r="S8" s="2">
        <v>0</v>
      </c>
      <c r="T8" s="5"/>
      <c r="U8" s="5"/>
      <c r="V8" s="11">
        <f t="shared" si="0"/>
        <v>45</v>
      </c>
      <c r="W8" s="12">
        <f t="shared" si="1"/>
        <v>0</v>
      </c>
      <c r="X8" s="13">
        <f t="shared" si="2"/>
        <v>0</v>
      </c>
      <c r="Y8" s="14">
        <f t="shared" si="5"/>
        <v>0</v>
      </c>
      <c r="Z8" s="15">
        <f t="shared" si="3"/>
        <v>90</v>
      </c>
      <c r="AA8" s="15">
        <f t="shared" si="4"/>
        <v>15</v>
      </c>
      <c r="AB8" s="5"/>
      <c r="AC8" s="5">
        <v>1</v>
      </c>
      <c r="AD8" s="5"/>
    </row>
    <row r="9" spans="1:30" ht="31.5" x14ac:dyDescent="0.25">
      <c r="A9" s="1">
        <v>8</v>
      </c>
      <c r="B9" s="2" t="s">
        <v>0</v>
      </c>
      <c r="C9" s="2"/>
      <c r="D9" s="2"/>
      <c r="E9" s="2" t="s">
        <v>1</v>
      </c>
      <c r="F9" s="2"/>
      <c r="G9" s="3" t="s">
        <v>164</v>
      </c>
      <c r="H9" s="4" t="s">
        <v>25</v>
      </c>
      <c r="I9" s="5"/>
      <c r="J9" s="2">
        <v>1</v>
      </c>
      <c r="K9" s="6">
        <v>3</v>
      </c>
      <c r="L9" s="24">
        <v>2</v>
      </c>
      <c r="M9" s="25">
        <v>1</v>
      </c>
      <c r="N9" s="26"/>
      <c r="O9" s="27"/>
      <c r="P9" s="5" t="s">
        <v>26</v>
      </c>
      <c r="Q9" s="5"/>
      <c r="R9" s="2">
        <v>0</v>
      </c>
      <c r="S9" s="2">
        <v>0</v>
      </c>
      <c r="T9" s="5"/>
      <c r="U9" s="5"/>
      <c r="V9" s="11">
        <f t="shared" si="0"/>
        <v>30</v>
      </c>
      <c r="W9" s="12">
        <f t="shared" si="1"/>
        <v>30</v>
      </c>
      <c r="X9" s="13">
        <f t="shared" si="2"/>
        <v>0</v>
      </c>
      <c r="Y9" s="14">
        <f t="shared" si="5"/>
        <v>0</v>
      </c>
      <c r="Z9" s="15">
        <f t="shared" si="3"/>
        <v>75</v>
      </c>
      <c r="AA9" s="15">
        <f t="shared" si="4"/>
        <v>15</v>
      </c>
      <c r="AB9" s="5"/>
      <c r="AC9" s="5">
        <v>1</v>
      </c>
      <c r="AD9" s="5"/>
    </row>
    <row r="10" spans="1:30" ht="31.5" x14ac:dyDescent="0.25">
      <c r="A10" s="1">
        <v>9</v>
      </c>
      <c r="B10" s="2" t="s">
        <v>0</v>
      </c>
      <c r="C10" s="2"/>
      <c r="D10" s="2"/>
      <c r="E10" s="2" t="s">
        <v>1</v>
      </c>
      <c r="F10" s="2"/>
      <c r="G10" s="3" t="s">
        <v>165</v>
      </c>
      <c r="H10" s="4" t="s">
        <v>117</v>
      </c>
      <c r="I10" s="5"/>
      <c r="J10" s="2">
        <v>1</v>
      </c>
      <c r="K10" s="6">
        <v>3</v>
      </c>
      <c r="L10" s="24">
        <v>3</v>
      </c>
      <c r="M10" s="25"/>
      <c r="N10" s="26"/>
      <c r="O10" s="27"/>
      <c r="P10" s="5"/>
      <c r="Q10" s="5"/>
      <c r="R10" s="2">
        <v>0</v>
      </c>
      <c r="S10" s="2">
        <v>0</v>
      </c>
      <c r="T10" s="5"/>
      <c r="U10" s="5"/>
      <c r="V10" s="11">
        <f t="shared" si="0"/>
        <v>45</v>
      </c>
      <c r="W10" s="12">
        <f t="shared" si="1"/>
        <v>0</v>
      </c>
      <c r="X10" s="13">
        <f t="shared" si="2"/>
        <v>0</v>
      </c>
      <c r="Y10" s="14">
        <f t="shared" si="5"/>
        <v>0</v>
      </c>
      <c r="Z10" s="15">
        <f t="shared" si="3"/>
        <v>90</v>
      </c>
      <c r="AA10" s="15">
        <f t="shared" si="4"/>
        <v>15</v>
      </c>
      <c r="AB10" s="5"/>
      <c r="AC10" s="5">
        <v>1</v>
      </c>
      <c r="AD10" s="5"/>
    </row>
    <row r="11" spans="1:30" ht="31.5" x14ac:dyDescent="0.25">
      <c r="A11" s="1">
        <v>10</v>
      </c>
      <c r="B11" s="2" t="s">
        <v>0</v>
      </c>
      <c r="C11" s="2"/>
      <c r="D11" s="2"/>
      <c r="E11" s="2" t="s">
        <v>1</v>
      </c>
      <c r="F11" s="2"/>
      <c r="G11" s="3" t="s">
        <v>166</v>
      </c>
      <c r="H11" s="4" t="s">
        <v>119</v>
      </c>
      <c r="I11" s="5"/>
      <c r="J11" s="2">
        <v>2</v>
      </c>
      <c r="K11" s="6">
        <v>2</v>
      </c>
      <c r="L11" s="24">
        <v>2</v>
      </c>
      <c r="M11" s="25"/>
      <c r="N11" s="26"/>
      <c r="O11" s="27"/>
      <c r="P11" s="5"/>
      <c r="Q11" s="5"/>
      <c r="R11" s="2">
        <v>0</v>
      </c>
      <c r="S11" s="2">
        <v>0</v>
      </c>
      <c r="T11" s="5"/>
      <c r="U11" s="5"/>
      <c r="V11" s="11">
        <f t="shared" si="0"/>
        <v>30</v>
      </c>
      <c r="W11" s="12">
        <f t="shared" si="1"/>
        <v>0</v>
      </c>
      <c r="X11" s="13">
        <f t="shared" si="2"/>
        <v>0</v>
      </c>
      <c r="Y11" s="14">
        <f t="shared" si="5"/>
        <v>0</v>
      </c>
      <c r="Z11" s="15">
        <f t="shared" si="3"/>
        <v>60</v>
      </c>
      <c r="AA11" s="15">
        <f t="shared" si="4"/>
        <v>10</v>
      </c>
      <c r="AB11" s="5"/>
      <c r="AC11" s="5">
        <v>1</v>
      </c>
      <c r="AD11" s="5"/>
    </row>
    <row r="12" spans="1:30" ht="31.5" x14ac:dyDescent="0.25">
      <c r="A12" s="1">
        <v>11</v>
      </c>
      <c r="B12" s="2" t="s">
        <v>0</v>
      </c>
      <c r="C12" s="2"/>
      <c r="D12" s="2"/>
      <c r="E12" s="2" t="s">
        <v>1</v>
      </c>
      <c r="F12" s="2"/>
      <c r="G12" s="3" t="s">
        <v>167</v>
      </c>
      <c r="H12" s="4" t="s">
        <v>32</v>
      </c>
      <c r="I12" s="5"/>
      <c r="J12" s="2">
        <v>2</v>
      </c>
      <c r="K12" s="6">
        <v>2</v>
      </c>
      <c r="L12" s="24">
        <v>2</v>
      </c>
      <c r="M12" s="25"/>
      <c r="N12" s="26"/>
      <c r="O12" s="27"/>
      <c r="P12" s="5"/>
      <c r="Q12" s="5"/>
      <c r="R12" s="2">
        <v>0</v>
      </c>
      <c r="S12" s="2">
        <v>0</v>
      </c>
      <c r="T12" s="5"/>
      <c r="U12" s="5"/>
      <c r="V12" s="11">
        <f t="shared" si="0"/>
        <v>30</v>
      </c>
      <c r="W12" s="12">
        <f t="shared" si="1"/>
        <v>0</v>
      </c>
      <c r="X12" s="13">
        <f t="shared" si="2"/>
        <v>0</v>
      </c>
      <c r="Y12" s="14">
        <f t="shared" si="5"/>
        <v>0</v>
      </c>
      <c r="Z12" s="15">
        <f t="shared" si="3"/>
        <v>60</v>
      </c>
      <c r="AA12" s="15">
        <f t="shared" si="4"/>
        <v>10</v>
      </c>
      <c r="AB12" s="5"/>
      <c r="AC12" s="5">
        <v>1</v>
      </c>
      <c r="AD12" s="5"/>
    </row>
    <row r="13" spans="1:30" ht="31.5" x14ac:dyDescent="0.25">
      <c r="A13" s="1">
        <v>12</v>
      </c>
      <c r="B13" s="2" t="s">
        <v>0</v>
      </c>
      <c r="C13" s="2"/>
      <c r="D13" s="2"/>
      <c r="E13" s="2" t="s">
        <v>1</v>
      </c>
      <c r="F13" s="2"/>
      <c r="G13" s="3" t="s">
        <v>132</v>
      </c>
      <c r="H13" s="4" t="s">
        <v>133</v>
      </c>
      <c r="I13" s="5"/>
      <c r="J13" s="2">
        <v>2</v>
      </c>
      <c r="K13" s="6">
        <v>2</v>
      </c>
      <c r="L13" s="24">
        <v>2</v>
      </c>
      <c r="M13" s="25"/>
      <c r="N13" s="26"/>
      <c r="O13" s="27"/>
      <c r="P13" s="5"/>
      <c r="Q13" s="5"/>
      <c r="R13" s="2">
        <v>1</v>
      </c>
      <c r="S13" s="2">
        <v>1</v>
      </c>
      <c r="T13" s="5"/>
      <c r="U13" s="5"/>
      <c r="V13" s="11">
        <f t="shared" si="0"/>
        <v>30</v>
      </c>
      <c r="W13" s="12">
        <f t="shared" si="1"/>
        <v>0</v>
      </c>
      <c r="X13" s="13">
        <f t="shared" si="2"/>
        <v>0</v>
      </c>
      <c r="Y13" s="14">
        <f t="shared" si="5"/>
        <v>0</v>
      </c>
      <c r="Z13" s="15">
        <f t="shared" si="3"/>
        <v>60</v>
      </c>
      <c r="AA13" s="15">
        <f t="shared" si="4"/>
        <v>10</v>
      </c>
      <c r="AB13" s="5"/>
      <c r="AC13" s="5">
        <v>1</v>
      </c>
      <c r="AD13" s="5"/>
    </row>
    <row r="14" spans="1:30" ht="31.5" x14ac:dyDescent="0.25">
      <c r="A14" s="1">
        <v>13</v>
      </c>
      <c r="B14" s="2" t="s">
        <v>0</v>
      </c>
      <c r="C14" s="2"/>
      <c r="D14" s="2"/>
      <c r="E14" s="2" t="s">
        <v>1</v>
      </c>
      <c r="F14" s="2"/>
      <c r="G14" s="3" t="s">
        <v>168</v>
      </c>
      <c r="H14" s="4" t="s">
        <v>17</v>
      </c>
      <c r="I14" s="5"/>
      <c r="J14" s="2">
        <v>1</v>
      </c>
      <c r="K14" s="6">
        <v>3</v>
      </c>
      <c r="L14" s="24">
        <v>3</v>
      </c>
      <c r="M14" s="25"/>
      <c r="N14" s="26"/>
      <c r="O14" s="27"/>
      <c r="P14" s="5"/>
      <c r="Q14" s="5"/>
      <c r="R14" s="2">
        <v>0</v>
      </c>
      <c r="S14" s="2">
        <v>0</v>
      </c>
      <c r="T14" s="5"/>
      <c r="U14" s="5"/>
      <c r="V14" s="11">
        <f t="shared" si="0"/>
        <v>45</v>
      </c>
      <c r="W14" s="12">
        <f t="shared" si="1"/>
        <v>0</v>
      </c>
      <c r="X14" s="13">
        <f t="shared" si="2"/>
        <v>0</v>
      </c>
      <c r="Y14" s="14">
        <f t="shared" si="5"/>
        <v>0</v>
      </c>
      <c r="Z14" s="15">
        <f t="shared" si="3"/>
        <v>90</v>
      </c>
      <c r="AA14" s="15">
        <f t="shared" si="4"/>
        <v>15</v>
      </c>
      <c r="AB14" s="5"/>
      <c r="AC14" s="5">
        <v>1</v>
      </c>
      <c r="AD14" s="5"/>
    </row>
    <row r="15" spans="1:30" ht="31.5" x14ac:dyDescent="0.25">
      <c r="A15" s="1">
        <v>14</v>
      </c>
      <c r="B15" s="2" t="s">
        <v>0</v>
      </c>
      <c r="C15" s="2"/>
      <c r="D15" s="2"/>
      <c r="E15" s="2" t="s">
        <v>1</v>
      </c>
      <c r="F15" s="2"/>
      <c r="G15" s="3" t="s">
        <v>169</v>
      </c>
      <c r="H15" s="4" t="s">
        <v>19</v>
      </c>
      <c r="I15" s="5"/>
      <c r="J15" s="2">
        <v>2</v>
      </c>
      <c r="K15" s="6">
        <v>3</v>
      </c>
      <c r="L15" s="24">
        <v>3</v>
      </c>
      <c r="M15" s="25"/>
      <c r="N15" s="26"/>
      <c r="O15" s="27"/>
      <c r="P15" s="5"/>
      <c r="Q15" s="5"/>
      <c r="R15" s="2">
        <v>0</v>
      </c>
      <c r="S15" s="2">
        <v>0</v>
      </c>
      <c r="T15" s="5"/>
      <c r="U15" s="5"/>
      <c r="V15" s="11">
        <f t="shared" si="0"/>
        <v>45</v>
      </c>
      <c r="W15" s="12">
        <f t="shared" si="1"/>
        <v>0</v>
      </c>
      <c r="X15" s="13">
        <f t="shared" si="2"/>
        <v>0</v>
      </c>
      <c r="Y15" s="14">
        <f t="shared" si="5"/>
        <v>0</v>
      </c>
      <c r="Z15" s="15">
        <f t="shared" si="3"/>
        <v>90</v>
      </c>
      <c r="AA15" s="15">
        <f t="shared" si="4"/>
        <v>15</v>
      </c>
      <c r="AB15" s="5"/>
      <c r="AC15" s="5">
        <v>1</v>
      </c>
      <c r="AD15" s="5"/>
    </row>
    <row r="16" spans="1:30" ht="31.5" x14ac:dyDescent="0.25">
      <c r="A16" s="1">
        <v>15</v>
      </c>
      <c r="B16" s="2" t="s">
        <v>0</v>
      </c>
      <c r="C16" s="2"/>
      <c r="D16" s="2"/>
      <c r="E16" s="2" t="s">
        <v>1</v>
      </c>
      <c r="F16" s="2"/>
      <c r="G16" s="3" t="s">
        <v>170</v>
      </c>
      <c r="H16" s="4" t="s">
        <v>21</v>
      </c>
      <c r="I16" s="5"/>
      <c r="J16" s="2">
        <v>3</v>
      </c>
      <c r="K16" s="6">
        <v>3</v>
      </c>
      <c r="L16" s="24">
        <v>3</v>
      </c>
      <c r="M16" s="25"/>
      <c r="N16" s="26"/>
      <c r="O16" s="27"/>
      <c r="P16" s="5"/>
      <c r="Q16" s="5"/>
      <c r="R16" s="2">
        <v>0</v>
      </c>
      <c r="S16" s="2">
        <v>0</v>
      </c>
      <c r="T16" s="5"/>
      <c r="U16" s="5"/>
      <c r="V16" s="11">
        <f t="shared" si="0"/>
        <v>45</v>
      </c>
      <c r="W16" s="12">
        <f t="shared" si="1"/>
        <v>0</v>
      </c>
      <c r="X16" s="13">
        <f t="shared" si="2"/>
        <v>0</v>
      </c>
      <c r="Y16" s="14">
        <f t="shared" si="5"/>
        <v>0</v>
      </c>
      <c r="Z16" s="15">
        <f t="shared" si="3"/>
        <v>90</v>
      </c>
      <c r="AA16" s="15">
        <f t="shared" si="4"/>
        <v>15</v>
      </c>
      <c r="AB16" s="5"/>
      <c r="AC16" s="5">
        <v>1</v>
      </c>
      <c r="AD16" s="5"/>
    </row>
    <row r="17" spans="1:30" ht="31.5" x14ac:dyDescent="0.25">
      <c r="A17" s="1">
        <v>16</v>
      </c>
      <c r="B17" s="2" t="s">
        <v>0</v>
      </c>
      <c r="C17" s="2"/>
      <c r="D17" s="2"/>
      <c r="E17" s="2" t="s">
        <v>1</v>
      </c>
      <c r="F17" s="2"/>
      <c r="G17" s="3" t="s">
        <v>33</v>
      </c>
      <c r="H17" s="4" t="s">
        <v>34</v>
      </c>
      <c r="I17" s="5"/>
      <c r="J17" s="2">
        <v>3</v>
      </c>
      <c r="K17" s="6">
        <v>3</v>
      </c>
      <c r="L17" s="24">
        <v>1</v>
      </c>
      <c r="M17" s="25">
        <v>2</v>
      </c>
      <c r="N17" s="26"/>
      <c r="O17" s="27"/>
      <c r="P17" s="5" t="s">
        <v>26</v>
      </c>
      <c r="Q17" s="5"/>
      <c r="R17" s="2">
        <v>1</v>
      </c>
      <c r="S17" s="2">
        <v>2</v>
      </c>
      <c r="T17" s="5"/>
      <c r="U17" s="5"/>
      <c r="V17" s="11">
        <f t="shared" si="0"/>
        <v>15</v>
      </c>
      <c r="W17" s="12">
        <f t="shared" si="1"/>
        <v>60</v>
      </c>
      <c r="X17" s="13">
        <f t="shared" si="2"/>
        <v>0</v>
      </c>
      <c r="Y17" s="14">
        <f t="shared" si="5"/>
        <v>0</v>
      </c>
      <c r="Z17" s="15">
        <f t="shared" si="3"/>
        <v>60</v>
      </c>
      <c r="AA17" s="15">
        <f t="shared" si="4"/>
        <v>15</v>
      </c>
      <c r="AB17" s="5"/>
      <c r="AC17" s="5">
        <v>0</v>
      </c>
      <c r="AD17" s="5"/>
    </row>
    <row r="18" spans="1:30" ht="31.5" x14ac:dyDescent="0.25">
      <c r="A18" s="1">
        <v>17</v>
      </c>
      <c r="B18" s="2" t="s">
        <v>0</v>
      </c>
      <c r="C18" s="2"/>
      <c r="D18" s="2"/>
      <c r="E18" s="2" t="s">
        <v>1</v>
      </c>
      <c r="F18" s="2"/>
      <c r="G18" s="3" t="s">
        <v>35</v>
      </c>
      <c r="H18" s="4" t="s">
        <v>36</v>
      </c>
      <c r="I18" s="5"/>
      <c r="J18" s="2">
        <v>1</v>
      </c>
      <c r="K18" s="6">
        <v>8</v>
      </c>
      <c r="L18" s="24"/>
      <c r="M18" s="25"/>
      <c r="N18" s="26"/>
      <c r="O18" s="27"/>
      <c r="P18" s="5"/>
      <c r="Q18" s="5"/>
      <c r="R18" s="2">
        <v>0</v>
      </c>
      <c r="S18" s="2">
        <v>0</v>
      </c>
      <c r="T18" s="5"/>
      <c r="U18" s="5"/>
      <c r="V18" s="11">
        <f t="shared" si="0"/>
        <v>0</v>
      </c>
      <c r="W18" s="12">
        <f t="shared" si="1"/>
        <v>0</v>
      </c>
      <c r="X18" s="13">
        <f t="shared" si="2"/>
        <v>0</v>
      </c>
      <c r="Y18" s="14">
        <f t="shared" si="5"/>
        <v>0</v>
      </c>
      <c r="Z18" s="15">
        <f t="shared" si="3"/>
        <v>0</v>
      </c>
      <c r="AA18" s="15">
        <f t="shared" si="4"/>
        <v>40</v>
      </c>
      <c r="AB18" s="5"/>
      <c r="AC18" s="5">
        <v>0</v>
      </c>
      <c r="AD18" s="5"/>
    </row>
    <row r="19" spans="1:30" ht="31.5" x14ac:dyDescent="0.25">
      <c r="A19" s="1">
        <v>18</v>
      </c>
      <c r="B19" s="2" t="s">
        <v>37</v>
      </c>
      <c r="C19" s="2"/>
      <c r="D19" s="2"/>
      <c r="E19" s="2" t="s">
        <v>38</v>
      </c>
      <c r="F19" s="2"/>
      <c r="G19" s="3" t="s">
        <v>126</v>
      </c>
      <c r="H19" s="4" t="s">
        <v>171</v>
      </c>
      <c r="I19" s="5"/>
      <c r="J19" s="2">
        <v>1</v>
      </c>
      <c r="K19" s="6">
        <v>3</v>
      </c>
      <c r="L19" s="24">
        <v>2</v>
      </c>
      <c r="M19" s="25">
        <v>1</v>
      </c>
      <c r="N19" s="26"/>
      <c r="O19" s="27"/>
      <c r="P19" s="5" t="s">
        <v>26</v>
      </c>
      <c r="Q19" s="5"/>
      <c r="R19" s="2">
        <v>0</v>
      </c>
      <c r="S19" s="2">
        <v>0</v>
      </c>
      <c r="T19" s="5"/>
      <c r="U19" s="5"/>
      <c r="V19" s="11">
        <f t="shared" si="0"/>
        <v>30</v>
      </c>
      <c r="W19" s="12">
        <f t="shared" si="1"/>
        <v>30</v>
      </c>
      <c r="X19" s="13">
        <f t="shared" si="2"/>
        <v>0</v>
      </c>
      <c r="Y19" s="14">
        <f t="shared" si="5"/>
        <v>0</v>
      </c>
      <c r="Z19" s="15">
        <f t="shared" si="3"/>
        <v>75</v>
      </c>
      <c r="AA19" s="15">
        <f t="shared" si="4"/>
        <v>15</v>
      </c>
      <c r="AB19" s="5"/>
      <c r="AC19" s="5">
        <v>1</v>
      </c>
      <c r="AD19" s="5"/>
    </row>
    <row r="20" spans="1:30" ht="31.5" x14ac:dyDescent="0.25">
      <c r="A20" s="1">
        <v>19</v>
      </c>
      <c r="B20" s="2" t="s">
        <v>37</v>
      </c>
      <c r="C20" s="2"/>
      <c r="D20" s="2"/>
      <c r="E20" s="2" t="s">
        <v>38</v>
      </c>
      <c r="F20" s="2"/>
      <c r="G20" s="3" t="s">
        <v>172</v>
      </c>
      <c r="H20" s="4" t="s">
        <v>173</v>
      </c>
      <c r="I20" s="5"/>
      <c r="J20" s="2">
        <v>1</v>
      </c>
      <c r="K20" s="6">
        <v>4</v>
      </c>
      <c r="L20" s="24">
        <v>3</v>
      </c>
      <c r="M20" s="25">
        <v>1</v>
      </c>
      <c r="N20" s="26"/>
      <c r="O20" s="27"/>
      <c r="P20" s="5" t="s">
        <v>26</v>
      </c>
      <c r="Q20" s="5"/>
      <c r="R20" s="2">
        <v>0</v>
      </c>
      <c r="S20" s="2">
        <v>0</v>
      </c>
      <c r="T20" s="5"/>
      <c r="U20" s="5"/>
      <c r="V20" s="11">
        <f t="shared" si="0"/>
        <v>45</v>
      </c>
      <c r="W20" s="12">
        <f t="shared" si="1"/>
        <v>30</v>
      </c>
      <c r="X20" s="13">
        <f t="shared" si="2"/>
        <v>0</v>
      </c>
      <c r="Y20" s="14">
        <f t="shared" si="5"/>
        <v>0</v>
      </c>
      <c r="Z20" s="15">
        <f t="shared" si="3"/>
        <v>105</v>
      </c>
      <c r="AA20" s="15">
        <f t="shared" si="4"/>
        <v>20</v>
      </c>
      <c r="AB20" s="5"/>
      <c r="AC20" s="5">
        <v>1</v>
      </c>
      <c r="AD20" s="5"/>
    </row>
    <row r="21" spans="1:30" ht="31.5" x14ac:dyDescent="0.25">
      <c r="A21" s="1">
        <v>20</v>
      </c>
      <c r="B21" s="2" t="s">
        <v>37</v>
      </c>
      <c r="C21" s="2"/>
      <c r="D21" s="2"/>
      <c r="E21" s="2" t="s">
        <v>38</v>
      </c>
      <c r="F21" s="2"/>
      <c r="G21" s="3" t="s">
        <v>174</v>
      </c>
      <c r="H21" s="4" t="s">
        <v>175</v>
      </c>
      <c r="I21" s="5"/>
      <c r="J21" s="2">
        <v>1</v>
      </c>
      <c r="K21" s="6">
        <v>3</v>
      </c>
      <c r="L21" s="24">
        <v>2</v>
      </c>
      <c r="M21" s="25">
        <v>1</v>
      </c>
      <c r="N21" s="26"/>
      <c r="O21" s="27"/>
      <c r="P21" s="5" t="s">
        <v>26</v>
      </c>
      <c r="Q21" s="5"/>
      <c r="R21" s="2">
        <v>0</v>
      </c>
      <c r="S21" s="2">
        <v>0</v>
      </c>
      <c r="T21" s="5"/>
      <c r="U21" s="5"/>
      <c r="V21" s="11">
        <f t="shared" si="0"/>
        <v>30</v>
      </c>
      <c r="W21" s="12">
        <f t="shared" si="1"/>
        <v>30</v>
      </c>
      <c r="X21" s="13">
        <f t="shared" si="2"/>
        <v>0</v>
      </c>
      <c r="Y21" s="14">
        <f t="shared" si="5"/>
        <v>0</v>
      </c>
      <c r="Z21" s="15">
        <f t="shared" si="3"/>
        <v>75</v>
      </c>
      <c r="AA21" s="15">
        <f t="shared" si="4"/>
        <v>15</v>
      </c>
      <c r="AB21" s="5"/>
      <c r="AC21" s="5">
        <v>1</v>
      </c>
      <c r="AD21" s="5"/>
    </row>
    <row r="22" spans="1:30" ht="31.5" x14ac:dyDescent="0.25">
      <c r="A22" s="1">
        <v>21</v>
      </c>
      <c r="B22" s="2" t="s">
        <v>37</v>
      </c>
      <c r="C22" s="2"/>
      <c r="D22" s="2"/>
      <c r="E22" s="2" t="s">
        <v>38</v>
      </c>
      <c r="F22" s="2"/>
      <c r="G22" s="3" t="s">
        <v>129</v>
      </c>
      <c r="H22" s="4" t="s">
        <v>48</v>
      </c>
      <c r="I22" s="5"/>
      <c r="J22" s="2">
        <v>5</v>
      </c>
      <c r="K22" s="6">
        <v>3</v>
      </c>
      <c r="L22" s="24">
        <v>3</v>
      </c>
      <c r="M22" s="25"/>
      <c r="N22" s="26"/>
      <c r="O22" s="27"/>
      <c r="P22" s="5"/>
      <c r="Q22" s="5"/>
      <c r="R22" s="2">
        <v>0</v>
      </c>
      <c r="S22" s="2">
        <v>0</v>
      </c>
      <c r="T22" s="3" t="s">
        <v>164</v>
      </c>
      <c r="U22" s="5" t="s">
        <v>112</v>
      </c>
      <c r="V22" s="11">
        <f t="shared" si="0"/>
        <v>45</v>
      </c>
      <c r="W22" s="12">
        <f t="shared" si="1"/>
        <v>0</v>
      </c>
      <c r="X22" s="13">
        <f t="shared" si="2"/>
        <v>0</v>
      </c>
      <c r="Y22" s="14">
        <f t="shared" si="5"/>
        <v>0</v>
      </c>
      <c r="Z22" s="15">
        <f t="shared" si="3"/>
        <v>90</v>
      </c>
      <c r="AA22" s="15">
        <f t="shared" si="4"/>
        <v>15</v>
      </c>
      <c r="AB22" s="5"/>
      <c r="AC22" s="5">
        <v>1</v>
      </c>
      <c r="AD22" s="5"/>
    </row>
    <row r="23" spans="1:30" ht="31.5" x14ac:dyDescent="0.25">
      <c r="A23" s="1">
        <v>22</v>
      </c>
      <c r="B23" s="2" t="s">
        <v>37</v>
      </c>
      <c r="C23" s="2"/>
      <c r="D23" s="2"/>
      <c r="E23" s="2" t="s">
        <v>38</v>
      </c>
      <c r="F23" s="2"/>
      <c r="G23" s="3" t="s">
        <v>49</v>
      </c>
      <c r="H23" s="4" t="s">
        <v>50</v>
      </c>
      <c r="I23" s="5"/>
      <c r="J23" s="2">
        <v>6</v>
      </c>
      <c r="K23" s="6">
        <v>4</v>
      </c>
      <c r="L23" s="24">
        <v>3</v>
      </c>
      <c r="M23" s="25">
        <v>1</v>
      </c>
      <c r="N23" s="26"/>
      <c r="O23" s="27"/>
      <c r="P23" s="5" t="s">
        <v>26</v>
      </c>
      <c r="Q23" s="5"/>
      <c r="R23" s="2">
        <v>0</v>
      </c>
      <c r="S23" s="2">
        <v>0</v>
      </c>
      <c r="T23" s="3" t="s">
        <v>176</v>
      </c>
      <c r="U23" s="5" t="s">
        <v>112</v>
      </c>
      <c r="V23" s="11">
        <f t="shared" si="0"/>
        <v>45</v>
      </c>
      <c r="W23" s="12">
        <f t="shared" si="1"/>
        <v>30</v>
      </c>
      <c r="X23" s="13">
        <f t="shared" si="2"/>
        <v>0</v>
      </c>
      <c r="Y23" s="14">
        <f t="shared" si="5"/>
        <v>0</v>
      </c>
      <c r="Z23" s="15">
        <f t="shared" si="3"/>
        <v>105</v>
      </c>
      <c r="AA23" s="15">
        <f t="shared" si="4"/>
        <v>20</v>
      </c>
      <c r="AB23" s="5"/>
      <c r="AC23" s="5">
        <v>1</v>
      </c>
      <c r="AD23" s="5"/>
    </row>
    <row r="24" spans="1:30" ht="31.5" x14ac:dyDescent="0.25">
      <c r="A24" s="1">
        <v>23</v>
      </c>
      <c r="B24" s="2" t="s">
        <v>37</v>
      </c>
      <c r="C24" s="2"/>
      <c r="D24" s="2"/>
      <c r="E24" s="2" t="s">
        <v>38</v>
      </c>
      <c r="F24" s="2"/>
      <c r="G24" s="3" t="s">
        <v>51</v>
      </c>
      <c r="H24" s="4" t="s">
        <v>52</v>
      </c>
      <c r="I24" s="5"/>
      <c r="J24" s="2">
        <v>6</v>
      </c>
      <c r="K24" s="6">
        <v>3</v>
      </c>
      <c r="L24" s="24">
        <v>3</v>
      </c>
      <c r="M24" s="25"/>
      <c r="N24" s="26"/>
      <c r="O24" s="27"/>
      <c r="P24" s="5"/>
      <c r="Q24" s="5"/>
      <c r="R24" s="2">
        <v>0</v>
      </c>
      <c r="S24" s="2">
        <v>0</v>
      </c>
      <c r="T24" s="5"/>
      <c r="U24" s="5"/>
      <c r="V24" s="11">
        <f t="shared" si="0"/>
        <v>45</v>
      </c>
      <c r="W24" s="12">
        <f t="shared" si="1"/>
        <v>0</v>
      </c>
      <c r="X24" s="13">
        <f t="shared" si="2"/>
        <v>0</v>
      </c>
      <c r="Y24" s="14">
        <f t="shared" si="5"/>
        <v>0</v>
      </c>
      <c r="Z24" s="15">
        <f t="shared" si="3"/>
        <v>90</v>
      </c>
      <c r="AA24" s="15">
        <f t="shared" si="4"/>
        <v>15</v>
      </c>
      <c r="AB24" s="5"/>
      <c r="AC24" s="5">
        <v>1</v>
      </c>
      <c r="AD24" s="5"/>
    </row>
    <row r="25" spans="1:30" ht="31.5" x14ac:dyDescent="0.25">
      <c r="A25" s="1">
        <v>24</v>
      </c>
      <c r="B25" s="2" t="s">
        <v>37</v>
      </c>
      <c r="C25" s="2"/>
      <c r="D25" s="2"/>
      <c r="E25" s="2" t="s">
        <v>38</v>
      </c>
      <c r="F25" s="2"/>
      <c r="G25" s="3" t="s">
        <v>130</v>
      </c>
      <c r="H25" s="4" t="s">
        <v>131</v>
      </c>
      <c r="I25" s="5"/>
      <c r="J25" s="2">
        <v>2</v>
      </c>
      <c r="K25" s="6">
        <v>3</v>
      </c>
      <c r="L25" s="24">
        <v>2</v>
      </c>
      <c r="M25" s="25">
        <v>1</v>
      </c>
      <c r="N25" s="26"/>
      <c r="O25" s="27"/>
      <c r="P25" s="5" t="s">
        <v>26</v>
      </c>
      <c r="Q25" s="5"/>
      <c r="R25" s="2">
        <v>0</v>
      </c>
      <c r="S25" s="2">
        <v>0</v>
      </c>
      <c r="T25" s="3" t="s">
        <v>126</v>
      </c>
      <c r="U25" s="5"/>
      <c r="V25" s="11">
        <f t="shared" si="0"/>
        <v>30</v>
      </c>
      <c r="W25" s="12">
        <f t="shared" si="1"/>
        <v>30</v>
      </c>
      <c r="X25" s="13">
        <f t="shared" si="2"/>
        <v>0</v>
      </c>
      <c r="Y25" s="14">
        <f t="shared" si="5"/>
        <v>0</v>
      </c>
      <c r="Z25" s="15">
        <f t="shared" si="3"/>
        <v>75</v>
      </c>
      <c r="AA25" s="15">
        <f t="shared" si="4"/>
        <v>15</v>
      </c>
      <c r="AB25" s="5"/>
      <c r="AC25" s="5">
        <v>1</v>
      </c>
      <c r="AD25" s="5"/>
    </row>
    <row r="26" spans="1:30" ht="31.5" x14ac:dyDescent="0.25">
      <c r="A26" s="1">
        <v>25</v>
      </c>
      <c r="B26" s="2" t="s">
        <v>37</v>
      </c>
      <c r="C26" s="2"/>
      <c r="D26" s="2"/>
      <c r="E26" s="2" t="s">
        <v>38</v>
      </c>
      <c r="F26" s="2"/>
      <c r="G26" s="3" t="s">
        <v>178</v>
      </c>
      <c r="H26" s="4" t="s">
        <v>179</v>
      </c>
      <c r="I26" s="5"/>
      <c r="J26" s="2">
        <v>2</v>
      </c>
      <c r="K26" s="6">
        <v>2</v>
      </c>
      <c r="L26" s="24">
        <v>1</v>
      </c>
      <c r="M26" s="25">
        <v>1</v>
      </c>
      <c r="N26" s="26"/>
      <c r="O26" s="27"/>
      <c r="P26" s="5" t="s">
        <v>26</v>
      </c>
      <c r="Q26" s="5"/>
      <c r="R26" s="2">
        <v>0</v>
      </c>
      <c r="S26" s="2">
        <v>0</v>
      </c>
      <c r="T26" s="3"/>
      <c r="U26" s="5" t="s">
        <v>112</v>
      </c>
      <c r="V26" s="11">
        <f t="shared" si="0"/>
        <v>15</v>
      </c>
      <c r="W26" s="12">
        <f t="shared" si="1"/>
        <v>30</v>
      </c>
      <c r="X26" s="13">
        <f t="shared" si="2"/>
        <v>0</v>
      </c>
      <c r="Y26" s="14">
        <f t="shared" si="5"/>
        <v>0</v>
      </c>
      <c r="Z26" s="15">
        <f t="shared" si="3"/>
        <v>45</v>
      </c>
      <c r="AA26" s="15">
        <f t="shared" si="4"/>
        <v>10</v>
      </c>
      <c r="AB26" s="5"/>
      <c r="AC26" s="5">
        <v>1</v>
      </c>
      <c r="AD26" s="5"/>
    </row>
    <row r="27" spans="1:30" ht="31.5" x14ac:dyDescent="0.25">
      <c r="A27" s="1">
        <v>26</v>
      </c>
      <c r="B27" s="2" t="s">
        <v>37</v>
      </c>
      <c r="C27" s="2"/>
      <c r="D27" s="2"/>
      <c r="E27" s="2" t="s">
        <v>38</v>
      </c>
      <c r="F27" s="2"/>
      <c r="G27" s="3" t="s">
        <v>180</v>
      </c>
      <c r="H27" s="4" t="s">
        <v>181</v>
      </c>
      <c r="I27" s="5"/>
      <c r="J27" s="2">
        <v>4</v>
      </c>
      <c r="K27" s="6">
        <v>2</v>
      </c>
      <c r="L27" s="24">
        <v>2</v>
      </c>
      <c r="M27" s="25"/>
      <c r="N27" s="26"/>
      <c r="O27" s="27"/>
      <c r="P27" s="5"/>
      <c r="Q27" s="5"/>
      <c r="R27" s="2">
        <v>0</v>
      </c>
      <c r="S27" s="2">
        <v>0</v>
      </c>
      <c r="T27" s="5"/>
      <c r="U27" s="5"/>
      <c r="V27" s="11">
        <f t="shared" si="0"/>
        <v>30</v>
      </c>
      <c r="W27" s="12">
        <f t="shared" si="1"/>
        <v>0</v>
      </c>
      <c r="X27" s="13">
        <f t="shared" si="2"/>
        <v>0</v>
      </c>
      <c r="Y27" s="14">
        <f t="shared" si="5"/>
        <v>0</v>
      </c>
      <c r="Z27" s="15">
        <f t="shared" si="3"/>
        <v>60</v>
      </c>
      <c r="AA27" s="15">
        <f t="shared" si="4"/>
        <v>10</v>
      </c>
      <c r="AB27" s="5"/>
      <c r="AC27" s="5">
        <v>1</v>
      </c>
      <c r="AD27" s="5"/>
    </row>
    <row r="28" spans="1:30" ht="31.5" x14ac:dyDescent="0.25">
      <c r="A28" s="1">
        <v>27</v>
      </c>
      <c r="B28" s="2" t="s">
        <v>59</v>
      </c>
      <c r="C28" s="2"/>
      <c r="D28" s="2"/>
      <c r="E28" s="2" t="s">
        <v>60</v>
      </c>
      <c r="F28" s="2"/>
      <c r="G28" s="3" t="s">
        <v>182</v>
      </c>
      <c r="H28" s="4" t="s">
        <v>183</v>
      </c>
      <c r="I28" s="5"/>
      <c r="J28" s="2">
        <v>2</v>
      </c>
      <c r="K28" s="6">
        <v>2</v>
      </c>
      <c r="L28" s="24">
        <v>2</v>
      </c>
      <c r="M28" s="25"/>
      <c r="N28" s="26"/>
      <c r="O28" s="27"/>
      <c r="P28" s="5"/>
      <c r="Q28" s="5"/>
      <c r="R28" s="2">
        <v>0</v>
      </c>
      <c r="S28" s="2">
        <v>0</v>
      </c>
      <c r="T28" s="5"/>
      <c r="U28" s="5"/>
      <c r="V28" s="11">
        <f t="shared" si="0"/>
        <v>30</v>
      </c>
      <c r="W28" s="12">
        <f t="shared" si="1"/>
        <v>0</v>
      </c>
      <c r="X28" s="13">
        <f t="shared" si="2"/>
        <v>0</v>
      </c>
      <c r="Y28" s="14">
        <f t="shared" si="5"/>
        <v>0</v>
      </c>
      <c r="Z28" s="15">
        <f t="shared" si="3"/>
        <v>60</v>
      </c>
      <c r="AA28" s="15">
        <f t="shared" si="4"/>
        <v>10</v>
      </c>
      <c r="AB28" s="5"/>
      <c r="AC28" s="5">
        <v>1</v>
      </c>
      <c r="AD28" s="5"/>
    </row>
    <row r="29" spans="1:30" ht="31.5" x14ac:dyDescent="0.25">
      <c r="A29" s="1">
        <v>28</v>
      </c>
      <c r="B29" s="2" t="s">
        <v>59</v>
      </c>
      <c r="C29" s="2"/>
      <c r="D29" s="2"/>
      <c r="E29" s="2" t="s">
        <v>60</v>
      </c>
      <c r="F29" s="2"/>
      <c r="G29" s="3" t="s">
        <v>184</v>
      </c>
      <c r="H29" s="4" t="s">
        <v>185</v>
      </c>
      <c r="I29" s="5"/>
      <c r="J29" s="2">
        <v>6</v>
      </c>
      <c r="K29" s="6">
        <v>3</v>
      </c>
      <c r="L29" s="24">
        <v>2</v>
      </c>
      <c r="M29" s="25">
        <v>1</v>
      </c>
      <c r="N29" s="26"/>
      <c r="O29" s="27"/>
      <c r="P29" s="5" t="s">
        <v>26</v>
      </c>
      <c r="Q29" s="5"/>
      <c r="R29" s="2">
        <v>0</v>
      </c>
      <c r="S29" s="2">
        <v>0</v>
      </c>
      <c r="T29" s="5"/>
      <c r="U29" s="5"/>
      <c r="V29" s="11">
        <f t="shared" si="0"/>
        <v>30</v>
      </c>
      <c r="W29" s="12">
        <f t="shared" si="1"/>
        <v>30</v>
      </c>
      <c r="X29" s="13">
        <f t="shared" si="2"/>
        <v>0</v>
      </c>
      <c r="Y29" s="14">
        <f t="shared" si="5"/>
        <v>0</v>
      </c>
      <c r="Z29" s="15">
        <f t="shared" si="3"/>
        <v>75</v>
      </c>
      <c r="AA29" s="15">
        <f t="shared" si="4"/>
        <v>15</v>
      </c>
      <c r="AB29" s="5"/>
      <c r="AC29" s="5">
        <v>1</v>
      </c>
      <c r="AD29" s="5"/>
    </row>
    <row r="30" spans="1:30" ht="31.5" x14ac:dyDescent="0.25">
      <c r="A30" s="1">
        <v>29</v>
      </c>
      <c r="B30" s="2" t="s">
        <v>59</v>
      </c>
      <c r="C30" s="2"/>
      <c r="D30" s="2"/>
      <c r="E30" s="2" t="s">
        <v>60</v>
      </c>
      <c r="F30" s="2"/>
      <c r="G30" s="3" t="s">
        <v>186</v>
      </c>
      <c r="H30" s="4" t="s">
        <v>187</v>
      </c>
      <c r="I30" s="5"/>
      <c r="J30" s="2">
        <v>5</v>
      </c>
      <c r="K30" s="6">
        <v>3</v>
      </c>
      <c r="L30" s="24">
        <v>2</v>
      </c>
      <c r="M30" s="25">
        <v>1</v>
      </c>
      <c r="N30" s="26"/>
      <c r="O30" s="27"/>
      <c r="P30" s="5" t="s">
        <v>26</v>
      </c>
      <c r="Q30" s="5"/>
      <c r="R30" s="2">
        <v>0</v>
      </c>
      <c r="S30" s="2">
        <v>0</v>
      </c>
      <c r="T30" s="3" t="s">
        <v>144</v>
      </c>
      <c r="U30" s="5" t="s">
        <v>112</v>
      </c>
      <c r="V30" s="11">
        <f t="shared" si="0"/>
        <v>30</v>
      </c>
      <c r="W30" s="12">
        <f t="shared" si="1"/>
        <v>30</v>
      </c>
      <c r="X30" s="13">
        <f t="shared" si="2"/>
        <v>0</v>
      </c>
      <c r="Y30" s="14">
        <f t="shared" si="5"/>
        <v>0</v>
      </c>
      <c r="Z30" s="15">
        <f t="shared" si="3"/>
        <v>75</v>
      </c>
      <c r="AA30" s="15">
        <f t="shared" si="4"/>
        <v>15</v>
      </c>
      <c r="AB30" s="5"/>
      <c r="AC30" s="5">
        <v>1</v>
      </c>
      <c r="AD30" s="5"/>
    </row>
    <row r="31" spans="1:30" ht="31.5" x14ac:dyDescent="0.25">
      <c r="A31" s="1">
        <v>30</v>
      </c>
      <c r="B31" s="2" t="s">
        <v>59</v>
      </c>
      <c r="C31" s="2"/>
      <c r="D31" s="2"/>
      <c r="E31" s="2" t="s">
        <v>60</v>
      </c>
      <c r="F31" s="2"/>
      <c r="G31" s="3" t="s">
        <v>139</v>
      </c>
      <c r="H31" s="4" t="s">
        <v>140</v>
      </c>
      <c r="I31" s="5"/>
      <c r="J31" s="2">
        <v>4</v>
      </c>
      <c r="K31" s="6">
        <v>2</v>
      </c>
      <c r="L31" s="24">
        <v>1</v>
      </c>
      <c r="M31" s="25">
        <v>1</v>
      </c>
      <c r="N31" s="26"/>
      <c r="O31" s="27"/>
      <c r="P31" s="5" t="s">
        <v>26</v>
      </c>
      <c r="Q31" s="5"/>
      <c r="R31" s="2">
        <v>0</v>
      </c>
      <c r="S31" s="2">
        <v>0</v>
      </c>
      <c r="T31" s="5"/>
      <c r="U31" s="5"/>
      <c r="V31" s="11">
        <f t="shared" si="0"/>
        <v>15</v>
      </c>
      <c r="W31" s="12">
        <f t="shared" si="1"/>
        <v>30</v>
      </c>
      <c r="X31" s="13">
        <f t="shared" si="2"/>
        <v>0</v>
      </c>
      <c r="Y31" s="14">
        <f t="shared" si="5"/>
        <v>0</v>
      </c>
      <c r="Z31" s="15">
        <f t="shared" si="3"/>
        <v>45</v>
      </c>
      <c r="AA31" s="15">
        <f t="shared" si="4"/>
        <v>10</v>
      </c>
      <c r="AB31" s="5"/>
      <c r="AC31" s="5">
        <v>1</v>
      </c>
      <c r="AD31" s="5"/>
    </row>
    <row r="32" spans="1:30" ht="31.5" x14ac:dyDescent="0.25">
      <c r="A32" s="1">
        <v>31</v>
      </c>
      <c r="B32" s="2" t="s">
        <v>59</v>
      </c>
      <c r="C32" s="2"/>
      <c r="D32" s="2"/>
      <c r="E32" s="2" t="s">
        <v>60</v>
      </c>
      <c r="F32" s="2"/>
      <c r="G32" s="3" t="s">
        <v>188</v>
      </c>
      <c r="H32" s="4" t="s">
        <v>189</v>
      </c>
      <c r="I32" s="5"/>
      <c r="J32" s="2">
        <v>5</v>
      </c>
      <c r="K32" s="6">
        <v>3</v>
      </c>
      <c r="L32" s="24">
        <v>2</v>
      </c>
      <c r="M32" s="25">
        <v>1</v>
      </c>
      <c r="N32" s="26"/>
      <c r="O32" s="27"/>
      <c r="P32" s="5" t="s">
        <v>26</v>
      </c>
      <c r="Q32" s="5"/>
      <c r="R32" s="2">
        <v>0</v>
      </c>
      <c r="S32" s="2">
        <v>0</v>
      </c>
      <c r="T32" s="5"/>
      <c r="U32" s="5"/>
      <c r="V32" s="11">
        <f t="shared" si="0"/>
        <v>30</v>
      </c>
      <c r="W32" s="12">
        <f t="shared" si="1"/>
        <v>30</v>
      </c>
      <c r="X32" s="13">
        <f t="shared" si="2"/>
        <v>0</v>
      </c>
      <c r="Y32" s="14">
        <f t="shared" si="5"/>
        <v>0</v>
      </c>
      <c r="Z32" s="15">
        <f t="shared" si="3"/>
        <v>75</v>
      </c>
      <c r="AA32" s="15">
        <f t="shared" si="4"/>
        <v>15</v>
      </c>
      <c r="AB32" s="5"/>
      <c r="AC32" s="5">
        <v>1</v>
      </c>
      <c r="AD32" s="5"/>
    </row>
    <row r="33" spans="1:30" ht="31.5" x14ac:dyDescent="0.25">
      <c r="A33" s="1">
        <v>32</v>
      </c>
      <c r="B33" s="2" t="s">
        <v>59</v>
      </c>
      <c r="C33" s="2"/>
      <c r="D33" s="2"/>
      <c r="E33" s="2" t="s">
        <v>60</v>
      </c>
      <c r="F33" s="2"/>
      <c r="G33" s="3" t="s">
        <v>142</v>
      </c>
      <c r="H33" s="4" t="s">
        <v>74</v>
      </c>
      <c r="I33" s="5"/>
      <c r="J33" s="2">
        <v>3</v>
      </c>
      <c r="K33" s="6">
        <v>3</v>
      </c>
      <c r="L33" s="24">
        <v>3</v>
      </c>
      <c r="M33" s="25"/>
      <c r="N33" s="26"/>
      <c r="O33" s="27"/>
      <c r="P33" s="5"/>
      <c r="Q33" s="5"/>
      <c r="R33" s="2">
        <v>0</v>
      </c>
      <c r="S33" s="2">
        <v>0</v>
      </c>
      <c r="T33" s="5"/>
      <c r="U33" s="5"/>
      <c r="V33" s="11">
        <f t="shared" si="0"/>
        <v>45</v>
      </c>
      <c r="W33" s="12">
        <f t="shared" si="1"/>
        <v>0</v>
      </c>
      <c r="X33" s="13">
        <f t="shared" si="2"/>
        <v>0</v>
      </c>
      <c r="Y33" s="14">
        <f t="shared" si="5"/>
        <v>0</v>
      </c>
      <c r="Z33" s="15">
        <f t="shared" si="3"/>
        <v>90</v>
      </c>
      <c r="AA33" s="15">
        <f t="shared" si="4"/>
        <v>15</v>
      </c>
      <c r="AB33" s="5"/>
      <c r="AC33" s="5">
        <v>1</v>
      </c>
      <c r="AD33" s="5"/>
    </row>
    <row r="34" spans="1:30" ht="31.5" x14ac:dyDescent="0.25">
      <c r="A34" s="1">
        <v>33</v>
      </c>
      <c r="B34" s="2" t="s">
        <v>59</v>
      </c>
      <c r="C34" s="2"/>
      <c r="D34" s="2"/>
      <c r="E34" s="2" t="s">
        <v>60</v>
      </c>
      <c r="F34" s="2"/>
      <c r="G34" s="3" t="s">
        <v>176</v>
      </c>
      <c r="H34" s="4" t="s">
        <v>190</v>
      </c>
      <c r="I34" s="5"/>
      <c r="J34" s="2">
        <v>4</v>
      </c>
      <c r="K34" s="6">
        <v>3</v>
      </c>
      <c r="L34" s="24">
        <v>2</v>
      </c>
      <c r="M34" s="25">
        <v>1</v>
      </c>
      <c r="N34" s="26"/>
      <c r="O34" s="27"/>
      <c r="P34" s="5" t="s">
        <v>26</v>
      </c>
      <c r="Q34" s="5"/>
      <c r="R34" s="2">
        <v>0</v>
      </c>
      <c r="S34" s="2">
        <v>0</v>
      </c>
      <c r="T34" s="3" t="s">
        <v>278</v>
      </c>
      <c r="U34" s="5" t="s">
        <v>112</v>
      </c>
      <c r="V34" s="11">
        <f t="shared" si="0"/>
        <v>30</v>
      </c>
      <c r="W34" s="12">
        <f t="shared" si="1"/>
        <v>30</v>
      </c>
      <c r="X34" s="13">
        <f t="shared" si="2"/>
        <v>0</v>
      </c>
      <c r="Y34" s="14">
        <f t="shared" si="5"/>
        <v>0</v>
      </c>
      <c r="Z34" s="15">
        <f t="shared" si="3"/>
        <v>75</v>
      </c>
      <c r="AA34" s="15">
        <f t="shared" si="4"/>
        <v>15</v>
      </c>
      <c r="AB34" s="5"/>
      <c r="AC34" s="5">
        <v>1</v>
      </c>
      <c r="AD34" s="5"/>
    </row>
    <row r="35" spans="1:30" ht="31.5" x14ac:dyDescent="0.25">
      <c r="A35" s="1">
        <v>34</v>
      </c>
      <c r="B35" s="2" t="s">
        <v>59</v>
      </c>
      <c r="C35" s="2"/>
      <c r="D35" s="2"/>
      <c r="E35" s="2" t="s">
        <v>60</v>
      </c>
      <c r="F35" s="2"/>
      <c r="G35" s="3" t="s">
        <v>144</v>
      </c>
      <c r="H35" s="4" t="s">
        <v>82</v>
      </c>
      <c r="I35" s="5"/>
      <c r="J35" s="2">
        <v>4</v>
      </c>
      <c r="K35" s="6">
        <v>3</v>
      </c>
      <c r="L35" s="24">
        <v>2</v>
      </c>
      <c r="M35" s="25">
        <v>1</v>
      </c>
      <c r="N35" s="26"/>
      <c r="O35" s="27"/>
      <c r="P35" s="5" t="s">
        <v>26</v>
      </c>
      <c r="Q35" s="5"/>
      <c r="R35" s="2">
        <v>0</v>
      </c>
      <c r="S35" s="2">
        <v>0</v>
      </c>
      <c r="T35" s="5"/>
      <c r="U35" s="5"/>
      <c r="V35" s="11">
        <f t="shared" si="0"/>
        <v>30</v>
      </c>
      <c r="W35" s="12">
        <f t="shared" si="1"/>
        <v>30</v>
      </c>
      <c r="X35" s="13">
        <f t="shared" si="2"/>
        <v>0</v>
      </c>
      <c r="Y35" s="14">
        <f t="shared" si="5"/>
        <v>0</v>
      </c>
      <c r="Z35" s="15">
        <f t="shared" si="3"/>
        <v>75</v>
      </c>
      <c r="AA35" s="15">
        <f t="shared" si="4"/>
        <v>15</v>
      </c>
      <c r="AB35" s="5"/>
      <c r="AC35" s="5">
        <v>1</v>
      </c>
      <c r="AD35" s="5"/>
    </row>
    <row r="36" spans="1:30" ht="31.5" x14ac:dyDescent="0.25">
      <c r="A36" s="1">
        <v>35</v>
      </c>
      <c r="B36" s="2" t="s">
        <v>59</v>
      </c>
      <c r="C36" s="2"/>
      <c r="D36" s="2"/>
      <c r="E36" s="2" t="s">
        <v>60</v>
      </c>
      <c r="F36" s="2"/>
      <c r="G36" s="3" t="s">
        <v>145</v>
      </c>
      <c r="H36" s="4" t="s">
        <v>88</v>
      </c>
      <c r="I36" s="5"/>
      <c r="J36" s="2">
        <v>5</v>
      </c>
      <c r="K36" s="6">
        <v>3</v>
      </c>
      <c r="L36" s="24">
        <v>3</v>
      </c>
      <c r="M36" s="25"/>
      <c r="N36" s="26"/>
      <c r="O36" s="27"/>
      <c r="P36" s="5"/>
      <c r="Q36" s="5"/>
      <c r="R36" s="2">
        <v>0</v>
      </c>
      <c r="S36" s="2">
        <v>0</v>
      </c>
      <c r="T36" s="5"/>
      <c r="U36" s="5"/>
      <c r="V36" s="11">
        <f t="shared" si="0"/>
        <v>45</v>
      </c>
      <c r="W36" s="12">
        <f t="shared" si="1"/>
        <v>0</v>
      </c>
      <c r="X36" s="13">
        <f t="shared" si="2"/>
        <v>0</v>
      </c>
      <c r="Y36" s="14">
        <f t="shared" si="5"/>
        <v>0</v>
      </c>
      <c r="Z36" s="15">
        <f t="shared" si="3"/>
        <v>90</v>
      </c>
      <c r="AA36" s="15">
        <f t="shared" si="4"/>
        <v>15</v>
      </c>
      <c r="AB36" s="5"/>
      <c r="AC36" s="5">
        <v>1</v>
      </c>
      <c r="AD36" s="5"/>
    </row>
    <row r="37" spans="1:30" ht="31.5" x14ac:dyDescent="0.25">
      <c r="A37" s="1">
        <v>36</v>
      </c>
      <c r="B37" s="2" t="s">
        <v>59</v>
      </c>
      <c r="C37" s="2"/>
      <c r="D37" s="2"/>
      <c r="E37" s="2" t="s">
        <v>60</v>
      </c>
      <c r="F37" s="2"/>
      <c r="G37" s="3" t="s">
        <v>191</v>
      </c>
      <c r="H37" s="4" t="s">
        <v>192</v>
      </c>
      <c r="I37" s="5"/>
      <c r="J37" s="2">
        <v>6</v>
      </c>
      <c r="K37" s="6">
        <v>5</v>
      </c>
      <c r="L37" s="24">
        <v>1</v>
      </c>
      <c r="M37" s="25"/>
      <c r="N37" s="26">
        <v>4</v>
      </c>
      <c r="O37" s="27"/>
      <c r="P37" s="5"/>
      <c r="Q37" s="5"/>
      <c r="R37" s="2">
        <v>0</v>
      </c>
      <c r="S37" s="2">
        <v>0</v>
      </c>
      <c r="T37" s="5"/>
      <c r="U37" s="5"/>
      <c r="V37" s="11">
        <f t="shared" si="0"/>
        <v>15</v>
      </c>
      <c r="W37" s="12">
        <f t="shared" si="1"/>
        <v>0</v>
      </c>
      <c r="X37" s="13">
        <f t="shared" si="2"/>
        <v>60</v>
      </c>
      <c r="Y37" s="14">
        <f t="shared" si="5"/>
        <v>0</v>
      </c>
      <c r="Z37" s="15">
        <f t="shared" si="3"/>
        <v>210</v>
      </c>
      <c r="AA37" s="15">
        <f t="shared" si="4"/>
        <v>25</v>
      </c>
      <c r="AB37" s="5"/>
      <c r="AC37" s="5">
        <v>1</v>
      </c>
      <c r="AD37" s="5"/>
    </row>
    <row r="38" spans="1:30" ht="31.5" x14ac:dyDescent="0.25">
      <c r="A38" s="1">
        <v>37</v>
      </c>
      <c r="B38" s="2" t="s">
        <v>59</v>
      </c>
      <c r="C38" s="2"/>
      <c r="D38" s="2"/>
      <c r="E38" s="2" t="s">
        <v>60</v>
      </c>
      <c r="F38" s="2"/>
      <c r="G38" s="3" t="s">
        <v>98</v>
      </c>
      <c r="H38" s="4" t="s">
        <v>99</v>
      </c>
      <c r="I38" s="5"/>
      <c r="J38" s="2">
        <v>5</v>
      </c>
      <c r="K38" s="6">
        <v>2</v>
      </c>
      <c r="L38" s="24">
        <v>2</v>
      </c>
      <c r="M38" s="25"/>
      <c r="N38" s="26"/>
      <c r="O38" s="27"/>
      <c r="P38" s="5"/>
      <c r="Q38" s="5"/>
      <c r="R38" s="2">
        <v>0</v>
      </c>
      <c r="S38" s="2">
        <v>0</v>
      </c>
      <c r="T38" s="5"/>
      <c r="U38" s="5"/>
      <c r="V38" s="11">
        <f t="shared" si="0"/>
        <v>30</v>
      </c>
      <c r="W38" s="12">
        <f t="shared" si="1"/>
        <v>0</v>
      </c>
      <c r="X38" s="13">
        <f t="shared" si="2"/>
        <v>0</v>
      </c>
      <c r="Y38" s="14">
        <f t="shared" si="5"/>
        <v>0</v>
      </c>
      <c r="Z38" s="15">
        <f t="shared" si="3"/>
        <v>60</v>
      </c>
      <c r="AA38" s="15">
        <f t="shared" si="4"/>
        <v>10</v>
      </c>
      <c r="AB38" s="5"/>
      <c r="AC38" s="5">
        <v>1</v>
      </c>
      <c r="AD38" s="5"/>
    </row>
    <row r="39" spans="1:30" ht="31.5" x14ac:dyDescent="0.25">
      <c r="A39" s="1">
        <v>38</v>
      </c>
      <c r="B39" s="2" t="s">
        <v>59</v>
      </c>
      <c r="C39" s="2"/>
      <c r="D39" s="2"/>
      <c r="E39" s="2" t="s">
        <v>60</v>
      </c>
      <c r="F39" s="2"/>
      <c r="G39" s="3" t="s">
        <v>193</v>
      </c>
      <c r="H39" s="4" t="s">
        <v>194</v>
      </c>
      <c r="I39" s="5"/>
      <c r="J39" s="2">
        <v>4</v>
      </c>
      <c r="K39" s="6">
        <v>3</v>
      </c>
      <c r="L39" s="24">
        <v>2</v>
      </c>
      <c r="M39" s="25">
        <v>1</v>
      </c>
      <c r="N39" s="26"/>
      <c r="O39" s="27"/>
      <c r="P39" s="5" t="s">
        <v>26</v>
      </c>
      <c r="Q39" s="5"/>
      <c r="R39" s="2">
        <v>0</v>
      </c>
      <c r="S39" s="2">
        <v>0</v>
      </c>
      <c r="T39" s="3" t="s">
        <v>176</v>
      </c>
      <c r="U39" s="5" t="s">
        <v>112</v>
      </c>
      <c r="V39" s="11">
        <f t="shared" si="0"/>
        <v>30</v>
      </c>
      <c r="W39" s="12">
        <f t="shared" si="1"/>
        <v>30</v>
      </c>
      <c r="X39" s="13">
        <f t="shared" si="2"/>
        <v>0</v>
      </c>
      <c r="Y39" s="14">
        <f t="shared" si="5"/>
        <v>0</v>
      </c>
      <c r="Z39" s="15">
        <f t="shared" si="3"/>
        <v>75</v>
      </c>
      <c r="AA39" s="15">
        <f t="shared" si="4"/>
        <v>15</v>
      </c>
      <c r="AB39" s="5"/>
      <c r="AC39" s="5">
        <v>1</v>
      </c>
      <c r="AD39" s="5"/>
    </row>
    <row r="40" spans="1:30" ht="31.5" x14ac:dyDescent="0.25">
      <c r="A40" s="1">
        <v>39</v>
      </c>
      <c r="B40" s="2" t="s">
        <v>59</v>
      </c>
      <c r="C40" s="2"/>
      <c r="D40" s="2"/>
      <c r="E40" s="2" t="s">
        <v>60</v>
      </c>
      <c r="F40" s="2"/>
      <c r="G40" s="3" t="s">
        <v>195</v>
      </c>
      <c r="H40" s="4" t="s">
        <v>196</v>
      </c>
      <c r="I40" s="5"/>
      <c r="J40" s="2">
        <v>4</v>
      </c>
      <c r="K40" s="6">
        <v>2</v>
      </c>
      <c r="L40" s="24">
        <v>2</v>
      </c>
      <c r="M40" s="25"/>
      <c r="N40" s="26"/>
      <c r="O40" s="27"/>
      <c r="P40" s="5"/>
      <c r="Q40" s="5"/>
      <c r="R40" s="2">
        <v>0</v>
      </c>
      <c r="S40" s="2">
        <v>0</v>
      </c>
      <c r="T40" s="5"/>
      <c r="U40" s="5"/>
      <c r="V40" s="11">
        <f t="shared" si="0"/>
        <v>30</v>
      </c>
      <c r="W40" s="12">
        <f t="shared" si="1"/>
        <v>0</v>
      </c>
      <c r="X40" s="13">
        <f t="shared" si="2"/>
        <v>0</v>
      </c>
      <c r="Y40" s="14">
        <f t="shared" si="5"/>
        <v>0</v>
      </c>
      <c r="Z40" s="15">
        <f t="shared" si="3"/>
        <v>60</v>
      </c>
      <c r="AA40" s="15">
        <f t="shared" si="4"/>
        <v>10</v>
      </c>
      <c r="AB40" s="5"/>
      <c r="AC40" s="5">
        <v>1</v>
      </c>
      <c r="AD40" s="5"/>
    </row>
    <row r="41" spans="1:30" ht="31.5" x14ac:dyDescent="0.25">
      <c r="A41" s="1">
        <v>40</v>
      </c>
      <c r="B41" s="2" t="s">
        <v>59</v>
      </c>
      <c r="C41" s="2"/>
      <c r="D41" s="2"/>
      <c r="E41" s="2" t="s">
        <v>60</v>
      </c>
      <c r="F41" s="2"/>
      <c r="G41" s="3" t="s">
        <v>137</v>
      </c>
      <c r="H41" s="4" t="s">
        <v>138</v>
      </c>
      <c r="I41" s="5"/>
      <c r="J41" s="2">
        <v>5</v>
      </c>
      <c r="K41" s="6">
        <v>4</v>
      </c>
      <c r="L41" s="24">
        <v>3</v>
      </c>
      <c r="M41" s="25">
        <v>1</v>
      </c>
      <c r="N41" s="26"/>
      <c r="O41" s="27"/>
      <c r="P41" s="5" t="s">
        <v>26</v>
      </c>
      <c r="Q41" s="5"/>
      <c r="R41" s="2">
        <v>0</v>
      </c>
      <c r="S41" s="2">
        <v>0</v>
      </c>
      <c r="T41" s="3" t="s">
        <v>278</v>
      </c>
      <c r="U41" s="5" t="s">
        <v>112</v>
      </c>
      <c r="V41" s="11">
        <f t="shared" si="0"/>
        <v>45</v>
      </c>
      <c r="W41" s="12">
        <f t="shared" si="1"/>
        <v>30</v>
      </c>
      <c r="X41" s="13">
        <f t="shared" si="2"/>
        <v>0</v>
      </c>
      <c r="Y41" s="14">
        <f t="shared" si="5"/>
        <v>0</v>
      </c>
      <c r="Z41" s="15">
        <f t="shared" si="3"/>
        <v>105</v>
      </c>
      <c r="AA41" s="15">
        <f t="shared" si="4"/>
        <v>20</v>
      </c>
      <c r="AB41" s="5"/>
      <c r="AC41" s="5">
        <v>1</v>
      </c>
      <c r="AD41" s="5"/>
    </row>
    <row r="42" spans="1:30" ht="31.5" x14ac:dyDescent="0.25">
      <c r="A42" s="1">
        <v>41</v>
      </c>
      <c r="B42" s="2" t="s">
        <v>197</v>
      </c>
      <c r="C42" s="2" t="s">
        <v>198</v>
      </c>
      <c r="D42" s="2" t="s">
        <v>90</v>
      </c>
      <c r="E42" s="2" t="s">
        <v>60</v>
      </c>
      <c r="F42" s="2"/>
      <c r="G42" s="3" t="s">
        <v>199</v>
      </c>
      <c r="H42" s="4" t="s">
        <v>200</v>
      </c>
      <c r="I42" s="5"/>
      <c r="J42" s="2">
        <v>8</v>
      </c>
      <c r="K42" s="6">
        <v>3</v>
      </c>
      <c r="L42" s="24">
        <v>2</v>
      </c>
      <c r="M42" s="25">
        <v>1</v>
      </c>
      <c r="N42" s="26"/>
      <c r="O42" s="27"/>
      <c r="P42" s="5" t="s">
        <v>26</v>
      </c>
      <c r="Q42" s="5"/>
      <c r="R42" s="2">
        <v>1</v>
      </c>
      <c r="S42" s="2">
        <v>0</v>
      </c>
      <c r="T42" s="3" t="s">
        <v>287</v>
      </c>
      <c r="U42" s="5" t="s">
        <v>112</v>
      </c>
      <c r="V42" s="11">
        <f t="shared" si="0"/>
        <v>30</v>
      </c>
      <c r="W42" s="12">
        <f t="shared" si="1"/>
        <v>30</v>
      </c>
      <c r="X42" s="13">
        <f t="shared" si="2"/>
        <v>0</v>
      </c>
      <c r="Y42" s="14">
        <f t="shared" si="5"/>
        <v>0</v>
      </c>
      <c r="Z42" s="15">
        <f t="shared" si="3"/>
        <v>75</v>
      </c>
      <c r="AA42" s="15">
        <f t="shared" si="4"/>
        <v>15</v>
      </c>
      <c r="AB42" s="5"/>
      <c r="AC42" s="5">
        <v>1</v>
      </c>
      <c r="AD42" s="5"/>
    </row>
    <row r="43" spans="1:30" ht="31.5" x14ac:dyDescent="0.25">
      <c r="A43" s="1">
        <v>42</v>
      </c>
      <c r="B43" s="2" t="s">
        <v>197</v>
      </c>
      <c r="C43" s="2" t="s">
        <v>198</v>
      </c>
      <c r="D43" s="2" t="s">
        <v>90</v>
      </c>
      <c r="E43" s="2" t="s">
        <v>60</v>
      </c>
      <c r="F43" s="2"/>
      <c r="G43" s="3" t="s">
        <v>160</v>
      </c>
      <c r="H43" s="4" t="s">
        <v>201</v>
      </c>
      <c r="I43" s="5"/>
      <c r="J43" s="2">
        <v>7</v>
      </c>
      <c r="K43" s="6">
        <v>3</v>
      </c>
      <c r="L43" s="24">
        <v>2</v>
      </c>
      <c r="M43" s="25">
        <v>1</v>
      </c>
      <c r="N43" s="26"/>
      <c r="O43" s="27"/>
      <c r="P43" s="5" t="s">
        <v>26</v>
      </c>
      <c r="Q43" s="5"/>
      <c r="R43" s="2">
        <v>1</v>
      </c>
      <c r="S43" s="2">
        <v>0</v>
      </c>
      <c r="T43" s="3" t="s">
        <v>280</v>
      </c>
      <c r="U43" s="5" t="s">
        <v>112</v>
      </c>
      <c r="V43" s="11">
        <f t="shared" si="0"/>
        <v>30</v>
      </c>
      <c r="W43" s="12">
        <f t="shared" si="1"/>
        <v>30</v>
      </c>
      <c r="X43" s="13">
        <f t="shared" si="2"/>
        <v>0</v>
      </c>
      <c r="Y43" s="14">
        <f t="shared" si="5"/>
        <v>0</v>
      </c>
      <c r="Z43" s="15">
        <f t="shared" si="3"/>
        <v>75</v>
      </c>
      <c r="AA43" s="15">
        <f t="shared" si="4"/>
        <v>15</v>
      </c>
      <c r="AB43" s="5"/>
      <c r="AC43" s="5">
        <v>1</v>
      </c>
      <c r="AD43" s="5"/>
    </row>
    <row r="44" spans="1:30" ht="31.5" x14ac:dyDescent="0.25">
      <c r="A44" s="1">
        <v>43</v>
      </c>
      <c r="B44" s="2" t="s">
        <v>197</v>
      </c>
      <c r="C44" s="2" t="s">
        <v>198</v>
      </c>
      <c r="D44" s="2" t="s">
        <v>90</v>
      </c>
      <c r="E44" s="2" t="s">
        <v>60</v>
      </c>
      <c r="F44" s="2"/>
      <c r="G44" s="3" t="s">
        <v>243</v>
      </c>
      <c r="H44" s="4" t="s">
        <v>157</v>
      </c>
      <c r="I44" s="5"/>
      <c r="J44" s="2">
        <v>8</v>
      </c>
      <c r="K44" s="6">
        <v>3</v>
      </c>
      <c r="L44" s="24">
        <v>2</v>
      </c>
      <c r="M44" s="25">
        <v>1</v>
      </c>
      <c r="N44" s="26"/>
      <c r="O44" s="27"/>
      <c r="P44" s="5" t="s">
        <v>26</v>
      </c>
      <c r="Q44" s="5"/>
      <c r="R44" s="2">
        <v>1</v>
      </c>
      <c r="S44" s="2">
        <v>0</v>
      </c>
      <c r="T44" s="3"/>
      <c r="U44" s="5"/>
      <c r="V44" s="11">
        <f t="shared" si="0"/>
        <v>30</v>
      </c>
      <c r="W44" s="12">
        <f t="shared" si="1"/>
        <v>30</v>
      </c>
      <c r="X44" s="13">
        <f t="shared" si="2"/>
        <v>0</v>
      </c>
      <c r="Y44" s="14">
        <f t="shared" si="5"/>
        <v>0</v>
      </c>
      <c r="Z44" s="15">
        <f t="shared" si="3"/>
        <v>75</v>
      </c>
      <c r="AA44" s="15">
        <f t="shared" si="4"/>
        <v>15</v>
      </c>
      <c r="AB44" s="5"/>
      <c r="AC44" s="5">
        <v>1</v>
      </c>
      <c r="AD44" s="5"/>
    </row>
    <row r="45" spans="1:30" ht="31.5" x14ac:dyDescent="0.25">
      <c r="A45" s="1">
        <v>44</v>
      </c>
      <c r="B45" s="2" t="s">
        <v>197</v>
      </c>
      <c r="C45" s="2" t="s">
        <v>198</v>
      </c>
      <c r="D45" s="2" t="s">
        <v>90</v>
      </c>
      <c r="E45" s="2" t="s">
        <v>60</v>
      </c>
      <c r="F45" s="2"/>
      <c r="G45" s="3" t="s">
        <v>202</v>
      </c>
      <c r="H45" s="4" t="s">
        <v>203</v>
      </c>
      <c r="I45" s="5"/>
      <c r="J45" s="2">
        <v>8</v>
      </c>
      <c r="K45" s="6">
        <v>4</v>
      </c>
      <c r="L45" s="24">
        <v>3</v>
      </c>
      <c r="M45" s="25">
        <v>1</v>
      </c>
      <c r="N45" s="26"/>
      <c r="O45" s="27"/>
      <c r="P45" s="5" t="s">
        <v>26</v>
      </c>
      <c r="Q45" s="5"/>
      <c r="R45" s="2">
        <v>1</v>
      </c>
      <c r="S45" s="2">
        <v>0</v>
      </c>
      <c r="T45" s="3" t="s">
        <v>176</v>
      </c>
      <c r="U45" s="5" t="s">
        <v>112</v>
      </c>
      <c r="V45" s="11">
        <f t="shared" si="0"/>
        <v>45</v>
      </c>
      <c r="W45" s="12">
        <f t="shared" si="1"/>
        <v>30</v>
      </c>
      <c r="X45" s="13">
        <f t="shared" si="2"/>
        <v>0</v>
      </c>
      <c r="Y45" s="14">
        <f t="shared" si="5"/>
        <v>0</v>
      </c>
      <c r="Z45" s="15">
        <f t="shared" si="3"/>
        <v>105</v>
      </c>
      <c r="AA45" s="15">
        <f t="shared" si="4"/>
        <v>20</v>
      </c>
      <c r="AB45" s="5"/>
      <c r="AC45" s="5">
        <v>1</v>
      </c>
      <c r="AD45" s="5"/>
    </row>
    <row r="46" spans="1:30" ht="31.5" x14ac:dyDescent="0.25">
      <c r="A46" s="1">
        <v>45</v>
      </c>
      <c r="B46" s="2" t="s">
        <v>197</v>
      </c>
      <c r="C46" s="2" t="s">
        <v>198</v>
      </c>
      <c r="D46" s="2" t="s">
        <v>90</v>
      </c>
      <c r="E46" s="2" t="s">
        <v>60</v>
      </c>
      <c r="F46" s="2"/>
      <c r="G46" s="3" t="s">
        <v>204</v>
      </c>
      <c r="H46" s="4" t="s">
        <v>205</v>
      </c>
      <c r="I46" s="5"/>
      <c r="J46" s="2">
        <v>7</v>
      </c>
      <c r="K46" s="6">
        <v>3</v>
      </c>
      <c r="L46" s="24">
        <v>2</v>
      </c>
      <c r="M46" s="25">
        <v>1</v>
      </c>
      <c r="N46" s="26"/>
      <c r="O46" s="27"/>
      <c r="P46" s="5" t="s">
        <v>26</v>
      </c>
      <c r="Q46" s="5"/>
      <c r="R46" s="2">
        <v>1</v>
      </c>
      <c r="S46" s="2">
        <v>0</v>
      </c>
      <c r="T46" s="3"/>
      <c r="U46" s="5"/>
      <c r="V46" s="11">
        <f t="shared" si="0"/>
        <v>30</v>
      </c>
      <c r="W46" s="12">
        <f t="shared" si="1"/>
        <v>30</v>
      </c>
      <c r="X46" s="13">
        <f t="shared" si="2"/>
        <v>0</v>
      </c>
      <c r="Y46" s="14">
        <f t="shared" si="5"/>
        <v>0</v>
      </c>
      <c r="Z46" s="15">
        <f t="shared" si="3"/>
        <v>75</v>
      </c>
      <c r="AA46" s="15">
        <f t="shared" si="4"/>
        <v>15</v>
      </c>
      <c r="AB46" s="5"/>
      <c r="AC46" s="5">
        <v>1</v>
      </c>
      <c r="AD46" s="5"/>
    </row>
    <row r="47" spans="1:30" ht="31.5" x14ac:dyDescent="0.25">
      <c r="A47" s="1">
        <v>46</v>
      </c>
      <c r="B47" s="2" t="s">
        <v>197</v>
      </c>
      <c r="C47" s="2" t="s">
        <v>198</v>
      </c>
      <c r="D47" s="2" t="s">
        <v>90</v>
      </c>
      <c r="E47" s="2" t="s">
        <v>60</v>
      </c>
      <c r="F47" s="2"/>
      <c r="G47" s="3" t="s">
        <v>177</v>
      </c>
      <c r="H47" s="4" t="s">
        <v>206</v>
      </c>
      <c r="I47" s="5"/>
      <c r="J47" s="2">
        <v>7</v>
      </c>
      <c r="K47" s="6">
        <v>4</v>
      </c>
      <c r="L47" s="24">
        <v>3</v>
      </c>
      <c r="M47" s="25">
        <v>1</v>
      </c>
      <c r="N47" s="26"/>
      <c r="O47" s="27"/>
      <c r="P47" s="5" t="s">
        <v>26</v>
      </c>
      <c r="Q47" s="5"/>
      <c r="R47" s="2">
        <v>1</v>
      </c>
      <c r="S47" s="2">
        <v>0</v>
      </c>
      <c r="T47" s="3" t="s">
        <v>281</v>
      </c>
      <c r="U47" s="5" t="s">
        <v>112</v>
      </c>
      <c r="V47" s="11">
        <f t="shared" si="0"/>
        <v>45</v>
      </c>
      <c r="W47" s="12">
        <f t="shared" si="1"/>
        <v>30</v>
      </c>
      <c r="X47" s="13">
        <f t="shared" si="2"/>
        <v>0</v>
      </c>
      <c r="Y47" s="14">
        <f t="shared" si="5"/>
        <v>0</v>
      </c>
      <c r="Z47" s="15">
        <f t="shared" si="3"/>
        <v>105</v>
      </c>
      <c r="AA47" s="15">
        <f t="shared" si="4"/>
        <v>20</v>
      </c>
      <c r="AB47" s="5"/>
      <c r="AC47" s="5">
        <v>1</v>
      </c>
      <c r="AD47" s="5"/>
    </row>
    <row r="48" spans="1:30" ht="31.5" x14ac:dyDescent="0.25">
      <c r="A48" s="1">
        <v>47</v>
      </c>
      <c r="B48" s="2" t="s">
        <v>197</v>
      </c>
      <c r="C48" s="2" t="s">
        <v>198</v>
      </c>
      <c r="D48" s="2" t="s">
        <v>90</v>
      </c>
      <c r="E48" s="2" t="s">
        <v>60</v>
      </c>
      <c r="F48" s="2"/>
      <c r="G48" s="3" t="s">
        <v>207</v>
      </c>
      <c r="H48" s="4" t="s">
        <v>208</v>
      </c>
      <c r="I48" s="5"/>
      <c r="J48" s="2">
        <v>7</v>
      </c>
      <c r="K48" s="6">
        <v>4</v>
      </c>
      <c r="L48" s="24">
        <v>3</v>
      </c>
      <c r="M48" s="25">
        <v>1</v>
      </c>
      <c r="N48" s="26"/>
      <c r="O48" s="27"/>
      <c r="P48" s="5" t="s">
        <v>26</v>
      </c>
      <c r="Q48" s="5"/>
      <c r="R48" s="2">
        <v>1</v>
      </c>
      <c r="S48" s="2">
        <v>0</v>
      </c>
      <c r="T48" s="5"/>
      <c r="U48" s="5"/>
      <c r="V48" s="11">
        <f t="shared" si="0"/>
        <v>45</v>
      </c>
      <c r="W48" s="12">
        <f t="shared" si="1"/>
        <v>30</v>
      </c>
      <c r="X48" s="13">
        <f t="shared" si="2"/>
        <v>0</v>
      </c>
      <c r="Y48" s="14">
        <f t="shared" si="5"/>
        <v>0</v>
      </c>
      <c r="Z48" s="15">
        <f t="shared" si="3"/>
        <v>105</v>
      </c>
      <c r="AA48" s="15">
        <f t="shared" si="4"/>
        <v>20</v>
      </c>
      <c r="AB48" s="5"/>
      <c r="AC48" s="5">
        <v>1</v>
      </c>
      <c r="AD48" s="5"/>
    </row>
    <row r="49" spans="1:30" ht="31.5" x14ac:dyDescent="0.25">
      <c r="A49" s="1">
        <v>48</v>
      </c>
      <c r="B49" s="2" t="s">
        <v>197</v>
      </c>
      <c r="C49" s="2" t="s">
        <v>198</v>
      </c>
      <c r="D49" s="2" t="s">
        <v>90</v>
      </c>
      <c r="E49" s="2" t="s">
        <v>60</v>
      </c>
      <c r="F49" s="2"/>
      <c r="G49" s="3" t="s">
        <v>89</v>
      </c>
      <c r="H49" s="4" t="s">
        <v>90</v>
      </c>
      <c r="I49" s="5"/>
      <c r="J49" s="2">
        <v>7</v>
      </c>
      <c r="K49" s="6">
        <v>2</v>
      </c>
      <c r="L49" s="24">
        <v>2</v>
      </c>
      <c r="M49" s="25"/>
      <c r="N49" s="26"/>
      <c r="O49" s="27"/>
      <c r="P49" s="5"/>
      <c r="Q49" s="5"/>
      <c r="R49" s="2">
        <v>1</v>
      </c>
      <c r="S49" s="2">
        <v>0</v>
      </c>
      <c r="T49" s="5"/>
      <c r="U49" s="5"/>
      <c r="V49" s="11">
        <f t="shared" si="0"/>
        <v>30</v>
      </c>
      <c r="W49" s="12">
        <f t="shared" si="1"/>
        <v>0</v>
      </c>
      <c r="X49" s="13">
        <f t="shared" si="2"/>
        <v>0</v>
      </c>
      <c r="Y49" s="14">
        <f t="shared" si="5"/>
        <v>0</v>
      </c>
      <c r="Z49" s="15">
        <f t="shared" si="3"/>
        <v>60</v>
      </c>
      <c r="AA49" s="15">
        <f t="shared" si="4"/>
        <v>10</v>
      </c>
      <c r="AB49" s="5"/>
      <c r="AC49" s="5">
        <v>1</v>
      </c>
      <c r="AD49" s="5"/>
    </row>
    <row r="50" spans="1:30" ht="31.5" x14ac:dyDescent="0.25">
      <c r="A50" s="1">
        <v>49</v>
      </c>
      <c r="B50" s="2" t="s">
        <v>197</v>
      </c>
      <c r="C50" s="2" t="s">
        <v>198</v>
      </c>
      <c r="D50" s="2" t="s">
        <v>90</v>
      </c>
      <c r="E50" s="2" t="s">
        <v>60</v>
      </c>
      <c r="F50" s="2"/>
      <c r="G50" s="3" t="s">
        <v>148</v>
      </c>
      <c r="H50" s="4" t="s">
        <v>209</v>
      </c>
      <c r="I50" s="5"/>
      <c r="J50" s="2">
        <v>8</v>
      </c>
      <c r="K50" s="6">
        <v>5</v>
      </c>
      <c r="L50" s="24">
        <v>1</v>
      </c>
      <c r="M50" s="25"/>
      <c r="N50" s="26">
        <v>4</v>
      </c>
      <c r="O50" s="27"/>
      <c r="P50" s="5"/>
      <c r="Q50" s="5"/>
      <c r="R50" s="2">
        <v>1</v>
      </c>
      <c r="S50" s="2">
        <v>0</v>
      </c>
      <c r="T50" s="5"/>
      <c r="U50" s="5"/>
      <c r="V50" s="11">
        <f t="shared" si="0"/>
        <v>15</v>
      </c>
      <c r="W50" s="12">
        <f t="shared" si="1"/>
        <v>0</v>
      </c>
      <c r="X50" s="13">
        <f t="shared" si="2"/>
        <v>60</v>
      </c>
      <c r="Y50" s="14">
        <f t="shared" si="5"/>
        <v>0</v>
      </c>
      <c r="Z50" s="15">
        <f t="shared" si="3"/>
        <v>210</v>
      </c>
      <c r="AA50" s="15">
        <f t="shared" si="4"/>
        <v>25</v>
      </c>
      <c r="AB50" s="5"/>
      <c r="AC50" s="5">
        <v>1</v>
      </c>
      <c r="AD50" s="5"/>
    </row>
    <row r="51" spans="1:30" ht="31.5" x14ac:dyDescent="0.25">
      <c r="A51" s="1">
        <v>50</v>
      </c>
      <c r="B51" s="2" t="s">
        <v>197</v>
      </c>
      <c r="C51" s="2" t="s">
        <v>198</v>
      </c>
      <c r="D51" s="2" t="s">
        <v>90</v>
      </c>
      <c r="E51" s="2" t="s">
        <v>60</v>
      </c>
      <c r="F51" s="2"/>
      <c r="G51" s="3" t="s">
        <v>210</v>
      </c>
      <c r="H51" s="4" t="s">
        <v>211</v>
      </c>
      <c r="I51" s="5"/>
      <c r="J51" s="2">
        <v>7</v>
      </c>
      <c r="K51" s="6">
        <v>2</v>
      </c>
      <c r="L51" s="24">
        <v>2</v>
      </c>
      <c r="M51" s="25"/>
      <c r="N51" s="26"/>
      <c r="O51" s="27"/>
      <c r="P51" s="5"/>
      <c r="Q51" s="5"/>
      <c r="R51" s="2">
        <v>1</v>
      </c>
      <c r="S51" s="2">
        <v>0</v>
      </c>
      <c r="T51" s="5"/>
      <c r="U51" s="5"/>
      <c r="V51" s="11">
        <f t="shared" si="0"/>
        <v>30</v>
      </c>
      <c r="W51" s="12">
        <f t="shared" si="1"/>
        <v>0</v>
      </c>
      <c r="X51" s="13">
        <f t="shared" si="2"/>
        <v>0</v>
      </c>
      <c r="Y51" s="14">
        <f t="shared" si="5"/>
        <v>0</v>
      </c>
      <c r="Z51" s="15">
        <f t="shared" si="3"/>
        <v>60</v>
      </c>
      <c r="AA51" s="15">
        <f t="shared" si="4"/>
        <v>10</v>
      </c>
      <c r="AB51" s="5"/>
      <c r="AC51" s="5">
        <v>1</v>
      </c>
      <c r="AD51" s="5"/>
    </row>
    <row r="52" spans="1:30" ht="31.5" x14ac:dyDescent="0.25">
      <c r="A52" s="1">
        <v>51</v>
      </c>
      <c r="B52" s="2" t="s">
        <v>212</v>
      </c>
      <c r="C52" s="2" t="s">
        <v>213</v>
      </c>
      <c r="D52" s="2" t="s">
        <v>214</v>
      </c>
      <c r="E52" s="2" t="s">
        <v>60</v>
      </c>
      <c r="F52" s="2"/>
      <c r="G52" s="3" t="s">
        <v>215</v>
      </c>
      <c r="H52" s="4" t="s">
        <v>216</v>
      </c>
      <c r="I52" s="5"/>
      <c r="J52" s="2">
        <v>7</v>
      </c>
      <c r="K52" s="6">
        <v>3</v>
      </c>
      <c r="L52" s="24">
        <v>2</v>
      </c>
      <c r="M52" s="25">
        <v>1</v>
      </c>
      <c r="N52" s="26"/>
      <c r="O52" s="27"/>
      <c r="P52" s="5" t="s">
        <v>26</v>
      </c>
      <c r="Q52" s="5"/>
      <c r="R52" s="2">
        <v>1</v>
      </c>
      <c r="S52" s="2">
        <v>0</v>
      </c>
      <c r="T52" s="5"/>
      <c r="U52" s="5"/>
      <c r="V52" s="11">
        <f t="shared" si="0"/>
        <v>30</v>
      </c>
      <c r="W52" s="12">
        <f t="shared" si="1"/>
        <v>30</v>
      </c>
      <c r="X52" s="13">
        <f t="shared" si="2"/>
        <v>0</v>
      </c>
      <c r="Y52" s="14">
        <f t="shared" si="5"/>
        <v>0</v>
      </c>
      <c r="Z52" s="15">
        <f t="shared" si="3"/>
        <v>75</v>
      </c>
      <c r="AA52" s="15">
        <f t="shared" si="4"/>
        <v>15</v>
      </c>
      <c r="AB52" s="5"/>
      <c r="AC52" s="5">
        <v>1</v>
      </c>
      <c r="AD52" s="5"/>
    </row>
    <row r="53" spans="1:30" ht="31.5" x14ac:dyDescent="0.25">
      <c r="A53" s="1">
        <v>52</v>
      </c>
      <c r="B53" s="2" t="s">
        <v>212</v>
      </c>
      <c r="C53" s="2" t="s">
        <v>213</v>
      </c>
      <c r="D53" s="2" t="s">
        <v>214</v>
      </c>
      <c r="E53" s="2" t="s">
        <v>60</v>
      </c>
      <c r="F53" s="2"/>
      <c r="G53" s="3" t="s">
        <v>217</v>
      </c>
      <c r="H53" s="4" t="s">
        <v>218</v>
      </c>
      <c r="I53" s="5"/>
      <c r="J53" s="2">
        <v>7</v>
      </c>
      <c r="K53" s="6">
        <v>3</v>
      </c>
      <c r="L53" s="24">
        <v>2</v>
      </c>
      <c r="M53" s="25">
        <v>1</v>
      </c>
      <c r="N53" s="26"/>
      <c r="O53" s="27"/>
      <c r="P53" s="5" t="s">
        <v>26</v>
      </c>
      <c r="Q53" s="5"/>
      <c r="R53" s="2">
        <v>1</v>
      </c>
      <c r="S53" s="2">
        <v>0</v>
      </c>
      <c r="T53" s="5"/>
      <c r="U53" s="5"/>
      <c r="V53" s="11">
        <f t="shared" si="0"/>
        <v>30</v>
      </c>
      <c r="W53" s="12">
        <f t="shared" si="1"/>
        <v>30</v>
      </c>
      <c r="X53" s="13">
        <f t="shared" si="2"/>
        <v>0</v>
      </c>
      <c r="Y53" s="14">
        <f t="shared" si="5"/>
        <v>0</v>
      </c>
      <c r="Z53" s="15">
        <f t="shared" si="3"/>
        <v>75</v>
      </c>
      <c r="AA53" s="15">
        <f t="shared" si="4"/>
        <v>15</v>
      </c>
      <c r="AB53" s="5"/>
      <c r="AC53" s="5">
        <v>1</v>
      </c>
      <c r="AD53" s="5"/>
    </row>
    <row r="54" spans="1:30" ht="31.5" x14ac:dyDescent="0.25">
      <c r="A54" s="1">
        <v>53</v>
      </c>
      <c r="B54" s="2" t="s">
        <v>212</v>
      </c>
      <c r="C54" s="2" t="s">
        <v>213</v>
      </c>
      <c r="D54" s="2" t="s">
        <v>214</v>
      </c>
      <c r="E54" s="2" t="s">
        <v>60</v>
      </c>
      <c r="F54" s="2"/>
      <c r="G54" s="3" t="s">
        <v>219</v>
      </c>
      <c r="H54" s="4" t="s">
        <v>220</v>
      </c>
      <c r="I54" s="5"/>
      <c r="J54" s="2">
        <v>7</v>
      </c>
      <c r="K54" s="6">
        <v>4</v>
      </c>
      <c r="L54" s="24">
        <v>3</v>
      </c>
      <c r="M54" s="25">
        <v>1</v>
      </c>
      <c r="N54" s="26"/>
      <c r="O54" s="27"/>
      <c r="P54" s="5" t="s">
        <v>26</v>
      </c>
      <c r="Q54" s="5"/>
      <c r="R54" s="2">
        <v>1</v>
      </c>
      <c r="S54" s="2">
        <v>0</v>
      </c>
      <c r="T54" s="5"/>
      <c r="U54" s="5"/>
      <c r="V54" s="11">
        <f t="shared" si="0"/>
        <v>45</v>
      </c>
      <c r="W54" s="12">
        <f t="shared" si="1"/>
        <v>30</v>
      </c>
      <c r="X54" s="13">
        <f t="shared" si="2"/>
        <v>0</v>
      </c>
      <c r="Y54" s="14">
        <f t="shared" si="5"/>
        <v>0</v>
      </c>
      <c r="Z54" s="15">
        <f t="shared" si="3"/>
        <v>105</v>
      </c>
      <c r="AA54" s="15">
        <f t="shared" si="4"/>
        <v>20</v>
      </c>
      <c r="AB54" s="5"/>
      <c r="AC54" s="5">
        <v>1</v>
      </c>
      <c r="AD54" s="5"/>
    </row>
    <row r="55" spans="1:30" ht="31.5" x14ac:dyDescent="0.25">
      <c r="A55" s="1">
        <v>54</v>
      </c>
      <c r="B55" s="2" t="s">
        <v>212</v>
      </c>
      <c r="C55" s="2" t="s">
        <v>213</v>
      </c>
      <c r="D55" s="2" t="s">
        <v>214</v>
      </c>
      <c r="E55" s="2" t="s">
        <v>60</v>
      </c>
      <c r="F55" s="2"/>
      <c r="G55" s="3" t="s">
        <v>221</v>
      </c>
      <c r="H55" s="4" t="s">
        <v>222</v>
      </c>
      <c r="I55" s="5"/>
      <c r="J55" s="2">
        <v>8</v>
      </c>
      <c r="K55" s="6">
        <v>4</v>
      </c>
      <c r="L55" s="24">
        <v>3</v>
      </c>
      <c r="M55" s="25">
        <v>1</v>
      </c>
      <c r="N55" s="26"/>
      <c r="O55" s="27"/>
      <c r="P55" s="5" t="s">
        <v>26</v>
      </c>
      <c r="Q55" s="5"/>
      <c r="R55" s="2">
        <v>1</v>
      </c>
      <c r="S55" s="2">
        <v>0</v>
      </c>
      <c r="T55" s="5"/>
      <c r="U55" s="5"/>
      <c r="V55" s="11">
        <f t="shared" si="0"/>
        <v>45</v>
      </c>
      <c r="W55" s="12">
        <f t="shared" si="1"/>
        <v>30</v>
      </c>
      <c r="X55" s="13">
        <f t="shared" si="2"/>
        <v>0</v>
      </c>
      <c r="Y55" s="14">
        <f t="shared" si="5"/>
        <v>0</v>
      </c>
      <c r="Z55" s="15">
        <f t="shared" si="3"/>
        <v>105</v>
      </c>
      <c r="AA55" s="15">
        <f t="shared" si="4"/>
        <v>20</v>
      </c>
      <c r="AB55" s="5"/>
      <c r="AC55" s="5">
        <v>1</v>
      </c>
      <c r="AD55" s="5"/>
    </row>
    <row r="56" spans="1:30" ht="31.5" x14ac:dyDescent="0.25">
      <c r="A56" s="1">
        <v>55</v>
      </c>
      <c r="B56" s="2" t="s">
        <v>212</v>
      </c>
      <c r="C56" s="2" t="s">
        <v>213</v>
      </c>
      <c r="D56" s="2" t="s">
        <v>214</v>
      </c>
      <c r="E56" s="2" t="s">
        <v>60</v>
      </c>
      <c r="F56" s="2"/>
      <c r="G56" s="3" t="s">
        <v>223</v>
      </c>
      <c r="H56" s="4" t="s">
        <v>224</v>
      </c>
      <c r="I56" s="5"/>
      <c r="J56" s="2">
        <v>8</v>
      </c>
      <c r="K56" s="6">
        <v>3</v>
      </c>
      <c r="L56" s="24">
        <v>2</v>
      </c>
      <c r="M56" s="25">
        <v>1</v>
      </c>
      <c r="N56" s="26"/>
      <c r="O56" s="27"/>
      <c r="P56" s="5" t="s">
        <v>26</v>
      </c>
      <c r="Q56" s="5"/>
      <c r="R56" s="2">
        <v>1</v>
      </c>
      <c r="S56" s="2">
        <v>0</v>
      </c>
      <c r="T56" s="5"/>
      <c r="U56" s="5"/>
      <c r="V56" s="11">
        <f t="shared" si="0"/>
        <v>30</v>
      </c>
      <c r="W56" s="12">
        <f t="shared" si="1"/>
        <v>30</v>
      </c>
      <c r="X56" s="13">
        <f t="shared" si="2"/>
        <v>0</v>
      </c>
      <c r="Y56" s="14">
        <f t="shared" si="5"/>
        <v>0</v>
      </c>
      <c r="Z56" s="15">
        <f t="shared" si="3"/>
        <v>75</v>
      </c>
      <c r="AA56" s="15">
        <f t="shared" si="4"/>
        <v>15</v>
      </c>
      <c r="AB56" s="5"/>
      <c r="AC56" s="5">
        <v>1</v>
      </c>
      <c r="AD56" s="5"/>
    </row>
    <row r="57" spans="1:30" ht="31.5" x14ac:dyDescent="0.25">
      <c r="A57" s="1">
        <v>56</v>
      </c>
      <c r="B57" s="2" t="s">
        <v>212</v>
      </c>
      <c r="C57" s="2" t="s">
        <v>213</v>
      </c>
      <c r="D57" s="2" t="s">
        <v>214</v>
      </c>
      <c r="E57" s="2" t="s">
        <v>60</v>
      </c>
      <c r="F57" s="2"/>
      <c r="G57" s="3" t="s">
        <v>225</v>
      </c>
      <c r="H57" s="4" t="s">
        <v>226</v>
      </c>
      <c r="I57" s="5"/>
      <c r="J57" s="2">
        <v>7</v>
      </c>
      <c r="K57" s="6">
        <v>3</v>
      </c>
      <c r="L57" s="24">
        <v>2</v>
      </c>
      <c r="M57" s="25">
        <v>1</v>
      </c>
      <c r="N57" s="26"/>
      <c r="O57" s="27"/>
      <c r="P57" s="5" t="s">
        <v>26</v>
      </c>
      <c r="Q57" s="5"/>
      <c r="R57" s="2">
        <v>1</v>
      </c>
      <c r="S57" s="2">
        <v>0</v>
      </c>
      <c r="T57" s="5"/>
      <c r="U57" s="5"/>
      <c r="V57" s="11">
        <f t="shared" si="0"/>
        <v>30</v>
      </c>
      <c r="W57" s="12">
        <f t="shared" si="1"/>
        <v>30</v>
      </c>
      <c r="X57" s="13">
        <f t="shared" si="2"/>
        <v>0</v>
      </c>
      <c r="Y57" s="14">
        <f t="shared" si="5"/>
        <v>0</v>
      </c>
      <c r="Z57" s="15">
        <f t="shared" si="3"/>
        <v>75</v>
      </c>
      <c r="AA57" s="15">
        <f t="shared" si="4"/>
        <v>15</v>
      </c>
      <c r="AB57" s="5"/>
      <c r="AC57" s="5">
        <v>1</v>
      </c>
      <c r="AD57" s="5"/>
    </row>
    <row r="58" spans="1:30" ht="31.5" x14ac:dyDescent="0.25">
      <c r="A58" s="1">
        <v>57</v>
      </c>
      <c r="B58" s="2" t="s">
        <v>212</v>
      </c>
      <c r="C58" s="2" t="s">
        <v>213</v>
      </c>
      <c r="D58" s="2" t="s">
        <v>214</v>
      </c>
      <c r="E58" s="2" t="s">
        <v>60</v>
      </c>
      <c r="F58" s="2"/>
      <c r="G58" s="3" t="s">
        <v>227</v>
      </c>
      <c r="H58" s="4" t="s">
        <v>228</v>
      </c>
      <c r="I58" s="5"/>
      <c r="J58" s="2">
        <v>7</v>
      </c>
      <c r="K58" s="6">
        <v>3</v>
      </c>
      <c r="L58" s="24">
        <v>2</v>
      </c>
      <c r="M58" s="25">
        <v>1</v>
      </c>
      <c r="N58" s="26"/>
      <c r="O58" s="27"/>
      <c r="P58" s="5" t="s">
        <v>26</v>
      </c>
      <c r="Q58" s="5"/>
      <c r="R58" s="2">
        <v>1</v>
      </c>
      <c r="S58" s="2">
        <v>0</v>
      </c>
      <c r="T58" s="5"/>
      <c r="U58" s="5"/>
      <c r="V58" s="11">
        <f t="shared" si="0"/>
        <v>30</v>
      </c>
      <c r="W58" s="12">
        <f t="shared" si="1"/>
        <v>30</v>
      </c>
      <c r="X58" s="13">
        <f t="shared" si="2"/>
        <v>0</v>
      </c>
      <c r="Y58" s="14">
        <f t="shared" si="5"/>
        <v>0</v>
      </c>
      <c r="Z58" s="15">
        <f t="shared" si="3"/>
        <v>75</v>
      </c>
      <c r="AA58" s="15">
        <f t="shared" si="4"/>
        <v>15</v>
      </c>
      <c r="AB58" s="5"/>
      <c r="AC58" s="5">
        <v>1</v>
      </c>
      <c r="AD58" s="5"/>
    </row>
    <row r="59" spans="1:30" ht="31.5" x14ac:dyDescent="0.25">
      <c r="A59" s="1">
        <v>58</v>
      </c>
      <c r="B59" s="2" t="s">
        <v>212</v>
      </c>
      <c r="C59" s="2" t="s">
        <v>213</v>
      </c>
      <c r="D59" s="2" t="s">
        <v>214</v>
      </c>
      <c r="E59" s="2" t="s">
        <v>60</v>
      </c>
      <c r="F59" s="2"/>
      <c r="G59" s="3" t="s">
        <v>231</v>
      </c>
      <c r="H59" s="4" t="s">
        <v>232</v>
      </c>
      <c r="I59" s="5"/>
      <c r="J59" s="2">
        <v>8</v>
      </c>
      <c r="K59" s="6">
        <v>3</v>
      </c>
      <c r="L59" s="24">
        <v>2</v>
      </c>
      <c r="M59" s="25">
        <v>1</v>
      </c>
      <c r="N59" s="26"/>
      <c r="O59" s="27"/>
      <c r="P59" s="5" t="s">
        <v>26</v>
      </c>
      <c r="Q59" s="5"/>
      <c r="R59" s="2">
        <v>1</v>
      </c>
      <c r="S59" s="2">
        <v>0</v>
      </c>
      <c r="T59" s="5"/>
      <c r="U59" s="5"/>
      <c r="V59" s="11">
        <f t="shared" si="0"/>
        <v>30</v>
      </c>
      <c r="W59" s="12">
        <f t="shared" si="1"/>
        <v>30</v>
      </c>
      <c r="X59" s="13">
        <f t="shared" si="2"/>
        <v>0</v>
      </c>
      <c r="Y59" s="14">
        <f t="shared" si="5"/>
        <v>0</v>
      </c>
      <c r="Z59" s="15">
        <f t="shared" si="3"/>
        <v>75</v>
      </c>
      <c r="AA59" s="15">
        <f t="shared" si="4"/>
        <v>15</v>
      </c>
      <c r="AB59" s="5"/>
      <c r="AC59" s="5">
        <v>1</v>
      </c>
      <c r="AD59" s="5"/>
    </row>
    <row r="60" spans="1:30" ht="31.5" x14ac:dyDescent="0.25">
      <c r="A60" s="1">
        <v>59</v>
      </c>
      <c r="B60" s="2" t="s">
        <v>212</v>
      </c>
      <c r="C60" s="2" t="s">
        <v>213</v>
      </c>
      <c r="D60" s="2" t="s">
        <v>214</v>
      </c>
      <c r="E60" s="2" t="s">
        <v>60</v>
      </c>
      <c r="F60" s="2"/>
      <c r="G60" s="3" t="s">
        <v>233</v>
      </c>
      <c r="H60" s="4" t="s">
        <v>234</v>
      </c>
      <c r="I60" s="5"/>
      <c r="J60" s="2">
        <v>8</v>
      </c>
      <c r="K60" s="6">
        <v>5</v>
      </c>
      <c r="L60" s="24">
        <v>1</v>
      </c>
      <c r="M60" s="25"/>
      <c r="N60" s="26">
        <v>4</v>
      </c>
      <c r="O60" s="27"/>
      <c r="P60" s="5"/>
      <c r="Q60" s="5"/>
      <c r="R60" s="2">
        <v>1</v>
      </c>
      <c r="S60" s="2">
        <v>0</v>
      </c>
      <c r="T60" s="5"/>
      <c r="U60" s="5"/>
      <c r="V60" s="11">
        <f t="shared" si="0"/>
        <v>15</v>
      </c>
      <c r="W60" s="12">
        <f t="shared" si="1"/>
        <v>0</v>
      </c>
      <c r="X60" s="13">
        <f t="shared" si="2"/>
        <v>60</v>
      </c>
      <c r="Y60" s="14">
        <f t="shared" si="5"/>
        <v>0</v>
      </c>
      <c r="Z60" s="15">
        <f t="shared" si="3"/>
        <v>210</v>
      </c>
      <c r="AA60" s="15">
        <f t="shared" si="4"/>
        <v>25</v>
      </c>
      <c r="AB60" s="5"/>
      <c r="AC60" s="5">
        <v>1</v>
      </c>
      <c r="AD60" s="5"/>
    </row>
    <row r="61" spans="1:30" ht="31.5" x14ac:dyDescent="0.25">
      <c r="A61" s="1">
        <v>60</v>
      </c>
      <c r="B61" s="2" t="s">
        <v>212</v>
      </c>
      <c r="C61" s="2" t="s">
        <v>213</v>
      </c>
      <c r="D61" s="2" t="s">
        <v>214</v>
      </c>
      <c r="E61" s="2" t="s">
        <v>60</v>
      </c>
      <c r="F61" s="2"/>
      <c r="G61" s="3" t="s">
        <v>229</v>
      </c>
      <c r="H61" s="4" t="s">
        <v>230</v>
      </c>
      <c r="I61" s="5"/>
      <c r="J61" s="2">
        <v>7</v>
      </c>
      <c r="K61" s="6">
        <v>2</v>
      </c>
      <c r="L61" s="24">
        <v>2</v>
      </c>
      <c r="M61" s="25"/>
      <c r="N61" s="26"/>
      <c r="O61" s="27"/>
      <c r="P61" s="5"/>
      <c r="Q61" s="5"/>
      <c r="R61" s="2">
        <v>1</v>
      </c>
      <c r="S61" s="2">
        <v>0</v>
      </c>
      <c r="T61" s="5"/>
      <c r="U61" s="5"/>
      <c r="V61" s="11">
        <f t="shared" si="0"/>
        <v>30</v>
      </c>
      <c r="W61" s="12">
        <f t="shared" si="1"/>
        <v>0</v>
      </c>
      <c r="X61" s="13">
        <f t="shared" si="2"/>
        <v>0</v>
      </c>
      <c r="Y61" s="14">
        <f t="shared" si="5"/>
        <v>0</v>
      </c>
      <c r="Z61" s="15">
        <f t="shared" si="3"/>
        <v>60</v>
      </c>
      <c r="AA61" s="15">
        <f t="shared" si="4"/>
        <v>10</v>
      </c>
      <c r="AB61" s="5"/>
      <c r="AC61" s="5">
        <v>1</v>
      </c>
      <c r="AD61" s="5"/>
    </row>
    <row r="62" spans="1:30" ht="15.75" x14ac:dyDescent="0.25">
      <c r="A62" s="1">
        <v>61</v>
      </c>
      <c r="B62" s="2" t="s">
        <v>104</v>
      </c>
      <c r="C62" s="2"/>
      <c r="D62" s="2"/>
      <c r="E62" s="2" t="s">
        <v>105</v>
      </c>
      <c r="F62" s="2"/>
      <c r="G62" s="3" t="s">
        <v>106</v>
      </c>
      <c r="H62" s="4" t="s">
        <v>105</v>
      </c>
      <c r="I62" s="5"/>
      <c r="J62" s="2">
        <v>9</v>
      </c>
      <c r="K62" s="6">
        <v>3</v>
      </c>
      <c r="L62" s="24">
        <v>1</v>
      </c>
      <c r="M62" s="25"/>
      <c r="N62" s="26"/>
      <c r="O62" s="27">
        <v>2</v>
      </c>
      <c r="P62" s="5" t="s">
        <v>97</v>
      </c>
      <c r="Q62" s="5"/>
      <c r="R62" s="2">
        <v>0</v>
      </c>
      <c r="S62" s="2">
        <v>0</v>
      </c>
      <c r="T62" s="5"/>
      <c r="U62" s="5"/>
      <c r="V62" s="11">
        <f t="shared" si="0"/>
        <v>15</v>
      </c>
      <c r="W62" s="12">
        <f t="shared" si="1"/>
        <v>0</v>
      </c>
      <c r="X62" s="13">
        <f t="shared" si="2"/>
        <v>0</v>
      </c>
      <c r="Y62" s="14">
        <f t="shared" si="5"/>
        <v>90</v>
      </c>
      <c r="Z62" s="15">
        <f t="shared" si="3"/>
        <v>120</v>
      </c>
      <c r="AA62" s="15">
        <f t="shared" si="4"/>
        <v>15</v>
      </c>
      <c r="AB62" s="5"/>
      <c r="AC62" s="5">
        <v>1</v>
      </c>
      <c r="AD62" s="5"/>
    </row>
    <row r="63" spans="1:30" ht="31.5" x14ac:dyDescent="0.25">
      <c r="A63" s="1">
        <v>62</v>
      </c>
      <c r="B63" s="2" t="s">
        <v>235</v>
      </c>
      <c r="C63" s="2"/>
      <c r="D63" s="2"/>
      <c r="E63" s="2" t="s">
        <v>107</v>
      </c>
      <c r="F63" s="2"/>
      <c r="G63" s="3" t="s">
        <v>108</v>
      </c>
      <c r="H63" s="4" t="s">
        <v>109</v>
      </c>
      <c r="I63" s="5"/>
      <c r="J63" s="2">
        <v>9</v>
      </c>
      <c r="K63" s="6">
        <v>9</v>
      </c>
      <c r="L63" s="24">
        <v>1</v>
      </c>
      <c r="M63" s="25"/>
      <c r="N63" s="26"/>
      <c r="O63" s="27">
        <v>8</v>
      </c>
      <c r="P63" s="5"/>
      <c r="Q63" s="5"/>
      <c r="R63" s="2">
        <v>1</v>
      </c>
      <c r="S63" s="2">
        <v>3</v>
      </c>
      <c r="T63" s="5"/>
      <c r="U63" s="5"/>
      <c r="V63" s="11">
        <f t="shared" si="0"/>
        <v>15</v>
      </c>
      <c r="W63" s="12">
        <f t="shared" si="1"/>
        <v>0</v>
      </c>
      <c r="X63" s="13">
        <f t="shared" si="2"/>
        <v>0</v>
      </c>
      <c r="Y63" s="14">
        <f t="shared" si="5"/>
        <v>360</v>
      </c>
      <c r="Z63" s="15">
        <f t="shared" si="3"/>
        <v>390</v>
      </c>
      <c r="AA63" s="15">
        <f t="shared" si="4"/>
        <v>45</v>
      </c>
      <c r="AB63" s="5"/>
      <c r="AC63" s="5">
        <v>1</v>
      </c>
      <c r="AD63" s="5"/>
    </row>
    <row r="64" spans="1:30" ht="15.75" x14ac:dyDescent="0.25">
      <c r="A64" s="1">
        <v>63</v>
      </c>
      <c r="B64" s="2" t="s">
        <v>235</v>
      </c>
      <c r="C64" s="2"/>
      <c r="D64" s="2"/>
      <c r="E64" s="2" t="s">
        <v>236</v>
      </c>
      <c r="F64" s="2"/>
      <c r="G64" s="3" t="s">
        <v>237</v>
      </c>
      <c r="H64" s="4" t="s">
        <v>238</v>
      </c>
      <c r="I64" s="5"/>
      <c r="J64" s="2">
        <v>9</v>
      </c>
      <c r="K64" s="6">
        <v>3</v>
      </c>
      <c r="L64" s="24">
        <v>2</v>
      </c>
      <c r="M64" s="25">
        <v>1</v>
      </c>
      <c r="N64" s="26"/>
      <c r="O64" s="27"/>
      <c r="P64" s="5" t="s">
        <v>26</v>
      </c>
      <c r="Q64" s="5"/>
      <c r="R64" s="2">
        <v>1</v>
      </c>
      <c r="S64" s="2">
        <v>3</v>
      </c>
      <c r="T64" s="5"/>
      <c r="U64" s="5"/>
      <c r="V64" s="11">
        <f t="shared" si="0"/>
        <v>30</v>
      </c>
      <c r="W64" s="12">
        <f t="shared" si="1"/>
        <v>30</v>
      </c>
      <c r="X64" s="13">
        <f t="shared" si="2"/>
        <v>0</v>
      </c>
      <c r="Y64" s="14">
        <f t="shared" si="5"/>
        <v>0</v>
      </c>
      <c r="Z64" s="15">
        <f t="shared" si="3"/>
        <v>75</v>
      </c>
      <c r="AA64" s="15">
        <f t="shared" si="4"/>
        <v>15</v>
      </c>
      <c r="AB64" s="5"/>
      <c r="AC64" s="5">
        <v>1</v>
      </c>
      <c r="AD64" s="5"/>
    </row>
    <row r="65" spans="1:30" ht="15.75" x14ac:dyDescent="0.25">
      <c r="A65" s="1">
        <v>64</v>
      </c>
      <c r="B65" s="2" t="s">
        <v>235</v>
      </c>
      <c r="C65" s="2"/>
      <c r="D65" s="2"/>
      <c r="E65" s="2" t="s">
        <v>236</v>
      </c>
      <c r="F65" s="2"/>
      <c r="G65" s="3" t="s">
        <v>239</v>
      </c>
      <c r="H65" s="4" t="s">
        <v>240</v>
      </c>
      <c r="I65" s="5"/>
      <c r="J65" s="2">
        <v>9</v>
      </c>
      <c r="K65" s="6">
        <v>3</v>
      </c>
      <c r="L65" s="24">
        <v>2</v>
      </c>
      <c r="M65" s="25">
        <v>1</v>
      </c>
      <c r="N65" s="26"/>
      <c r="O65" s="27"/>
      <c r="P65" s="5" t="s">
        <v>26</v>
      </c>
      <c r="Q65" s="5"/>
      <c r="R65" s="2">
        <v>1</v>
      </c>
      <c r="S65" s="2">
        <v>3</v>
      </c>
      <c r="T65" s="5"/>
      <c r="U65" s="5"/>
      <c r="V65" s="11">
        <f t="shared" si="0"/>
        <v>30</v>
      </c>
      <c r="W65" s="12">
        <f t="shared" si="1"/>
        <v>30</v>
      </c>
      <c r="X65" s="13">
        <f t="shared" si="2"/>
        <v>0</v>
      </c>
      <c r="Y65" s="14">
        <f t="shared" si="5"/>
        <v>0</v>
      </c>
      <c r="Z65" s="15">
        <f t="shared" si="3"/>
        <v>75</v>
      </c>
      <c r="AA65" s="15">
        <f t="shared" si="4"/>
        <v>15</v>
      </c>
      <c r="AB65" s="5"/>
      <c r="AC65" s="5">
        <v>1</v>
      </c>
      <c r="AD65" s="5"/>
    </row>
    <row r="66" spans="1:30" ht="15.75" x14ac:dyDescent="0.25">
      <c r="A66" s="1">
        <v>65</v>
      </c>
      <c r="B66" s="2" t="s">
        <v>235</v>
      </c>
      <c r="C66" s="2"/>
      <c r="D66" s="2"/>
      <c r="E66" s="2" t="s">
        <v>236</v>
      </c>
      <c r="F66" s="2"/>
      <c r="G66" s="3" t="s">
        <v>241</v>
      </c>
      <c r="H66" s="4" t="s">
        <v>242</v>
      </c>
      <c r="I66" s="5"/>
      <c r="J66" s="2">
        <v>9</v>
      </c>
      <c r="K66" s="6">
        <v>3</v>
      </c>
      <c r="L66" s="24">
        <v>2</v>
      </c>
      <c r="M66" s="25">
        <v>1</v>
      </c>
      <c r="N66" s="26"/>
      <c r="O66" s="27"/>
      <c r="P66" s="5" t="s">
        <v>26</v>
      </c>
      <c r="Q66" s="5"/>
      <c r="R66" s="2">
        <v>1</v>
      </c>
      <c r="S66" s="2">
        <v>3</v>
      </c>
      <c r="T66" s="5"/>
      <c r="U66" s="5"/>
      <c r="V66" s="11">
        <f t="shared" si="0"/>
        <v>30</v>
      </c>
      <c r="W66" s="12">
        <f t="shared" si="1"/>
        <v>30</v>
      </c>
      <c r="X66" s="13">
        <f t="shared" si="2"/>
        <v>0</v>
      </c>
      <c r="Y66" s="14">
        <f t="shared" si="5"/>
        <v>0</v>
      </c>
      <c r="Z66" s="15">
        <f t="shared" si="3"/>
        <v>75</v>
      </c>
      <c r="AA66" s="15">
        <f t="shared" si="4"/>
        <v>15</v>
      </c>
      <c r="AB66" s="5"/>
      <c r="AC66" s="5">
        <v>1</v>
      </c>
      <c r="AD66" s="5"/>
    </row>
  </sheetData>
  <dataValidations count="5">
    <dataValidation type="list" allowBlank="1" showErrorMessage="1" sqref="AC2:AC66" xr:uid="{00000000-0002-0000-0400-000000000000}">
      <formula1>"1,0"</formula1>
    </dataValidation>
    <dataValidation type="list" allowBlank="1" showErrorMessage="1" sqref="U2:U66" xr:uid="{00000000-0002-0000-0400-000001000000}">
      <formula1>"Tiên quyết (c),Học trước (d),Song hành (e)"</formula1>
    </dataValidation>
    <dataValidation type="list" allowBlank="1" showErrorMessage="1" sqref="Q2:Q66" xr:uid="{00000000-0002-0000-0400-000002000000}">
      <formula1>"Nhóm 1,Nhóm 2,Nhóm 3,Nhóm 4"</formula1>
    </dataValidation>
    <dataValidation type="list" allowBlank="1" showErrorMessage="1" sqref="P2:P66" xr:uid="{00000000-0002-0000-0400-000003000000}">
      <formula1>"T,N"</formula1>
    </dataValidation>
    <dataValidation type="list" allowBlank="1" showErrorMessage="1" sqref="AB2:AB66" xr:uid="{00000000-0002-0000-0400-000004000000}">
      <formula1>#REF!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D66"/>
  <sheetViews>
    <sheetView workbookViewId="0">
      <selection activeCell="F2" sqref="A2:XFD4"/>
    </sheetView>
  </sheetViews>
  <sheetFormatPr defaultColWidth="14.42578125" defaultRowHeight="15" customHeight="1" x14ac:dyDescent="0.25"/>
  <cols>
    <col min="1" max="1" width="5.140625" customWidth="1"/>
    <col min="2" max="2" width="17.5703125" customWidth="1"/>
    <col min="3" max="3" width="10.5703125" customWidth="1"/>
    <col min="4" max="4" width="21.28515625" customWidth="1"/>
    <col min="5" max="6" width="25.7109375" customWidth="1"/>
    <col min="7" max="7" width="12.85546875" customWidth="1"/>
    <col min="8" max="8" width="30" customWidth="1"/>
    <col min="10" max="10" width="7.42578125" customWidth="1"/>
    <col min="11" max="11" width="11.85546875" customWidth="1"/>
    <col min="20" max="20" width="28" customWidth="1"/>
    <col min="29" max="29" width="19.28515625" customWidth="1"/>
  </cols>
  <sheetData>
    <row r="1" spans="1:30" ht="15" customHeight="1" x14ac:dyDescent="0.25">
      <c r="A1" t="s">
        <v>250</v>
      </c>
      <c r="B1" t="s">
        <v>251</v>
      </c>
      <c r="C1" t="s">
        <v>282</v>
      </c>
      <c r="D1" t="s">
        <v>283</v>
      </c>
      <c r="E1" t="s">
        <v>252</v>
      </c>
      <c r="F1" t="s">
        <v>284</v>
      </c>
      <c r="G1" t="s">
        <v>285</v>
      </c>
      <c r="H1" t="s">
        <v>286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262</v>
      </c>
      <c r="Q1" t="s">
        <v>263</v>
      </c>
      <c r="R1" t="s">
        <v>264</v>
      </c>
      <c r="S1" t="s">
        <v>265</v>
      </c>
      <c r="T1" t="s">
        <v>266</v>
      </c>
      <c r="U1" t="s">
        <v>267</v>
      </c>
      <c r="V1" t="s">
        <v>268</v>
      </c>
      <c r="W1" t="s">
        <v>269</v>
      </c>
      <c r="X1" t="s">
        <v>270</v>
      </c>
      <c r="Y1" t="s">
        <v>271</v>
      </c>
      <c r="Z1" t="s">
        <v>272</v>
      </c>
      <c r="AA1" t="s">
        <v>273</v>
      </c>
      <c r="AB1" t="s">
        <v>274</v>
      </c>
      <c r="AC1" t="s">
        <v>275</v>
      </c>
      <c r="AD1" t="s">
        <v>276</v>
      </c>
    </row>
    <row r="2" spans="1:30" ht="31.5" x14ac:dyDescent="0.25">
      <c r="A2" s="1">
        <v>1</v>
      </c>
      <c r="B2" s="2" t="s">
        <v>0</v>
      </c>
      <c r="C2" s="2"/>
      <c r="D2" s="2"/>
      <c r="E2" s="2" t="s">
        <v>1</v>
      </c>
      <c r="F2" s="2"/>
      <c r="G2" s="3" t="s">
        <v>2</v>
      </c>
      <c r="H2" s="4" t="s">
        <v>3</v>
      </c>
      <c r="I2" s="5"/>
      <c r="J2" s="2">
        <v>1</v>
      </c>
      <c r="K2" s="6">
        <v>3</v>
      </c>
      <c r="L2" s="16">
        <v>3</v>
      </c>
      <c r="M2" s="17"/>
      <c r="N2" s="20"/>
      <c r="O2" s="21"/>
      <c r="P2" s="5"/>
      <c r="Q2" s="5"/>
      <c r="R2" s="2">
        <v>0</v>
      </c>
      <c r="S2" s="2">
        <v>0</v>
      </c>
      <c r="T2" s="5"/>
      <c r="U2" s="5"/>
      <c r="V2" s="11">
        <f t="shared" ref="V2:V66" si="0">L2*15</f>
        <v>45</v>
      </c>
      <c r="W2" s="12">
        <f t="shared" ref="W2:W66" si="1">IF(M2="",0,IF(P2="T",M2*15*2,IF(P2="N",M2*15*3,"fail")))</f>
        <v>0</v>
      </c>
      <c r="X2" s="13">
        <f t="shared" ref="X2:X66" si="2">N2*15</f>
        <v>0</v>
      </c>
      <c r="Y2" s="14">
        <f t="shared" ref="Y2:Y3" si="3">IF(O2="",0,IF(P2="T",O2*15*2,IF(P2="N",O2*15*3,"fail")))</f>
        <v>0</v>
      </c>
      <c r="Z2" s="15">
        <f t="shared" ref="Z2:Z66" si="4">(L2*2+M2+N2*3+O2*3)*15</f>
        <v>90</v>
      </c>
      <c r="AA2" s="15">
        <f t="shared" ref="AA2:AA66" si="5">K2*5</f>
        <v>15</v>
      </c>
      <c r="AB2" s="5"/>
      <c r="AC2" s="5">
        <v>1</v>
      </c>
      <c r="AD2" s="5"/>
    </row>
    <row r="3" spans="1:30" ht="31.5" x14ac:dyDescent="0.25">
      <c r="A3" s="1">
        <v>2</v>
      </c>
      <c r="B3" s="2" t="s">
        <v>0</v>
      </c>
      <c r="C3" s="2"/>
      <c r="D3" s="2"/>
      <c r="E3" s="2" t="s">
        <v>1</v>
      </c>
      <c r="F3" s="2"/>
      <c r="G3" s="3" t="s">
        <v>110</v>
      </c>
      <c r="H3" s="4" t="s">
        <v>111</v>
      </c>
      <c r="I3" s="5"/>
      <c r="J3" s="2">
        <v>2</v>
      </c>
      <c r="K3" s="6">
        <v>2</v>
      </c>
      <c r="L3" s="16">
        <v>2</v>
      </c>
      <c r="M3" s="17"/>
      <c r="N3" s="20"/>
      <c r="O3" s="21"/>
      <c r="P3" s="5"/>
      <c r="Q3" s="5"/>
      <c r="R3" s="2">
        <v>0</v>
      </c>
      <c r="S3" s="2">
        <v>0</v>
      </c>
      <c r="T3" s="3" t="s">
        <v>2</v>
      </c>
      <c r="U3" s="5" t="s">
        <v>112</v>
      </c>
      <c r="V3" s="11">
        <f t="shared" si="0"/>
        <v>30</v>
      </c>
      <c r="W3" s="12">
        <f t="shared" si="1"/>
        <v>0</v>
      </c>
      <c r="X3" s="13">
        <f t="shared" si="2"/>
        <v>0</v>
      </c>
      <c r="Y3" s="14">
        <f t="shared" si="3"/>
        <v>0</v>
      </c>
      <c r="Z3" s="15">
        <f t="shared" si="4"/>
        <v>60</v>
      </c>
      <c r="AA3" s="15">
        <f t="shared" si="5"/>
        <v>10</v>
      </c>
      <c r="AB3" s="5"/>
      <c r="AC3" s="5">
        <v>1</v>
      </c>
      <c r="AD3" s="5"/>
    </row>
    <row r="4" spans="1:30" ht="31.5" x14ac:dyDescent="0.25">
      <c r="A4" s="1">
        <v>3</v>
      </c>
      <c r="B4" s="2" t="s">
        <v>0</v>
      </c>
      <c r="C4" s="2"/>
      <c r="D4" s="2"/>
      <c r="E4" s="2" t="s">
        <v>1</v>
      </c>
      <c r="F4" s="2"/>
      <c r="G4" s="3" t="s">
        <v>113</v>
      </c>
      <c r="H4" s="4" t="s">
        <v>5</v>
      </c>
      <c r="I4" s="5"/>
      <c r="J4" s="2">
        <v>3</v>
      </c>
      <c r="K4" s="6">
        <v>2</v>
      </c>
      <c r="L4" s="16">
        <v>2</v>
      </c>
      <c r="M4" s="17"/>
      <c r="N4" s="20"/>
      <c r="O4" s="21"/>
      <c r="P4" s="5"/>
      <c r="Q4" s="5"/>
      <c r="R4" s="2">
        <v>0</v>
      </c>
      <c r="S4" s="2">
        <v>0</v>
      </c>
      <c r="T4" s="3" t="s">
        <v>110</v>
      </c>
      <c r="U4" s="5" t="s">
        <v>112</v>
      </c>
      <c r="V4" s="11">
        <f t="shared" si="0"/>
        <v>30</v>
      </c>
      <c r="W4" s="12">
        <f t="shared" si="1"/>
        <v>0</v>
      </c>
      <c r="X4" s="13">
        <f t="shared" si="2"/>
        <v>0</v>
      </c>
      <c r="Y4" s="14">
        <f t="shared" ref="Y4:Y66" si="6">IF(O4="",0,IF(P4="T",O4*15*2,O4*15*3))</f>
        <v>0</v>
      </c>
      <c r="Z4" s="15">
        <f t="shared" si="4"/>
        <v>60</v>
      </c>
      <c r="AA4" s="15">
        <f t="shared" si="5"/>
        <v>10</v>
      </c>
      <c r="AB4" s="5"/>
      <c r="AC4" s="5">
        <v>1</v>
      </c>
      <c r="AD4" s="5"/>
    </row>
    <row r="5" spans="1:30" ht="31.5" x14ac:dyDescent="0.25">
      <c r="A5" s="1">
        <v>4</v>
      </c>
      <c r="B5" s="2" t="s">
        <v>0</v>
      </c>
      <c r="C5" s="2"/>
      <c r="D5" s="2"/>
      <c r="E5" s="2" t="s">
        <v>1</v>
      </c>
      <c r="F5" s="2"/>
      <c r="G5" s="3" t="s">
        <v>114</v>
      </c>
      <c r="H5" s="4" t="s">
        <v>115</v>
      </c>
      <c r="I5" s="5"/>
      <c r="J5" s="2">
        <v>4</v>
      </c>
      <c r="K5" s="6">
        <v>2</v>
      </c>
      <c r="L5" s="16">
        <v>2</v>
      </c>
      <c r="M5" s="17"/>
      <c r="N5" s="20"/>
      <c r="O5" s="21"/>
      <c r="P5" s="5"/>
      <c r="Q5" s="5"/>
      <c r="R5" s="2">
        <v>0</v>
      </c>
      <c r="S5" s="2">
        <v>0</v>
      </c>
      <c r="T5" s="5"/>
      <c r="U5" s="5"/>
      <c r="V5" s="11">
        <f t="shared" si="0"/>
        <v>30</v>
      </c>
      <c r="W5" s="12">
        <f t="shared" si="1"/>
        <v>0</v>
      </c>
      <c r="X5" s="13">
        <f t="shared" si="2"/>
        <v>0</v>
      </c>
      <c r="Y5" s="14">
        <f t="shared" si="6"/>
        <v>0</v>
      </c>
      <c r="Z5" s="15">
        <f t="shared" si="4"/>
        <v>60</v>
      </c>
      <c r="AA5" s="15">
        <f t="shared" si="5"/>
        <v>10</v>
      </c>
      <c r="AB5" s="5"/>
      <c r="AC5" s="5">
        <v>1</v>
      </c>
      <c r="AD5" s="5"/>
    </row>
    <row r="6" spans="1:30" ht="31.5" x14ac:dyDescent="0.25">
      <c r="A6" s="1">
        <v>5</v>
      </c>
      <c r="B6" s="2" t="s">
        <v>0</v>
      </c>
      <c r="C6" s="2"/>
      <c r="D6" s="2"/>
      <c r="E6" s="2" t="s">
        <v>1</v>
      </c>
      <c r="F6" s="2"/>
      <c r="G6" s="3" t="s">
        <v>10</v>
      </c>
      <c r="H6" s="4" t="s">
        <v>11</v>
      </c>
      <c r="I6" s="5"/>
      <c r="J6" s="2">
        <v>4</v>
      </c>
      <c r="K6" s="6">
        <v>2</v>
      </c>
      <c r="L6" s="16">
        <v>2</v>
      </c>
      <c r="M6" s="17"/>
      <c r="N6" s="20"/>
      <c r="O6" s="21"/>
      <c r="P6" s="5"/>
      <c r="Q6" s="5"/>
      <c r="R6" s="2">
        <v>0</v>
      </c>
      <c r="S6" s="2">
        <v>0</v>
      </c>
      <c r="T6" s="5"/>
      <c r="U6" s="5"/>
      <c r="V6" s="11">
        <f t="shared" si="0"/>
        <v>30</v>
      </c>
      <c r="W6" s="12">
        <f t="shared" si="1"/>
        <v>0</v>
      </c>
      <c r="X6" s="13">
        <f t="shared" si="2"/>
        <v>0</v>
      </c>
      <c r="Y6" s="14">
        <f t="shared" si="6"/>
        <v>0</v>
      </c>
      <c r="Z6" s="15">
        <f t="shared" si="4"/>
        <v>60</v>
      </c>
      <c r="AA6" s="15">
        <f t="shared" si="5"/>
        <v>10</v>
      </c>
      <c r="AB6" s="5"/>
      <c r="AC6" s="5">
        <v>1</v>
      </c>
      <c r="AD6" s="5"/>
    </row>
    <row r="7" spans="1:30" ht="31.5" x14ac:dyDescent="0.25">
      <c r="A7" s="1">
        <v>6</v>
      </c>
      <c r="B7" s="2" t="s">
        <v>0</v>
      </c>
      <c r="C7" s="2"/>
      <c r="D7" s="2"/>
      <c r="E7" s="2" t="s">
        <v>1</v>
      </c>
      <c r="F7" s="2"/>
      <c r="G7" s="3" t="s">
        <v>162</v>
      </c>
      <c r="H7" s="4" t="s">
        <v>28</v>
      </c>
      <c r="I7" s="5"/>
      <c r="J7" s="2">
        <v>2</v>
      </c>
      <c r="K7" s="6">
        <v>2</v>
      </c>
      <c r="L7" s="16">
        <v>2</v>
      </c>
      <c r="M7" s="17"/>
      <c r="N7" s="20"/>
      <c r="O7" s="21"/>
      <c r="P7" s="5"/>
      <c r="Q7" s="5"/>
      <c r="R7" s="2">
        <v>0</v>
      </c>
      <c r="S7" s="2">
        <v>0</v>
      </c>
      <c r="T7" s="5"/>
      <c r="U7" s="5"/>
      <c r="V7" s="11">
        <f t="shared" si="0"/>
        <v>30</v>
      </c>
      <c r="W7" s="12">
        <f t="shared" si="1"/>
        <v>0</v>
      </c>
      <c r="X7" s="13">
        <f t="shared" si="2"/>
        <v>0</v>
      </c>
      <c r="Y7" s="14">
        <f t="shared" si="6"/>
        <v>0</v>
      </c>
      <c r="Z7" s="15">
        <f t="shared" si="4"/>
        <v>60</v>
      </c>
      <c r="AA7" s="15">
        <f t="shared" si="5"/>
        <v>10</v>
      </c>
      <c r="AB7" s="5"/>
      <c r="AC7" s="5">
        <v>1</v>
      </c>
      <c r="AD7" s="5"/>
    </row>
    <row r="8" spans="1:30" ht="31.5" x14ac:dyDescent="0.25">
      <c r="A8" s="1">
        <v>7</v>
      </c>
      <c r="B8" s="2" t="s">
        <v>0</v>
      </c>
      <c r="C8" s="2"/>
      <c r="D8" s="2"/>
      <c r="E8" s="2" t="s">
        <v>1</v>
      </c>
      <c r="F8" s="2"/>
      <c r="G8" s="3" t="s">
        <v>163</v>
      </c>
      <c r="H8" s="4" t="s">
        <v>125</v>
      </c>
      <c r="I8" s="5"/>
      <c r="J8" s="2">
        <v>1</v>
      </c>
      <c r="K8" s="6">
        <v>3</v>
      </c>
      <c r="L8" s="16">
        <v>3</v>
      </c>
      <c r="M8" s="17"/>
      <c r="N8" s="20"/>
      <c r="O8" s="21"/>
      <c r="P8" s="5"/>
      <c r="Q8" s="5"/>
      <c r="R8" s="2">
        <v>0</v>
      </c>
      <c r="S8" s="2">
        <v>0</v>
      </c>
      <c r="T8" s="5"/>
      <c r="U8" s="5"/>
      <c r="V8" s="11">
        <f t="shared" si="0"/>
        <v>45</v>
      </c>
      <c r="W8" s="12">
        <f t="shared" si="1"/>
        <v>0</v>
      </c>
      <c r="X8" s="13">
        <f t="shared" si="2"/>
        <v>0</v>
      </c>
      <c r="Y8" s="14">
        <f t="shared" si="6"/>
        <v>0</v>
      </c>
      <c r="Z8" s="15">
        <f t="shared" si="4"/>
        <v>90</v>
      </c>
      <c r="AA8" s="15">
        <f t="shared" si="5"/>
        <v>15</v>
      </c>
      <c r="AB8" s="5"/>
      <c r="AC8" s="5">
        <v>1</v>
      </c>
      <c r="AD8" s="5"/>
    </row>
    <row r="9" spans="1:30" ht="31.5" x14ac:dyDescent="0.25">
      <c r="A9" s="1">
        <v>8</v>
      </c>
      <c r="B9" s="2" t="s">
        <v>0</v>
      </c>
      <c r="C9" s="2"/>
      <c r="D9" s="2"/>
      <c r="E9" s="2" t="s">
        <v>1</v>
      </c>
      <c r="F9" s="2"/>
      <c r="G9" s="3" t="s">
        <v>164</v>
      </c>
      <c r="H9" s="4" t="s">
        <v>25</v>
      </c>
      <c r="I9" s="5"/>
      <c r="J9" s="2">
        <v>1</v>
      </c>
      <c r="K9" s="6">
        <v>3</v>
      </c>
      <c r="L9" s="16">
        <v>2</v>
      </c>
      <c r="M9" s="23">
        <v>1</v>
      </c>
      <c r="N9" s="20"/>
      <c r="O9" s="21"/>
      <c r="P9" s="5" t="s">
        <v>26</v>
      </c>
      <c r="Q9" s="5"/>
      <c r="R9" s="2">
        <v>0</v>
      </c>
      <c r="S9" s="2">
        <v>0</v>
      </c>
      <c r="T9" s="5"/>
      <c r="U9" s="5"/>
      <c r="V9" s="11">
        <f t="shared" si="0"/>
        <v>30</v>
      </c>
      <c r="W9" s="12">
        <f t="shared" si="1"/>
        <v>30</v>
      </c>
      <c r="X9" s="13">
        <f t="shared" si="2"/>
        <v>0</v>
      </c>
      <c r="Y9" s="14">
        <f t="shared" si="6"/>
        <v>0</v>
      </c>
      <c r="Z9" s="15">
        <f t="shared" si="4"/>
        <v>75</v>
      </c>
      <c r="AA9" s="15">
        <f t="shared" si="5"/>
        <v>15</v>
      </c>
      <c r="AB9" s="5"/>
      <c r="AC9" s="5">
        <v>1</v>
      </c>
      <c r="AD9" s="5"/>
    </row>
    <row r="10" spans="1:30" ht="31.5" x14ac:dyDescent="0.25">
      <c r="A10" s="1">
        <v>9</v>
      </c>
      <c r="B10" s="2" t="s">
        <v>0</v>
      </c>
      <c r="C10" s="2"/>
      <c r="D10" s="2"/>
      <c r="E10" s="2" t="s">
        <v>1</v>
      </c>
      <c r="F10" s="2"/>
      <c r="G10" s="3" t="s">
        <v>165</v>
      </c>
      <c r="H10" s="4" t="s">
        <v>117</v>
      </c>
      <c r="I10" s="5"/>
      <c r="J10" s="2">
        <v>1</v>
      </c>
      <c r="K10" s="6">
        <v>3</v>
      </c>
      <c r="L10" s="16">
        <v>3</v>
      </c>
      <c r="M10" s="17"/>
      <c r="N10" s="20"/>
      <c r="O10" s="21"/>
      <c r="P10" s="5"/>
      <c r="Q10" s="5"/>
      <c r="R10" s="2">
        <v>0</v>
      </c>
      <c r="S10" s="2">
        <v>0</v>
      </c>
      <c r="T10" s="5"/>
      <c r="U10" s="5"/>
      <c r="V10" s="11">
        <f t="shared" si="0"/>
        <v>45</v>
      </c>
      <c r="W10" s="12">
        <f t="shared" si="1"/>
        <v>0</v>
      </c>
      <c r="X10" s="13">
        <f t="shared" si="2"/>
        <v>0</v>
      </c>
      <c r="Y10" s="14">
        <f t="shared" si="6"/>
        <v>0</v>
      </c>
      <c r="Z10" s="15">
        <f t="shared" si="4"/>
        <v>90</v>
      </c>
      <c r="AA10" s="15">
        <f t="shared" si="5"/>
        <v>15</v>
      </c>
      <c r="AB10" s="5"/>
      <c r="AC10" s="5">
        <v>1</v>
      </c>
      <c r="AD10" s="5"/>
    </row>
    <row r="11" spans="1:30" ht="31.5" x14ac:dyDescent="0.25">
      <c r="A11" s="1">
        <v>10</v>
      </c>
      <c r="B11" s="2" t="s">
        <v>0</v>
      </c>
      <c r="C11" s="2"/>
      <c r="D11" s="2"/>
      <c r="E11" s="2" t="s">
        <v>1</v>
      </c>
      <c r="F11" s="2"/>
      <c r="G11" s="3" t="s">
        <v>166</v>
      </c>
      <c r="H11" s="4" t="s">
        <v>119</v>
      </c>
      <c r="I11" s="5"/>
      <c r="J11" s="2">
        <v>2</v>
      </c>
      <c r="K11" s="6">
        <v>2</v>
      </c>
      <c r="L11" s="16">
        <v>2</v>
      </c>
      <c r="M11" s="17"/>
      <c r="N11" s="20"/>
      <c r="O11" s="21"/>
      <c r="P11" s="5"/>
      <c r="Q11" s="5"/>
      <c r="R11" s="2">
        <v>0</v>
      </c>
      <c r="S11" s="2">
        <v>0</v>
      </c>
      <c r="T11" s="5"/>
      <c r="U11" s="5"/>
      <c r="V11" s="11">
        <f t="shared" si="0"/>
        <v>30</v>
      </c>
      <c r="W11" s="12">
        <f t="shared" si="1"/>
        <v>0</v>
      </c>
      <c r="X11" s="13">
        <f t="shared" si="2"/>
        <v>0</v>
      </c>
      <c r="Y11" s="14">
        <f t="shared" si="6"/>
        <v>0</v>
      </c>
      <c r="Z11" s="15">
        <f t="shared" si="4"/>
        <v>60</v>
      </c>
      <c r="AA11" s="15">
        <f t="shared" si="5"/>
        <v>10</v>
      </c>
      <c r="AB11" s="5"/>
      <c r="AC11" s="5">
        <v>1</v>
      </c>
      <c r="AD11" s="5"/>
    </row>
    <row r="12" spans="1:30" ht="31.5" x14ac:dyDescent="0.25">
      <c r="A12" s="1">
        <v>11</v>
      </c>
      <c r="B12" s="2" t="s">
        <v>0</v>
      </c>
      <c r="C12" s="2"/>
      <c r="D12" s="2"/>
      <c r="E12" s="2" t="s">
        <v>1</v>
      </c>
      <c r="F12" s="2"/>
      <c r="G12" s="3" t="s">
        <v>167</v>
      </c>
      <c r="H12" s="4" t="s">
        <v>32</v>
      </c>
      <c r="I12" s="5"/>
      <c r="J12" s="2">
        <v>3</v>
      </c>
      <c r="K12" s="6">
        <v>2</v>
      </c>
      <c r="L12" s="16">
        <v>2</v>
      </c>
      <c r="M12" s="17"/>
      <c r="N12" s="20"/>
      <c r="O12" s="21"/>
      <c r="P12" s="5"/>
      <c r="Q12" s="5"/>
      <c r="R12" s="2">
        <v>0</v>
      </c>
      <c r="S12" s="2">
        <v>0</v>
      </c>
      <c r="T12" s="5"/>
      <c r="U12" s="5"/>
      <c r="V12" s="11">
        <f t="shared" si="0"/>
        <v>30</v>
      </c>
      <c r="W12" s="12">
        <f t="shared" si="1"/>
        <v>0</v>
      </c>
      <c r="X12" s="13">
        <f t="shared" si="2"/>
        <v>0</v>
      </c>
      <c r="Y12" s="14">
        <f t="shared" si="6"/>
        <v>0</v>
      </c>
      <c r="Z12" s="15">
        <f t="shared" si="4"/>
        <v>60</v>
      </c>
      <c r="AA12" s="15">
        <f t="shared" si="5"/>
        <v>10</v>
      </c>
      <c r="AB12" s="5"/>
      <c r="AC12" s="5">
        <v>1</v>
      </c>
      <c r="AD12" s="5"/>
    </row>
    <row r="13" spans="1:30" ht="31.5" x14ac:dyDescent="0.25">
      <c r="A13" s="1">
        <v>12</v>
      </c>
      <c r="B13" s="2" t="s">
        <v>0</v>
      </c>
      <c r="C13" s="2"/>
      <c r="D13" s="2"/>
      <c r="E13" s="2" t="s">
        <v>1</v>
      </c>
      <c r="F13" s="2"/>
      <c r="G13" s="3" t="s">
        <v>244</v>
      </c>
      <c r="H13" s="4" t="s">
        <v>245</v>
      </c>
      <c r="I13" s="5"/>
      <c r="J13" s="2">
        <v>2</v>
      </c>
      <c r="K13" s="6">
        <v>2</v>
      </c>
      <c r="L13" s="16">
        <v>2</v>
      </c>
      <c r="M13" s="17"/>
      <c r="N13" s="20"/>
      <c r="O13" s="21"/>
      <c r="P13" s="5"/>
      <c r="Q13" s="5"/>
      <c r="R13" s="2">
        <v>0</v>
      </c>
      <c r="S13" s="2">
        <v>0</v>
      </c>
      <c r="T13" s="5"/>
      <c r="U13" s="5"/>
      <c r="V13" s="11">
        <f t="shared" si="0"/>
        <v>30</v>
      </c>
      <c r="W13" s="12">
        <f t="shared" si="1"/>
        <v>0</v>
      </c>
      <c r="X13" s="13">
        <f t="shared" si="2"/>
        <v>0</v>
      </c>
      <c r="Y13" s="14">
        <f t="shared" si="6"/>
        <v>0</v>
      </c>
      <c r="Z13" s="15">
        <f t="shared" si="4"/>
        <v>60</v>
      </c>
      <c r="AA13" s="15">
        <f t="shared" si="5"/>
        <v>10</v>
      </c>
      <c r="AB13" s="5"/>
      <c r="AC13" s="5">
        <v>1</v>
      </c>
      <c r="AD13" s="5"/>
    </row>
    <row r="14" spans="1:30" ht="31.5" x14ac:dyDescent="0.25">
      <c r="A14" s="1">
        <v>13</v>
      </c>
      <c r="B14" s="2" t="s">
        <v>0</v>
      </c>
      <c r="C14" s="2"/>
      <c r="D14" s="2"/>
      <c r="E14" s="2" t="s">
        <v>1</v>
      </c>
      <c r="F14" s="2"/>
      <c r="G14" s="3" t="s">
        <v>168</v>
      </c>
      <c r="H14" s="4" t="s">
        <v>17</v>
      </c>
      <c r="I14" s="5"/>
      <c r="J14" s="2">
        <v>1</v>
      </c>
      <c r="K14" s="6">
        <v>3</v>
      </c>
      <c r="L14" s="16">
        <v>3</v>
      </c>
      <c r="M14" s="17"/>
      <c r="N14" s="20"/>
      <c r="O14" s="21"/>
      <c r="P14" s="5"/>
      <c r="Q14" s="5"/>
      <c r="R14" s="2">
        <v>0</v>
      </c>
      <c r="S14" s="2">
        <v>0</v>
      </c>
      <c r="T14" s="5"/>
      <c r="U14" s="5"/>
      <c r="V14" s="11">
        <f t="shared" si="0"/>
        <v>45</v>
      </c>
      <c r="W14" s="12">
        <f t="shared" si="1"/>
        <v>0</v>
      </c>
      <c r="X14" s="13">
        <f t="shared" si="2"/>
        <v>0</v>
      </c>
      <c r="Y14" s="14">
        <f t="shared" si="6"/>
        <v>0</v>
      </c>
      <c r="Z14" s="15">
        <f t="shared" si="4"/>
        <v>90</v>
      </c>
      <c r="AA14" s="15">
        <f t="shared" si="5"/>
        <v>15</v>
      </c>
      <c r="AB14" s="5"/>
      <c r="AC14" s="5">
        <v>1</v>
      </c>
      <c r="AD14" s="5"/>
    </row>
    <row r="15" spans="1:30" ht="31.5" x14ac:dyDescent="0.25">
      <c r="A15" s="1">
        <v>14</v>
      </c>
      <c r="B15" s="2" t="s">
        <v>0</v>
      </c>
      <c r="C15" s="2"/>
      <c r="D15" s="2"/>
      <c r="E15" s="2" t="s">
        <v>1</v>
      </c>
      <c r="F15" s="2"/>
      <c r="G15" s="3" t="s">
        <v>169</v>
      </c>
      <c r="H15" s="4" t="s">
        <v>19</v>
      </c>
      <c r="I15" s="5"/>
      <c r="J15" s="2">
        <v>2</v>
      </c>
      <c r="K15" s="6">
        <v>3</v>
      </c>
      <c r="L15" s="16">
        <v>3</v>
      </c>
      <c r="M15" s="17"/>
      <c r="N15" s="20"/>
      <c r="O15" s="21"/>
      <c r="P15" s="5"/>
      <c r="Q15" s="5"/>
      <c r="R15" s="2">
        <v>0</v>
      </c>
      <c r="S15" s="2">
        <v>0</v>
      </c>
      <c r="T15" s="5"/>
      <c r="U15" s="5"/>
      <c r="V15" s="11">
        <f t="shared" si="0"/>
        <v>45</v>
      </c>
      <c r="W15" s="12">
        <f t="shared" si="1"/>
        <v>0</v>
      </c>
      <c r="X15" s="13">
        <f t="shared" si="2"/>
        <v>0</v>
      </c>
      <c r="Y15" s="14">
        <f t="shared" si="6"/>
        <v>0</v>
      </c>
      <c r="Z15" s="15">
        <f t="shared" si="4"/>
        <v>90</v>
      </c>
      <c r="AA15" s="15">
        <f t="shared" si="5"/>
        <v>15</v>
      </c>
      <c r="AB15" s="5"/>
      <c r="AC15" s="5">
        <v>1</v>
      </c>
      <c r="AD15" s="5"/>
    </row>
    <row r="16" spans="1:30" ht="31.5" x14ac:dyDescent="0.25">
      <c r="A16" s="1">
        <v>15</v>
      </c>
      <c r="B16" s="2" t="s">
        <v>0</v>
      </c>
      <c r="C16" s="2"/>
      <c r="D16" s="2"/>
      <c r="E16" s="2" t="s">
        <v>1</v>
      </c>
      <c r="F16" s="2"/>
      <c r="G16" s="3" t="s">
        <v>170</v>
      </c>
      <c r="H16" s="4" t="s">
        <v>21</v>
      </c>
      <c r="I16" s="5"/>
      <c r="J16" s="2">
        <v>3</v>
      </c>
      <c r="K16" s="6">
        <v>3</v>
      </c>
      <c r="L16" s="16">
        <v>3</v>
      </c>
      <c r="M16" s="17"/>
      <c r="N16" s="20"/>
      <c r="O16" s="21"/>
      <c r="P16" s="5"/>
      <c r="Q16" s="5"/>
      <c r="R16" s="2">
        <v>0</v>
      </c>
      <c r="S16" s="2">
        <v>0</v>
      </c>
      <c r="T16" s="5"/>
      <c r="U16" s="5"/>
      <c r="V16" s="11">
        <f t="shared" si="0"/>
        <v>45</v>
      </c>
      <c r="W16" s="12">
        <f t="shared" si="1"/>
        <v>0</v>
      </c>
      <c r="X16" s="13">
        <f t="shared" si="2"/>
        <v>0</v>
      </c>
      <c r="Y16" s="14">
        <f t="shared" si="6"/>
        <v>0</v>
      </c>
      <c r="Z16" s="15">
        <f t="shared" si="4"/>
        <v>90</v>
      </c>
      <c r="AA16" s="15">
        <f t="shared" si="5"/>
        <v>15</v>
      </c>
      <c r="AB16" s="5"/>
      <c r="AC16" s="5">
        <v>1</v>
      </c>
      <c r="AD16" s="5"/>
    </row>
    <row r="17" spans="1:30" ht="31.5" x14ac:dyDescent="0.25">
      <c r="A17" s="1">
        <v>16</v>
      </c>
      <c r="B17" s="2" t="s">
        <v>0</v>
      </c>
      <c r="C17" s="2"/>
      <c r="D17" s="2"/>
      <c r="E17" s="2" t="s">
        <v>1</v>
      </c>
      <c r="F17" s="2"/>
      <c r="G17" s="3" t="s">
        <v>33</v>
      </c>
      <c r="H17" s="4" t="s">
        <v>34</v>
      </c>
      <c r="I17" s="5"/>
      <c r="J17" s="2">
        <v>1</v>
      </c>
      <c r="K17" s="6">
        <v>3</v>
      </c>
      <c r="L17" s="16">
        <v>1</v>
      </c>
      <c r="M17" s="17">
        <v>2</v>
      </c>
      <c r="N17" s="20"/>
      <c r="O17" s="21"/>
      <c r="P17" s="5" t="s">
        <v>26</v>
      </c>
      <c r="Q17" s="5"/>
      <c r="R17" s="2">
        <v>1</v>
      </c>
      <c r="S17" s="2">
        <v>3</v>
      </c>
      <c r="T17" s="5"/>
      <c r="U17" s="5"/>
      <c r="V17" s="11">
        <f t="shared" si="0"/>
        <v>15</v>
      </c>
      <c r="W17" s="12">
        <f t="shared" si="1"/>
        <v>60</v>
      </c>
      <c r="X17" s="13">
        <f t="shared" si="2"/>
        <v>0</v>
      </c>
      <c r="Y17" s="14">
        <f t="shared" si="6"/>
        <v>0</v>
      </c>
      <c r="Z17" s="15">
        <f t="shared" si="4"/>
        <v>60</v>
      </c>
      <c r="AA17" s="15">
        <f t="shared" si="5"/>
        <v>15</v>
      </c>
      <c r="AB17" s="5"/>
      <c r="AC17" s="5">
        <v>0</v>
      </c>
      <c r="AD17" s="5"/>
    </row>
    <row r="18" spans="1:30" ht="31.5" x14ac:dyDescent="0.25">
      <c r="A18" s="1">
        <v>17</v>
      </c>
      <c r="B18" s="2" t="s">
        <v>0</v>
      </c>
      <c r="C18" s="2"/>
      <c r="D18" s="2"/>
      <c r="E18" s="2" t="s">
        <v>1</v>
      </c>
      <c r="F18" s="2"/>
      <c r="G18" s="3" t="s">
        <v>35</v>
      </c>
      <c r="H18" s="4" t="s">
        <v>36</v>
      </c>
      <c r="I18" s="5"/>
      <c r="J18" s="2">
        <v>1</v>
      </c>
      <c r="K18" s="6">
        <v>8</v>
      </c>
      <c r="L18" s="16"/>
      <c r="M18" s="17"/>
      <c r="N18" s="20"/>
      <c r="O18" s="21"/>
      <c r="P18" s="5"/>
      <c r="Q18" s="5"/>
      <c r="R18" s="2">
        <v>0</v>
      </c>
      <c r="S18" s="2">
        <v>0</v>
      </c>
      <c r="T18" s="5"/>
      <c r="U18" s="5"/>
      <c r="V18" s="11">
        <f t="shared" si="0"/>
        <v>0</v>
      </c>
      <c r="W18" s="12">
        <f t="shared" si="1"/>
        <v>0</v>
      </c>
      <c r="X18" s="13">
        <f t="shared" si="2"/>
        <v>0</v>
      </c>
      <c r="Y18" s="14">
        <f t="shared" si="6"/>
        <v>0</v>
      </c>
      <c r="Z18" s="15">
        <f t="shared" si="4"/>
        <v>0</v>
      </c>
      <c r="AA18" s="15">
        <f t="shared" si="5"/>
        <v>40</v>
      </c>
      <c r="AB18" s="5"/>
      <c r="AC18" s="5">
        <v>0</v>
      </c>
      <c r="AD18" s="5"/>
    </row>
    <row r="19" spans="1:30" ht="15.75" x14ac:dyDescent="0.25">
      <c r="A19" s="1">
        <v>18</v>
      </c>
      <c r="B19" s="2" t="s">
        <v>37</v>
      </c>
      <c r="C19" s="2"/>
      <c r="D19" s="2"/>
      <c r="E19" s="2" t="s">
        <v>38</v>
      </c>
      <c r="F19" s="2"/>
      <c r="G19" s="3" t="s">
        <v>126</v>
      </c>
      <c r="H19" s="4" t="s">
        <v>171</v>
      </c>
      <c r="I19" s="5"/>
      <c r="J19" s="2">
        <v>1</v>
      </c>
      <c r="K19" s="6">
        <v>3</v>
      </c>
      <c r="L19" s="16">
        <v>2</v>
      </c>
      <c r="M19" s="17">
        <v>1</v>
      </c>
      <c r="N19" s="20"/>
      <c r="O19" s="21"/>
      <c r="P19" s="5" t="s">
        <v>26</v>
      </c>
      <c r="Q19" s="5"/>
      <c r="R19" s="2">
        <v>0</v>
      </c>
      <c r="S19" s="2">
        <v>0</v>
      </c>
      <c r="T19" s="5"/>
      <c r="U19" s="5"/>
      <c r="V19" s="11">
        <f t="shared" si="0"/>
        <v>30</v>
      </c>
      <c r="W19" s="12">
        <f t="shared" si="1"/>
        <v>30</v>
      </c>
      <c r="X19" s="13">
        <f t="shared" si="2"/>
        <v>0</v>
      </c>
      <c r="Y19" s="14">
        <f t="shared" si="6"/>
        <v>0</v>
      </c>
      <c r="Z19" s="15">
        <f t="shared" si="4"/>
        <v>75</v>
      </c>
      <c r="AA19" s="15">
        <f t="shared" si="5"/>
        <v>15</v>
      </c>
      <c r="AB19" s="5"/>
      <c r="AC19" s="5">
        <v>1</v>
      </c>
      <c r="AD19" s="5"/>
    </row>
    <row r="20" spans="1:30" ht="15.75" x14ac:dyDescent="0.25">
      <c r="A20" s="1">
        <v>19</v>
      </c>
      <c r="B20" s="2" t="s">
        <v>37</v>
      </c>
      <c r="C20" s="2"/>
      <c r="D20" s="2"/>
      <c r="E20" s="2" t="s">
        <v>38</v>
      </c>
      <c r="F20" s="2"/>
      <c r="G20" s="3" t="s">
        <v>172</v>
      </c>
      <c r="H20" s="4" t="s">
        <v>173</v>
      </c>
      <c r="I20" s="5"/>
      <c r="J20" s="2">
        <v>3</v>
      </c>
      <c r="K20" s="6">
        <v>4</v>
      </c>
      <c r="L20" s="16">
        <v>3</v>
      </c>
      <c r="M20" s="17">
        <v>1</v>
      </c>
      <c r="N20" s="20"/>
      <c r="O20" s="21"/>
      <c r="P20" s="5" t="s">
        <v>26</v>
      </c>
      <c r="Q20" s="5"/>
      <c r="R20" s="2">
        <v>0</v>
      </c>
      <c r="S20" s="2">
        <v>0</v>
      </c>
      <c r="T20" s="5"/>
      <c r="U20" s="5"/>
      <c r="V20" s="11">
        <f t="shared" si="0"/>
        <v>45</v>
      </c>
      <c r="W20" s="12">
        <f t="shared" si="1"/>
        <v>30</v>
      </c>
      <c r="X20" s="13">
        <f t="shared" si="2"/>
        <v>0</v>
      </c>
      <c r="Y20" s="14">
        <f t="shared" si="6"/>
        <v>0</v>
      </c>
      <c r="Z20" s="15">
        <f t="shared" si="4"/>
        <v>105</v>
      </c>
      <c r="AA20" s="15">
        <f t="shared" si="5"/>
        <v>20</v>
      </c>
      <c r="AB20" s="5"/>
      <c r="AC20" s="5">
        <v>1</v>
      </c>
      <c r="AD20" s="5"/>
    </row>
    <row r="21" spans="1:30" ht="15.75" x14ac:dyDescent="0.25">
      <c r="A21" s="1">
        <v>20</v>
      </c>
      <c r="B21" s="2" t="s">
        <v>37</v>
      </c>
      <c r="C21" s="2"/>
      <c r="D21" s="2"/>
      <c r="E21" s="2" t="s">
        <v>38</v>
      </c>
      <c r="F21" s="2"/>
      <c r="G21" s="3" t="s">
        <v>174</v>
      </c>
      <c r="H21" s="4" t="s">
        <v>175</v>
      </c>
      <c r="I21" s="5"/>
      <c r="J21" s="2">
        <v>3</v>
      </c>
      <c r="K21" s="6">
        <v>3</v>
      </c>
      <c r="L21" s="16">
        <v>2</v>
      </c>
      <c r="M21" s="17">
        <v>1</v>
      </c>
      <c r="N21" s="20"/>
      <c r="O21" s="21"/>
      <c r="P21" s="5" t="s">
        <v>26</v>
      </c>
      <c r="Q21" s="5"/>
      <c r="R21" s="2">
        <v>0</v>
      </c>
      <c r="S21" s="2">
        <v>0</v>
      </c>
      <c r="T21" s="5"/>
      <c r="U21" s="5"/>
      <c r="V21" s="11">
        <f t="shared" si="0"/>
        <v>30</v>
      </c>
      <c r="W21" s="12">
        <f t="shared" si="1"/>
        <v>30</v>
      </c>
      <c r="X21" s="13">
        <f t="shared" si="2"/>
        <v>0</v>
      </c>
      <c r="Y21" s="14">
        <f t="shared" si="6"/>
        <v>0</v>
      </c>
      <c r="Z21" s="15">
        <f t="shared" si="4"/>
        <v>75</v>
      </c>
      <c r="AA21" s="15">
        <f t="shared" si="5"/>
        <v>15</v>
      </c>
      <c r="AB21" s="5"/>
      <c r="AC21" s="5">
        <v>1</v>
      </c>
      <c r="AD21" s="5"/>
    </row>
    <row r="22" spans="1:30" ht="15.75" x14ac:dyDescent="0.25">
      <c r="A22" s="1">
        <v>21</v>
      </c>
      <c r="B22" s="2" t="s">
        <v>37</v>
      </c>
      <c r="C22" s="2"/>
      <c r="D22" s="2"/>
      <c r="E22" s="2" t="s">
        <v>38</v>
      </c>
      <c r="F22" s="2"/>
      <c r="G22" s="3" t="s">
        <v>129</v>
      </c>
      <c r="H22" s="4" t="s">
        <v>48</v>
      </c>
      <c r="I22" s="5"/>
      <c r="J22" s="2">
        <v>5</v>
      </c>
      <c r="K22" s="6">
        <v>3</v>
      </c>
      <c r="L22" s="16">
        <v>3</v>
      </c>
      <c r="M22" s="17"/>
      <c r="N22" s="20"/>
      <c r="O22" s="21"/>
      <c r="P22" s="5"/>
      <c r="Q22" s="5"/>
      <c r="R22" s="2">
        <v>0</v>
      </c>
      <c r="S22" s="2">
        <v>0</v>
      </c>
      <c r="T22" s="3" t="s">
        <v>164</v>
      </c>
      <c r="U22" s="5" t="s">
        <v>112</v>
      </c>
      <c r="V22" s="11">
        <f t="shared" si="0"/>
        <v>45</v>
      </c>
      <c r="W22" s="12">
        <f t="shared" si="1"/>
        <v>0</v>
      </c>
      <c r="X22" s="13">
        <f t="shared" si="2"/>
        <v>0</v>
      </c>
      <c r="Y22" s="14">
        <f t="shared" si="6"/>
        <v>0</v>
      </c>
      <c r="Z22" s="15">
        <f t="shared" si="4"/>
        <v>90</v>
      </c>
      <c r="AA22" s="15">
        <f t="shared" si="5"/>
        <v>15</v>
      </c>
      <c r="AB22" s="5"/>
      <c r="AC22" s="5">
        <v>1</v>
      </c>
      <c r="AD22" s="5"/>
    </row>
    <row r="23" spans="1:30" ht="31.5" x14ac:dyDescent="0.25">
      <c r="A23" s="1">
        <v>22</v>
      </c>
      <c r="B23" s="2" t="s">
        <v>37</v>
      </c>
      <c r="C23" s="2"/>
      <c r="D23" s="2"/>
      <c r="E23" s="2" t="s">
        <v>38</v>
      </c>
      <c r="F23" s="2"/>
      <c r="G23" s="3" t="s">
        <v>49</v>
      </c>
      <c r="H23" s="4" t="s">
        <v>50</v>
      </c>
      <c r="I23" s="5"/>
      <c r="J23" s="2">
        <v>6</v>
      </c>
      <c r="K23" s="6">
        <v>4</v>
      </c>
      <c r="L23" s="16">
        <v>3</v>
      </c>
      <c r="M23" s="17">
        <v>1</v>
      </c>
      <c r="N23" s="20"/>
      <c r="O23" s="21"/>
      <c r="P23" s="5" t="s">
        <v>26</v>
      </c>
      <c r="Q23" s="5"/>
      <c r="R23" s="2">
        <v>0</v>
      </c>
      <c r="S23" s="2">
        <v>0</v>
      </c>
      <c r="T23" s="3" t="s">
        <v>176</v>
      </c>
      <c r="U23" s="5" t="s">
        <v>112</v>
      </c>
      <c r="V23" s="11">
        <f t="shared" si="0"/>
        <v>45</v>
      </c>
      <c r="W23" s="12">
        <f t="shared" si="1"/>
        <v>30</v>
      </c>
      <c r="X23" s="13">
        <f t="shared" si="2"/>
        <v>0</v>
      </c>
      <c r="Y23" s="14">
        <f t="shared" si="6"/>
        <v>0</v>
      </c>
      <c r="Z23" s="15">
        <f t="shared" si="4"/>
        <v>105</v>
      </c>
      <c r="AA23" s="15">
        <f t="shared" si="5"/>
        <v>20</v>
      </c>
      <c r="AB23" s="5"/>
      <c r="AC23" s="5">
        <v>1</v>
      </c>
      <c r="AD23" s="5"/>
    </row>
    <row r="24" spans="1:30" ht="15.75" x14ac:dyDescent="0.25">
      <c r="A24" s="1">
        <v>23</v>
      </c>
      <c r="B24" s="2" t="s">
        <v>37</v>
      </c>
      <c r="C24" s="2"/>
      <c r="D24" s="2"/>
      <c r="E24" s="2" t="s">
        <v>38</v>
      </c>
      <c r="F24" s="2"/>
      <c r="G24" s="3" t="s">
        <v>51</v>
      </c>
      <c r="H24" s="4" t="s">
        <v>52</v>
      </c>
      <c r="I24" s="5"/>
      <c r="J24" s="2">
        <v>6</v>
      </c>
      <c r="K24" s="6">
        <v>3</v>
      </c>
      <c r="L24" s="16">
        <v>3</v>
      </c>
      <c r="M24" s="17"/>
      <c r="N24" s="20"/>
      <c r="O24" s="21"/>
      <c r="P24" s="5"/>
      <c r="Q24" s="5"/>
      <c r="R24" s="2">
        <v>0</v>
      </c>
      <c r="S24" s="2">
        <v>0</v>
      </c>
      <c r="T24" s="5"/>
      <c r="U24" s="5"/>
      <c r="V24" s="11">
        <f t="shared" si="0"/>
        <v>45</v>
      </c>
      <c r="W24" s="12">
        <f t="shared" si="1"/>
        <v>0</v>
      </c>
      <c r="X24" s="13">
        <f t="shared" si="2"/>
        <v>0</v>
      </c>
      <c r="Y24" s="14">
        <f t="shared" si="6"/>
        <v>0</v>
      </c>
      <c r="Z24" s="15">
        <f t="shared" si="4"/>
        <v>90</v>
      </c>
      <c r="AA24" s="15">
        <f t="shared" si="5"/>
        <v>15</v>
      </c>
      <c r="AB24" s="5"/>
      <c r="AC24" s="5">
        <v>1</v>
      </c>
      <c r="AD24" s="5"/>
    </row>
    <row r="25" spans="1:30" ht="15.75" x14ac:dyDescent="0.25">
      <c r="A25" s="1">
        <v>24</v>
      </c>
      <c r="B25" s="2" t="s">
        <v>37</v>
      </c>
      <c r="C25" s="2"/>
      <c r="D25" s="2"/>
      <c r="E25" s="2" t="s">
        <v>38</v>
      </c>
      <c r="F25" s="2"/>
      <c r="G25" s="3" t="s">
        <v>130</v>
      </c>
      <c r="H25" s="4" t="s">
        <v>131</v>
      </c>
      <c r="I25" s="5"/>
      <c r="J25" s="2">
        <v>3</v>
      </c>
      <c r="K25" s="6">
        <v>3</v>
      </c>
      <c r="L25" s="16">
        <v>2</v>
      </c>
      <c r="M25" s="17">
        <v>1</v>
      </c>
      <c r="N25" s="20"/>
      <c r="O25" s="21"/>
      <c r="P25" s="5" t="s">
        <v>26</v>
      </c>
      <c r="Q25" s="5"/>
      <c r="R25" s="2">
        <v>0</v>
      </c>
      <c r="S25" s="2">
        <v>0</v>
      </c>
      <c r="T25" s="3" t="s">
        <v>126</v>
      </c>
      <c r="U25" s="5" t="s">
        <v>112</v>
      </c>
      <c r="V25" s="11">
        <f t="shared" si="0"/>
        <v>30</v>
      </c>
      <c r="W25" s="12">
        <f t="shared" si="1"/>
        <v>30</v>
      </c>
      <c r="X25" s="13">
        <f t="shared" si="2"/>
        <v>0</v>
      </c>
      <c r="Y25" s="14">
        <f t="shared" si="6"/>
        <v>0</v>
      </c>
      <c r="Z25" s="15">
        <f t="shared" si="4"/>
        <v>75</v>
      </c>
      <c r="AA25" s="15">
        <f t="shared" si="5"/>
        <v>15</v>
      </c>
      <c r="AB25" s="5"/>
      <c r="AC25" s="5">
        <v>1</v>
      </c>
      <c r="AD25" s="5"/>
    </row>
    <row r="26" spans="1:30" ht="15.75" x14ac:dyDescent="0.25">
      <c r="A26" s="1">
        <v>25</v>
      </c>
      <c r="B26" s="2" t="s">
        <v>37</v>
      </c>
      <c r="C26" s="2"/>
      <c r="D26" s="2"/>
      <c r="E26" s="2" t="s">
        <v>38</v>
      </c>
      <c r="F26" s="2"/>
      <c r="G26" s="3" t="s">
        <v>178</v>
      </c>
      <c r="H26" s="4" t="s">
        <v>179</v>
      </c>
      <c r="I26" s="5"/>
      <c r="J26" s="2">
        <v>1</v>
      </c>
      <c r="K26" s="6">
        <v>2</v>
      </c>
      <c r="L26" s="16">
        <v>1</v>
      </c>
      <c r="M26" s="17">
        <v>1</v>
      </c>
      <c r="N26" s="20"/>
      <c r="O26" s="21"/>
      <c r="P26" s="5" t="s">
        <v>26</v>
      </c>
      <c r="Q26" s="5"/>
      <c r="R26" s="2">
        <v>0</v>
      </c>
      <c r="S26" s="2">
        <v>0</v>
      </c>
      <c r="T26" s="5"/>
      <c r="U26" s="5"/>
      <c r="V26" s="11">
        <f t="shared" si="0"/>
        <v>15</v>
      </c>
      <c r="W26" s="12">
        <f t="shared" si="1"/>
        <v>30</v>
      </c>
      <c r="X26" s="13">
        <f t="shared" si="2"/>
        <v>0</v>
      </c>
      <c r="Y26" s="14">
        <f t="shared" si="6"/>
        <v>0</v>
      </c>
      <c r="Z26" s="15">
        <f t="shared" si="4"/>
        <v>45</v>
      </c>
      <c r="AA26" s="15">
        <f t="shared" si="5"/>
        <v>10</v>
      </c>
      <c r="AB26" s="5"/>
      <c r="AC26" s="5">
        <v>1</v>
      </c>
      <c r="AD26" s="5"/>
    </row>
    <row r="27" spans="1:30" ht="15.75" x14ac:dyDescent="0.25">
      <c r="A27" s="1">
        <v>26</v>
      </c>
      <c r="B27" s="2" t="s">
        <v>37</v>
      </c>
      <c r="C27" s="2"/>
      <c r="D27" s="2"/>
      <c r="E27" s="2" t="s">
        <v>38</v>
      </c>
      <c r="F27" s="2"/>
      <c r="G27" s="3" t="s">
        <v>180</v>
      </c>
      <c r="H27" s="4" t="s">
        <v>181</v>
      </c>
      <c r="I27" s="5"/>
      <c r="J27" s="2">
        <v>4</v>
      </c>
      <c r="K27" s="6">
        <v>2</v>
      </c>
      <c r="L27" s="16">
        <v>2</v>
      </c>
      <c r="M27" s="17"/>
      <c r="N27" s="20"/>
      <c r="O27" s="21"/>
      <c r="P27" s="5"/>
      <c r="Q27" s="5"/>
      <c r="R27" s="2">
        <v>0</v>
      </c>
      <c r="S27" s="2">
        <v>0</v>
      </c>
      <c r="T27" s="5"/>
      <c r="U27" s="5"/>
      <c r="V27" s="11">
        <f t="shared" si="0"/>
        <v>30</v>
      </c>
      <c r="W27" s="12">
        <f t="shared" si="1"/>
        <v>0</v>
      </c>
      <c r="X27" s="13">
        <f t="shared" si="2"/>
        <v>0</v>
      </c>
      <c r="Y27" s="14">
        <f t="shared" si="6"/>
        <v>0</v>
      </c>
      <c r="Z27" s="15">
        <f t="shared" si="4"/>
        <v>60</v>
      </c>
      <c r="AA27" s="15">
        <f t="shared" si="5"/>
        <v>10</v>
      </c>
      <c r="AB27" s="5"/>
      <c r="AC27" s="5">
        <v>1</v>
      </c>
      <c r="AD27" s="5"/>
    </row>
    <row r="28" spans="1:30" ht="31.5" x14ac:dyDescent="0.25">
      <c r="A28" s="1">
        <v>27</v>
      </c>
      <c r="B28" s="2" t="s">
        <v>59</v>
      </c>
      <c r="C28" s="2"/>
      <c r="D28" s="2"/>
      <c r="E28" s="2" t="s">
        <v>60</v>
      </c>
      <c r="F28" s="2"/>
      <c r="G28" s="3" t="s">
        <v>182</v>
      </c>
      <c r="H28" s="4" t="s">
        <v>183</v>
      </c>
      <c r="I28" s="5"/>
      <c r="J28" s="2">
        <v>3</v>
      </c>
      <c r="K28" s="6">
        <v>2</v>
      </c>
      <c r="L28" s="16">
        <v>2</v>
      </c>
      <c r="M28" s="17"/>
      <c r="N28" s="20"/>
      <c r="O28" s="21"/>
      <c r="P28" s="5"/>
      <c r="Q28" s="5"/>
      <c r="R28" s="2">
        <v>0</v>
      </c>
      <c r="S28" s="2">
        <v>0</v>
      </c>
      <c r="T28" s="5"/>
      <c r="U28" s="5"/>
      <c r="V28" s="11">
        <f t="shared" si="0"/>
        <v>30</v>
      </c>
      <c r="W28" s="12">
        <f t="shared" si="1"/>
        <v>0</v>
      </c>
      <c r="X28" s="13">
        <f t="shared" si="2"/>
        <v>0</v>
      </c>
      <c r="Y28" s="14">
        <f t="shared" si="6"/>
        <v>0</v>
      </c>
      <c r="Z28" s="15">
        <f t="shared" si="4"/>
        <v>60</v>
      </c>
      <c r="AA28" s="15">
        <f t="shared" si="5"/>
        <v>10</v>
      </c>
      <c r="AB28" s="5"/>
      <c r="AC28" s="5">
        <v>1</v>
      </c>
      <c r="AD28" s="5"/>
    </row>
    <row r="29" spans="1:30" ht="31.5" x14ac:dyDescent="0.25">
      <c r="A29" s="1">
        <v>28</v>
      </c>
      <c r="B29" s="2" t="s">
        <v>59</v>
      </c>
      <c r="C29" s="2"/>
      <c r="D29" s="2"/>
      <c r="E29" s="2" t="s">
        <v>60</v>
      </c>
      <c r="F29" s="2"/>
      <c r="G29" s="3" t="s">
        <v>184</v>
      </c>
      <c r="H29" s="4" t="s">
        <v>185</v>
      </c>
      <c r="I29" s="5"/>
      <c r="J29" s="2">
        <v>6</v>
      </c>
      <c r="K29" s="6">
        <v>3</v>
      </c>
      <c r="L29" s="16">
        <v>2</v>
      </c>
      <c r="M29" s="17">
        <v>1</v>
      </c>
      <c r="N29" s="20"/>
      <c r="O29" s="21"/>
      <c r="P29" s="5" t="s">
        <v>26</v>
      </c>
      <c r="Q29" s="5"/>
      <c r="R29" s="2">
        <v>0</v>
      </c>
      <c r="S29" s="2">
        <v>0</v>
      </c>
      <c r="T29" s="5"/>
      <c r="U29" s="5"/>
      <c r="V29" s="11">
        <f t="shared" si="0"/>
        <v>30</v>
      </c>
      <c r="W29" s="12">
        <f t="shared" si="1"/>
        <v>30</v>
      </c>
      <c r="X29" s="13">
        <f t="shared" si="2"/>
        <v>0</v>
      </c>
      <c r="Y29" s="14">
        <f t="shared" si="6"/>
        <v>0</v>
      </c>
      <c r="Z29" s="15">
        <f t="shared" si="4"/>
        <v>75</v>
      </c>
      <c r="AA29" s="15">
        <f t="shared" si="5"/>
        <v>15</v>
      </c>
      <c r="AB29" s="5"/>
      <c r="AC29" s="5">
        <v>1</v>
      </c>
      <c r="AD29" s="5"/>
    </row>
    <row r="30" spans="1:30" ht="31.5" x14ac:dyDescent="0.25">
      <c r="A30" s="1">
        <v>29</v>
      </c>
      <c r="B30" s="2" t="s">
        <v>59</v>
      </c>
      <c r="C30" s="2"/>
      <c r="D30" s="2"/>
      <c r="E30" s="2" t="s">
        <v>60</v>
      </c>
      <c r="F30" s="2"/>
      <c r="G30" s="3" t="s">
        <v>186</v>
      </c>
      <c r="H30" s="4" t="s">
        <v>187</v>
      </c>
      <c r="I30" s="5"/>
      <c r="J30" s="2">
        <v>5</v>
      </c>
      <c r="K30" s="6">
        <v>3</v>
      </c>
      <c r="L30" s="16">
        <v>2</v>
      </c>
      <c r="M30" s="17">
        <v>1</v>
      </c>
      <c r="N30" s="20"/>
      <c r="O30" s="21"/>
      <c r="P30" s="5" t="s">
        <v>26</v>
      </c>
      <c r="Q30" s="5"/>
      <c r="R30" s="2">
        <v>0</v>
      </c>
      <c r="S30" s="2">
        <v>0</v>
      </c>
      <c r="T30" s="3" t="s">
        <v>144</v>
      </c>
      <c r="U30" s="5" t="s">
        <v>112</v>
      </c>
      <c r="V30" s="11">
        <f t="shared" si="0"/>
        <v>30</v>
      </c>
      <c r="W30" s="12">
        <f t="shared" si="1"/>
        <v>30</v>
      </c>
      <c r="X30" s="13">
        <f t="shared" si="2"/>
        <v>0</v>
      </c>
      <c r="Y30" s="14">
        <f t="shared" si="6"/>
        <v>0</v>
      </c>
      <c r="Z30" s="15">
        <f t="shared" si="4"/>
        <v>75</v>
      </c>
      <c r="AA30" s="15">
        <f t="shared" si="5"/>
        <v>15</v>
      </c>
      <c r="AB30" s="5"/>
      <c r="AC30" s="5">
        <v>1</v>
      </c>
      <c r="AD30" s="5"/>
    </row>
    <row r="31" spans="1:30" ht="31.5" x14ac:dyDescent="0.25">
      <c r="A31" s="1">
        <v>30</v>
      </c>
      <c r="B31" s="2" t="s">
        <v>59</v>
      </c>
      <c r="C31" s="2"/>
      <c r="D31" s="2"/>
      <c r="E31" s="2" t="s">
        <v>60</v>
      </c>
      <c r="F31" s="2"/>
      <c r="G31" s="3" t="s">
        <v>139</v>
      </c>
      <c r="H31" s="4" t="s">
        <v>140</v>
      </c>
      <c r="I31" s="5"/>
      <c r="J31" s="2">
        <v>4</v>
      </c>
      <c r="K31" s="6">
        <v>2</v>
      </c>
      <c r="L31" s="16">
        <v>1</v>
      </c>
      <c r="M31" s="17">
        <v>1</v>
      </c>
      <c r="N31" s="20"/>
      <c r="O31" s="21"/>
      <c r="P31" s="5" t="s">
        <v>26</v>
      </c>
      <c r="Q31" s="5"/>
      <c r="R31" s="2">
        <v>0</v>
      </c>
      <c r="S31" s="2">
        <v>0</v>
      </c>
      <c r="T31" s="5"/>
      <c r="U31" s="5"/>
      <c r="V31" s="11">
        <f t="shared" si="0"/>
        <v>15</v>
      </c>
      <c r="W31" s="12">
        <f t="shared" si="1"/>
        <v>30</v>
      </c>
      <c r="X31" s="13">
        <f t="shared" si="2"/>
        <v>0</v>
      </c>
      <c r="Y31" s="14">
        <f t="shared" si="6"/>
        <v>0</v>
      </c>
      <c r="Z31" s="15">
        <f t="shared" si="4"/>
        <v>45</v>
      </c>
      <c r="AA31" s="15">
        <f t="shared" si="5"/>
        <v>10</v>
      </c>
      <c r="AB31" s="5"/>
      <c r="AC31" s="5">
        <v>1</v>
      </c>
      <c r="AD31" s="5"/>
    </row>
    <row r="32" spans="1:30" ht="31.5" x14ac:dyDescent="0.25">
      <c r="A32" s="1">
        <v>31</v>
      </c>
      <c r="B32" s="2" t="s">
        <v>59</v>
      </c>
      <c r="C32" s="2"/>
      <c r="D32" s="2"/>
      <c r="E32" s="2" t="s">
        <v>60</v>
      </c>
      <c r="F32" s="2"/>
      <c r="G32" s="3" t="s">
        <v>188</v>
      </c>
      <c r="H32" s="4" t="s">
        <v>189</v>
      </c>
      <c r="I32" s="5"/>
      <c r="J32" s="2">
        <v>5</v>
      </c>
      <c r="K32" s="6">
        <v>3</v>
      </c>
      <c r="L32" s="16">
        <v>2</v>
      </c>
      <c r="M32" s="17">
        <v>1</v>
      </c>
      <c r="N32" s="20"/>
      <c r="O32" s="21"/>
      <c r="P32" s="5" t="s">
        <v>26</v>
      </c>
      <c r="Q32" s="5"/>
      <c r="R32" s="2">
        <v>0</v>
      </c>
      <c r="S32" s="2">
        <v>0</v>
      </c>
      <c r="T32" s="5"/>
      <c r="U32" s="5"/>
      <c r="V32" s="11">
        <f t="shared" si="0"/>
        <v>30</v>
      </c>
      <c r="W32" s="12">
        <f t="shared" si="1"/>
        <v>30</v>
      </c>
      <c r="X32" s="13">
        <f t="shared" si="2"/>
        <v>0</v>
      </c>
      <c r="Y32" s="14">
        <f t="shared" si="6"/>
        <v>0</v>
      </c>
      <c r="Z32" s="15">
        <f t="shared" si="4"/>
        <v>75</v>
      </c>
      <c r="AA32" s="15">
        <f t="shared" si="5"/>
        <v>15</v>
      </c>
      <c r="AB32" s="5"/>
      <c r="AC32" s="5">
        <v>1</v>
      </c>
      <c r="AD32" s="5"/>
    </row>
    <row r="33" spans="1:30" ht="31.5" x14ac:dyDescent="0.25">
      <c r="A33" s="1">
        <v>32</v>
      </c>
      <c r="B33" s="2" t="s">
        <v>59</v>
      </c>
      <c r="C33" s="2"/>
      <c r="D33" s="2"/>
      <c r="E33" s="2" t="s">
        <v>60</v>
      </c>
      <c r="F33" s="2"/>
      <c r="G33" s="3" t="s">
        <v>142</v>
      </c>
      <c r="H33" s="4" t="s">
        <v>74</v>
      </c>
      <c r="I33" s="5"/>
      <c r="J33" s="2">
        <v>2</v>
      </c>
      <c r="K33" s="6">
        <v>3</v>
      </c>
      <c r="L33" s="16">
        <v>3</v>
      </c>
      <c r="M33" s="17"/>
      <c r="N33" s="20"/>
      <c r="O33" s="21"/>
      <c r="P33" s="5"/>
      <c r="Q33" s="5"/>
      <c r="R33" s="2">
        <v>0</v>
      </c>
      <c r="S33" s="2">
        <v>0</v>
      </c>
      <c r="T33" s="5"/>
      <c r="U33" s="5"/>
      <c r="V33" s="11">
        <f t="shared" si="0"/>
        <v>45</v>
      </c>
      <c r="W33" s="12">
        <f t="shared" si="1"/>
        <v>0</v>
      </c>
      <c r="X33" s="13">
        <f t="shared" si="2"/>
        <v>0</v>
      </c>
      <c r="Y33" s="14">
        <f t="shared" si="6"/>
        <v>0</v>
      </c>
      <c r="Z33" s="15">
        <f t="shared" si="4"/>
        <v>90</v>
      </c>
      <c r="AA33" s="15">
        <f t="shared" si="5"/>
        <v>15</v>
      </c>
      <c r="AB33" s="5"/>
      <c r="AC33" s="5">
        <v>1</v>
      </c>
      <c r="AD33" s="5"/>
    </row>
    <row r="34" spans="1:30" ht="31.5" x14ac:dyDescent="0.25">
      <c r="A34" s="1">
        <v>33</v>
      </c>
      <c r="B34" s="2" t="s">
        <v>59</v>
      </c>
      <c r="C34" s="2"/>
      <c r="D34" s="2"/>
      <c r="E34" s="2" t="s">
        <v>60</v>
      </c>
      <c r="F34" s="2"/>
      <c r="G34" s="3" t="s">
        <v>176</v>
      </c>
      <c r="H34" s="4" t="s">
        <v>190</v>
      </c>
      <c r="I34" s="5"/>
      <c r="J34" s="2">
        <v>4</v>
      </c>
      <c r="K34" s="6">
        <v>3</v>
      </c>
      <c r="L34" s="16">
        <v>2</v>
      </c>
      <c r="M34" s="17">
        <v>1</v>
      </c>
      <c r="N34" s="20"/>
      <c r="O34" s="21"/>
      <c r="P34" s="5" t="s">
        <v>26</v>
      </c>
      <c r="Q34" s="5"/>
      <c r="R34" s="2">
        <v>0</v>
      </c>
      <c r="S34" s="2">
        <v>0</v>
      </c>
      <c r="T34" s="3" t="s">
        <v>278</v>
      </c>
      <c r="U34" s="5" t="s">
        <v>112</v>
      </c>
      <c r="V34" s="11">
        <f t="shared" si="0"/>
        <v>30</v>
      </c>
      <c r="W34" s="12">
        <f t="shared" si="1"/>
        <v>30</v>
      </c>
      <c r="X34" s="13">
        <f t="shared" si="2"/>
        <v>0</v>
      </c>
      <c r="Y34" s="14">
        <f t="shared" si="6"/>
        <v>0</v>
      </c>
      <c r="Z34" s="15">
        <f t="shared" si="4"/>
        <v>75</v>
      </c>
      <c r="AA34" s="15">
        <f t="shared" si="5"/>
        <v>15</v>
      </c>
      <c r="AB34" s="5"/>
      <c r="AC34" s="5">
        <v>1</v>
      </c>
      <c r="AD34" s="5"/>
    </row>
    <row r="35" spans="1:30" ht="31.5" x14ac:dyDescent="0.25">
      <c r="A35" s="1">
        <v>34</v>
      </c>
      <c r="B35" s="2" t="s">
        <v>59</v>
      </c>
      <c r="C35" s="2"/>
      <c r="D35" s="2"/>
      <c r="E35" s="2" t="s">
        <v>60</v>
      </c>
      <c r="F35" s="2"/>
      <c r="G35" s="3" t="s">
        <v>144</v>
      </c>
      <c r="H35" s="4" t="s">
        <v>82</v>
      </c>
      <c r="I35" s="5"/>
      <c r="J35" s="2">
        <v>4</v>
      </c>
      <c r="K35" s="6">
        <v>3</v>
      </c>
      <c r="L35" s="16">
        <v>2</v>
      </c>
      <c r="M35" s="17">
        <v>1</v>
      </c>
      <c r="N35" s="20"/>
      <c r="O35" s="21"/>
      <c r="P35" s="5" t="s">
        <v>26</v>
      </c>
      <c r="Q35" s="5"/>
      <c r="R35" s="2">
        <v>0</v>
      </c>
      <c r="S35" s="2">
        <v>0</v>
      </c>
      <c r="T35" s="5"/>
      <c r="U35" s="5"/>
      <c r="V35" s="11">
        <f t="shared" si="0"/>
        <v>30</v>
      </c>
      <c r="W35" s="12">
        <f t="shared" si="1"/>
        <v>30</v>
      </c>
      <c r="X35" s="13">
        <f t="shared" si="2"/>
        <v>0</v>
      </c>
      <c r="Y35" s="14">
        <f t="shared" si="6"/>
        <v>0</v>
      </c>
      <c r="Z35" s="15">
        <f t="shared" si="4"/>
        <v>75</v>
      </c>
      <c r="AA35" s="15">
        <f t="shared" si="5"/>
        <v>15</v>
      </c>
      <c r="AB35" s="5"/>
      <c r="AC35" s="5">
        <v>1</v>
      </c>
      <c r="AD35" s="5"/>
    </row>
    <row r="36" spans="1:30" ht="31.5" x14ac:dyDescent="0.25">
      <c r="A36" s="1">
        <v>35</v>
      </c>
      <c r="B36" s="2" t="s">
        <v>59</v>
      </c>
      <c r="C36" s="2"/>
      <c r="D36" s="2"/>
      <c r="E36" s="2" t="s">
        <v>60</v>
      </c>
      <c r="F36" s="2"/>
      <c r="G36" s="3" t="s">
        <v>145</v>
      </c>
      <c r="H36" s="4" t="s">
        <v>88</v>
      </c>
      <c r="I36" s="5"/>
      <c r="J36" s="2">
        <v>5</v>
      </c>
      <c r="K36" s="6">
        <v>3</v>
      </c>
      <c r="L36" s="16">
        <v>3</v>
      </c>
      <c r="M36" s="17"/>
      <c r="N36" s="20"/>
      <c r="O36" s="21"/>
      <c r="P36" s="5"/>
      <c r="Q36" s="5"/>
      <c r="R36" s="2">
        <v>0</v>
      </c>
      <c r="S36" s="2">
        <v>0</v>
      </c>
      <c r="T36" s="5"/>
      <c r="U36" s="5"/>
      <c r="V36" s="11">
        <f t="shared" si="0"/>
        <v>45</v>
      </c>
      <c r="W36" s="12">
        <f t="shared" si="1"/>
        <v>0</v>
      </c>
      <c r="X36" s="13">
        <f t="shared" si="2"/>
        <v>0</v>
      </c>
      <c r="Y36" s="14">
        <f t="shared" si="6"/>
        <v>0</v>
      </c>
      <c r="Z36" s="15">
        <f t="shared" si="4"/>
        <v>90</v>
      </c>
      <c r="AA36" s="15">
        <f t="shared" si="5"/>
        <v>15</v>
      </c>
      <c r="AB36" s="5"/>
      <c r="AC36" s="5">
        <v>1</v>
      </c>
      <c r="AD36" s="5"/>
    </row>
    <row r="37" spans="1:30" ht="31.5" x14ac:dyDescent="0.25">
      <c r="A37" s="1">
        <v>36</v>
      </c>
      <c r="B37" s="2" t="s">
        <v>59</v>
      </c>
      <c r="C37" s="2"/>
      <c r="D37" s="2"/>
      <c r="E37" s="2" t="s">
        <v>60</v>
      </c>
      <c r="F37" s="2"/>
      <c r="G37" s="3" t="s">
        <v>191</v>
      </c>
      <c r="H37" s="4" t="s">
        <v>192</v>
      </c>
      <c r="I37" s="5"/>
      <c r="J37" s="2">
        <v>6</v>
      </c>
      <c r="K37" s="6">
        <v>5</v>
      </c>
      <c r="L37" s="16">
        <v>1</v>
      </c>
      <c r="M37" s="17"/>
      <c r="N37" s="20">
        <v>4</v>
      </c>
      <c r="O37" s="21"/>
      <c r="P37" s="5"/>
      <c r="Q37" s="5"/>
      <c r="R37" s="2">
        <v>0</v>
      </c>
      <c r="S37" s="2">
        <v>0</v>
      </c>
      <c r="T37" s="5"/>
      <c r="U37" s="5"/>
      <c r="V37" s="11">
        <f t="shared" si="0"/>
        <v>15</v>
      </c>
      <c r="W37" s="12">
        <f t="shared" si="1"/>
        <v>0</v>
      </c>
      <c r="X37" s="13">
        <f t="shared" si="2"/>
        <v>60</v>
      </c>
      <c r="Y37" s="14">
        <f t="shared" si="6"/>
        <v>0</v>
      </c>
      <c r="Z37" s="15">
        <f t="shared" si="4"/>
        <v>210</v>
      </c>
      <c r="AA37" s="15">
        <f t="shared" si="5"/>
        <v>25</v>
      </c>
      <c r="AB37" s="5"/>
      <c r="AC37" s="5">
        <v>1</v>
      </c>
      <c r="AD37" s="5"/>
    </row>
    <row r="38" spans="1:30" ht="31.5" x14ac:dyDescent="0.25">
      <c r="A38" s="1">
        <v>37</v>
      </c>
      <c r="B38" s="2" t="s">
        <v>59</v>
      </c>
      <c r="C38" s="2"/>
      <c r="D38" s="2"/>
      <c r="E38" s="2" t="s">
        <v>60</v>
      </c>
      <c r="F38" s="2"/>
      <c r="G38" s="3" t="s">
        <v>98</v>
      </c>
      <c r="H38" s="4" t="s">
        <v>99</v>
      </c>
      <c r="I38" s="5"/>
      <c r="J38" s="2">
        <v>5</v>
      </c>
      <c r="K38" s="6">
        <v>2</v>
      </c>
      <c r="L38" s="16">
        <v>2</v>
      </c>
      <c r="M38" s="17"/>
      <c r="N38" s="20"/>
      <c r="O38" s="21"/>
      <c r="P38" s="5"/>
      <c r="Q38" s="5"/>
      <c r="R38" s="2">
        <v>0</v>
      </c>
      <c r="S38" s="2">
        <v>0</v>
      </c>
      <c r="T38" s="5"/>
      <c r="U38" s="5"/>
      <c r="V38" s="11">
        <f t="shared" si="0"/>
        <v>30</v>
      </c>
      <c r="W38" s="12">
        <f t="shared" si="1"/>
        <v>0</v>
      </c>
      <c r="X38" s="13">
        <f t="shared" si="2"/>
        <v>0</v>
      </c>
      <c r="Y38" s="14">
        <f t="shared" si="6"/>
        <v>0</v>
      </c>
      <c r="Z38" s="15">
        <f t="shared" si="4"/>
        <v>60</v>
      </c>
      <c r="AA38" s="15">
        <f t="shared" si="5"/>
        <v>10</v>
      </c>
      <c r="AB38" s="5"/>
      <c r="AC38" s="5">
        <v>1</v>
      </c>
      <c r="AD38" s="5"/>
    </row>
    <row r="39" spans="1:30" ht="31.5" x14ac:dyDescent="0.25">
      <c r="A39" s="1">
        <v>38</v>
      </c>
      <c r="B39" s="2" t="s">
        <v>59</v>
      </c>
      <c r="C39" s="2"/>
      <c r="D39" s="2"/>
      <c r="E39" s="2" t="s">
        <v>60</v>
      </c>
      <c r="F39" s="2"/>
      <c r="G39" s="3" t="s">
        <v>193</v>
      </c>
      <c r="H39" s="4" t="s">
        <v>194</v>
      </c>
      <c r="I39" s="5"/>
      <c r="J39" s="2">
        <v>4</v>
      </c>
      <c r="K39" s="6">
        <v>3</v>
      </c>
      <c r="L39" s="16">
        <v>2</v>
      </c>
      <c r="M39" s="17">
        <v>1</v>
      </c>
      <c r="N39" s="20"/>
      <c r="O39" s="21"/>
      <c r="P39" s="5" t="s">
        <v>26</v>
      </c>
      <c r="Q39" s="5"/>
      <c r="R39" s="2">
        <v>0</v>
      </c>
      <c r="S39" s="2">
        <v>0</v>
      </c>
      <c r="T39" s="3" t="s">
        <v>176</v>
      </c>
      <c r="U39" s="5" t="s">
        <v>112</v>
      </c>
      <c r="V39" s="11">
        <f t="shared" si="0"/>
        <v>30</v>
      </c>
      <c r="W39" s="12">
        <f t="shared" si="1"/>
        <v>30</v>
      </c>
      <c r="X39" s="13">
        <f t="shared" si="2"/>
        <v>0</v>
      </c>
      <c r="Y39" s="14">
        <f t="shared" si="6"/>
        <v>0</v>
      </c>
      <c r="Z39" s="15">
        <f t="shared" si="4"/>
        <v>75</v>
      </c>
      <c r="AA39" s="15">
        <f t="shared" si="5"/>
        <v>15</v>
      </c>
      <c r="AB39" s="5"/>
      <c r="AC39" s="5">
        <v>1</v>
      </c>
      <c r="AD39" s="5"/>
    </row>
    <row r="40" spans="1:30" ht="31.5" x14ac:dyDescent="0.25">
      <c r="A40" s="1">
        <v>39</v>
      </c>
      <c r="B40" s="2" t="s">
        <v>59</v>
      </c>
      <c r="C40" s="2"/>
      <c r="D40" s="2"/>
      <c r="E40" s="2" t="s">
        <v>60</v>
      </c>
      <c r="F40" s="2"/>
      <c r="G40" s="3" t="s">
        <v>195</v>
      </c>
      <c r="H40" s="4" t="s">
        <v>196</v>
      </c>
      <c r="I40" s="5"/>
      <c r="J40" s="2">
        <v>4</v>
      </c>
      <c r="K40" s="6">
        <v>2</v>
      </c>
      <c r="L40" s="16">
        <v>2</v>
      </c>
      <c r="M40" s="17"/>
      <c r="N40" s="20"/>
      <c r="O40" s="21"/>
      <c r="P40" s="5"/>
      <c r="Q40" s="5"/>
      <c r="R40" s="2">
        <v>0</v>
      </c>
      <c r="S40" s="2">
        <v>0</v>
      </c>
      <c r="T40" s="5"/>
      <c r="U40" s="5"/>
      <c r="V40" s="11">
        <f t="shared" si="0"/>
        <v>30</v>
      </c>
      <c r="W40" s="12">
        <f t="shared" si="1"/>
        <v>0</v>
      </c>
      <c r="X40" s="13">
        <f t="shared" si="2"/>
        <v>0</v>
      </c>
      <c r="Y40" s="14">
        <f t="shared" si="6"/>
        <v>0</v>
      </c>
      <c r="Z40" s="15">
        <f t="shared" si="4"/>
        <v>60</v>
      </c>
      <c r="AA40" s="15">
        <f t="shared" si="5"/>
        <v>10</v>
      </c>
      <c r="AB40" s="5"/>
      <c r="AC40" s="5">
        <v>1</v>
      </c>
      <c r="AD40" s="5"/>
    </row>
    <row r="41" spans="1:30" ht="31.5" x14ac:dyDescent="0.25">
      <c r="A41" s="1">
        <v>40</v>
      </c>
      <c r="B41" s="2" t="s">
        <v>59</v>
      </c>
      <c r="C41" s="2"/>
      <c r="D41" s="2"/>
      <c r="E41" s="2" t="s">
        <v>60</v>
      </c>
      <c r="F41" s="2"/>
      <c r="G41" s="3" t="s">
        <v>137</v>
      </c>
      <c r="H41" s="4" t="s">
        <v>138</v>
      </c>
      <c r="I41" s="5"/>
      <c r="J41" s="2">
        <v>5</v>
      </c>
      <c r="K41" s="6">
        <v>4</v>
      </c>
      <c r="L41" s="16">
        <v>3</v>
      </c>
      <c r="M41" s="17">
        <v>1</v>
      </c>
      <c r="N41" s="20"/>
      <c r="O41" s="21"/>
      <c r="P41" s="5" t="s">
        <v>26</v>
      </c>
      <c r="Q41" s="5"/>
      <c r="R41" s="2">
        <v>0</v>
      </c>
      <c r="S41" s="2">
        <v>0</v>
      </c>
      <c r="T41" s="3" t="s">
        <v>278</v>
      </c>
      <c r="U41" s="5" t="s">
        <v>112</v>
      </c>
      <c r="V41" s="11">
        <f t="shared" si="0"/>
        <v>45</v>
      </c>
      <c r="W41" s="12">
        <f t="shared" si="1"/>
        <v>30</v>
      </c>
      <c r="X41" s="13">
        <f t="shared" si="2"/>
        <v>0</v>
      </c>
      <c r="Y41" s="14">
        <f t="shared" si="6"/>
        <v>0</v>
      </c>
      <c r="Z41" s="15">
        <f t="shared" si="4"/>
        <v>105</v>
      </c>
      <c r="AA41" s="15">
        <f t="shared" si="5"/>
        <v>20</v>
      </c>
      <c r="AB41" s="5"/>
      <c r="AC41" s="5">
        <v>1</v>
      </c>
      <c r="AD41" s="5"/>
    </row>
    <row r="42" spans="1:30" ht="31.5" x14ac:dyDescent="0.25">
      <c r="A42" s="1">
        <v>41</v>
      </c>
      <c r="B42" s="2" t="s">
        <v>197</v>
      </c>
      <c r="C42" s="2" t="s">
        <v>198</v>
      </c>
      <c r="D42" s="2" t="s">
        <v>90</v>
      </c>
      <c r="E42" s="2" t="s">
        <v>60</v>
      </c>
      <c r="F42" s="2"/>
      <c r="G42" s="3" t="s">
        <v>199</v>
      </c>
      <c r="H42" s="4" t="s">
        <v>200</v>
      </c>
      <c r="I42" s="5"/>
      <c r="J42" s="2">
        <v>8</v>
      </c>
      <c r="K42" s="6">
        <v>3</v>
      </c>
      <c r="L42" s="16">
        <v>2</v>
      </c>
      <c r="M42" s="17">
        <v>1</v>
      </c>
      <c r="N42" s="20"/>
      <c r="O42" s="21"/>
      <c r="P42" s="5" t="s">
        <v>26</v>
      </c>
      <c r="Q42" s="5"/>
      <c r="R42" s="2">
        <v>1</v>
      </c>
      <c r="S42" s="2">
        <v>0</v>
      </c>
      <c r="T42" s="3" t="s">
        <v>287</v>
      </c>
      <c r="U42" s="5" t="s">
        <v>112</v>
      </c>
      <c r="V42" s="11">
        <f t="shared" si="0"/>
        <v>30</v>
      </c>
      <c r="W42" s="12">
        <f t="shared" si="1"/>
        <v>30</v>
      </c>
      <c r="X42" s="13">
        <f t="shared" si="2"/>
        <v>0</v>
      </c>
      <c r="Y42" s="14">
        <f t="shared" si="6"/>
        <v>0</v>
      </c>
      <c r="Z42" s="15">
        <f t="shared" si="4"/>
        <v>75</v>
      </c>
      <c r="AA42" s="15">
        <f t="shared" si="5"/>
        <v>15</v>
      </c>
      <c r="AB42" s="5"/>
      <c r="AC42" s="5">
        <v>1</v>
      </c>
      <c r="AD42" s="5"/>
    </row>
    <row r="43" spans="1:30" ht="31.5" x14ac:dyDescent="0.25">
      <c r="A43" s="1">
        <v>42</v>
      </c>
      <c r="B43" s="2" t="s">
        <v>197</v>
      </c>
      <c r="C43" s="2" t="s">
        <v>198</v>
      </c>
      <c r="D43" s="2" t="s">
        <v>90</v>
      </c>
      <c r="E43" s="2" t="s">
        <v>60</v>
      </c>
      <c r="F43" s="2"/>
      <c r="G43" s="3" t="s">
        <v>160</v>
      </c>
      <c r="H43" s="4" t="s">
        <v>201</v>
      </c>
      <c r="I43" s="5"/>
      <c r="J43" s="2">
        <v>7</v>
      </c>
      <c r="K43" s="6">
        <v>3</v>
      </c>
      <c r="L43" s="16">
        <v>2</v>
      </c>
      <c r="M43" s="17">
        <v>1</v>
      </c>
      <c r="N43" s="20"/>
      <c r="O43" s="21"/>
      <c r="P43" s="5" t="s">
        <v>26</v>
      </c>
      <c r="Q43" s="5"/>
      <c r="R43" s="2">
        <v>1</v>
      </c>
      <c r="S43" s="2">
        <v>0</v>
      </c>
      <c r="T43" s="3" t="s">
        <v>280</v>
      </c>
      <c r="U43" s="5" t="s">
        <v>112</v>
      </c>
      <c r="V43" s="11">
        <f t="shared" si="0"/>
        <v>30</v>
      </c>
      <c r="W43" s="12">
        <f t="shared" si="1"/>
        <v>30</v>
      </c>
      <c r="X43" s="13">
        <f t="shared" si="2"/>
        <v>0</v>
      </c>
      <c r="Y43" s="14">
        <f t="shared" si="6"/>
        <v>0</v>
      </c>
      <c r="Z43" s="15">
        <f t="shared" si="4"/>
        <v>75</v>
      </c>
      <c r="AA43" s="15">
        <f t="shared" si="5"/>
        <v>15</v>
      </c>
      <c r="AB43" s="5"/>
      <c r="AC43" s="5">
        <v>1</v>
      </c>
      <c r="AD43" s="5"/>
    </row>
    <row r="44" spans="1:30" ht="31.5" x14ac:dyDescent="0.25">
      <c r="A44" s="1">
        <v>43</v>
      </c>
      <c r="B44" s="2" t="s">
        <v>197</v>
      </c>
      <c r="C44" s="2" t="s">
        <v>198</v>
      </c>
      <c r="D44" s="2" t="s">
        <v>90</v>
      </c>
      <c r="E44" s="2" t="s">
        <v>60</v>
      </c>
      <c r="F44" s="2"/>
      <c r="G44" s="3" t="s">
        <v>243</v>
      </c>
      <c r="H44" s="4" t="s">
        <v>157</v>
      </c>
      <c r="I44" s="5"/>
      <c r="J44" s="2">
        <v>8</v>
      </c>
      <c r="K44" s="6">
        <v>3</v>
      </c>
      <c r="L44" s="16">
        <v>2</v>
      </c>
      <c r="M44" s="17">
        <v>1</v>
      </c>
      <c r="N44" s="20"/>
      <c r="O44" s="21"/>
      <c r="P44" s="5" t="s">
        <v>26</v>
      </c>
      <c r="Q44" s="5"/>
      <c r="R44" s="2">
        <v>1</v>
      </c>
      <c r="S44" s="2">
        <v>0</v>
      </c>
      <c r="T44" s="5"/>
      <c r="U44" s="5"/>
      <c r="V44" s="11">
        <f t="shared" si="0"/>
        <v>30</v>
      </c>
      <c r="W44" s="12">
        <f t="shared" si="1"/>
        <v>30</v>
      </c>
      <c r="X44" s="13">
        <f t="shared" si="2"/>
        <v>0</v>
      </c>
      <c r="Y44" s="14">
        <f t="shared" si="6"/>
        <v>0</v>
      </c>
      <c r="Z44" s="15">
        <f t="shared" si="4"/>
        <v>75</v>
      </c>
      <c r="AA44" s="15">
        <f t="shared" si="5"/>
        <v>15</v>
      </c>
      <c r="AB44" s="5"/>
      <c r="AC44" s="5">
        <v>1</v>
      </c>
      <c r="AD44" s="5"/>
    </row>
    <row r="45" spans="1:30" ht="31.5" x14ac:dyDescent="0.25">
      <c r="A45" s="1">
        <v>44</v>
      </c>
      <c r="B45" s="2" t="s">
        <v>197</v>
      </c>
      <c r="C45" s="2" t="s">
        <v>198</v>
      </c>
      <c r="D45" s="2" t="s">
        <v>90</v>
      </c>
      <c r="E45" s="2" t="s">
        <v>60</v>
      </c>
      <c r="F45" s="2"/>
      <c r="G45" s="3" t="s">
        <v>202</v>
      </c>
      <c r="H45" s="4" t="s">
        <v>203</v>
      </c>
      <c r="I45" s="5"/>
      <c r="J45" s="2">
        <v>8</v>
      </c>
      <c r="K45" s="6">
        <v>4</v>
      </c>
      <c r="L45" s="16">
        <v>3</v>
      </c>
      <c r="M45" s="17">
        <v>1</v>
      </c>
      <c r="N45" s="20"/>
      <c r="O45" s="21"/>
      <c r="P45" s="5" t="s">
        <v>26</v>
      </c>
      <c r="Q45" s="5"/>
      <c r="R45" s="2">
        <v>1</v>
      </c>
      <c r="S45" s="2">
        <v>0</v>
      </c>
      <c r="T45" s="3" t="s">
        <v>176</v>
      </c>
      <c r="U45" s="5" t="s">
        <v>112</v>
      </c>
      <c r="V45" s="11">
        <f t="shared" si="0"/>
        <v>45</v>
      </c>
      <c r="W45" s="12">
        <f t="shared" si="1"/>
        <v>30</v>
      </c>
      <c r="X45" s="13">
        <f t="shared" si="2"/>
        <v>0</v>
      </c>
      <c r="Y45" s="14">
        <f t="shared" si="6"/>
        <v>0</v>
      </c>
      <c r="Z45" s="15">
        <f t="shared" si="4"/>
        <v>105</v>
      </c>
      <c r="AA45" s="15">
        <f t="shared" si="5"/>
        <v>20</v>
      </c>
      <c r="AB45" s="5"/>
      <c r="AC45" s="5">
        <v>1</v>
      </c>
      <c r="AD45" s="5"/>
    </row>
    <row r="46" spans="1:30" ht="31.5" x14ac:dyDescent="0.25">
      <c r="A46" s="1">
        <v>45</v>
      </c>
      <c r="B46" s="2" t="s">
        <v>197</v>
      </c>
      <c r="C46" s="2" t="s">
        <v>198</v>
      </c>
      <c r="D46" s="2" t="s">
        <v>90</v>
      </c>
      <c r="E46" s="2" t="s">
        <v>60</v>
      </c>
      <c r="F46" s="2"/>
      <c r="G46" s="3" t="s">
        <v>204</v>
      </c>
      <c r="H46" s="4" t="s">
        <v>205</v>
      </c>
      <c r="I46" s="5"/>
      <c r="J46" s="2">
        <v>7</v>
      </c>
      <c r="K46" s="6">
        <v>3</v>
      </c>
      <c r="L46" s="16">
        <v>2</v>
      </c>
      <c r="M46" s="17">
        <v>1</v>
      </c>
      <c r="N46" s="20"/>
      <c r="O46" s="21"/>
      <c r="P46" s="5" t="s">
        <v>26</v>
      </c>
      <c r="Q46" s="5"/>
      <c r="R46" s="2">
        <v>1</v>
      </c>
      <c r="S46" s="2">
        <v>0</v>
      </c>
      <c r="T46" s="5"/>
      <c r="U46" s="5"/>
      <c r="V46" s="11">
        <f t="shared" si="0"/>
        <v>30</v>
      </c>
      <c r="W46" s="12">
        <f t="shared" si="1"/>
        <v>30</v>
      </c>
      <c r="X46" s="13">
        <f t="shared" si="2"/>
        <v>0</v>
      </c>
      <c r="Y46" s="14">
        <f t="shared" si="6"/>
        <v>0</v>
      </c>
      <c r="Z46" s="15">
        <f t="shared" si="4"/>
        <v>75</v>
      </c>
      <c r="AA46" s="15">
        <f t="shared" si="5"/>
        <v>15</v>
      </c>
      <c r="AB46" s="5"/>
      <c r="AC46" s="5">
        <v>1</v>
      </c>
      <c r="AD46" s="5"/>
    </row>
    <row r="47" spans="1:30" ht="31.5" x14ac:dyDescent="0.25">
      <c r="A47" s="1">
        <v>46</v>
      </c>
      <c r="B47" s="2" t="s">
        <v>197</v>
      </c>
      <c r="C47" s="2" t="s">
        <v>198</v>
      </c>
      <c r="D47" s="2" t="s">
        <v>90</v>
      </c>
      <c r="E47" s="2" t="s">
        <v>60</v>
      </c>
      <c r="F47" s="2"/>
      <c r="G47" s="3" t="s">
        <v>177</v>
      </c>
      <c r="H47" s="4" t="s">
        <v>206</v>
      </c>
      <c r="I47" s="5"/>
      <c r="J47" s="2">
        <v>7</v>
      </c>
      <c r="K47" s="6">
        <v>4</v>
      </c>
      <c r="L47" s="16">
        <v>3</v>
      </c>
      <c r="M47" s="17">
        <v>1</v>
      </c>
      <c r="N47" s="20"/>
      <c r="O47" s="21"/>
      <c r="P47" s="5" t="s">
        <v>26</v>
      </c>
      <c r="Q47" s="5"/>
      <c r="R47" s="2">
        <v>1</v>
      </c>
      <c r="S47" s="2">
        <v>0</v>
      </c>
      <c r="T47" s="3" t="s">
        <v>281</v>
      </c>
      <c r="U47" s="5" t="s">
        <v>112</v>
      </c>
      <c r="V47" s="11">
        <f t="shared" si="0"/>
        <v>45</v>
      </c>
      <c r="W47" s="12">
        <f t="shared" si="1"/>
        <v>30</v>
      </c>
      <c r="X47" s="13">
        <f t="shared" si="2"/>
        <v>0</v>
      </c>
      <c r="Y47" s="14">
        <f t="shared" si="6"/>
        <v>0</v>
      </c>
      <c r="Z47" s="15">
        <f t="shared" si="4"/>
        <v>105</v>
      </c>
      <c r="AA47" s="15">
        <f t="shared" si="5"/>
        <v>20</v>
      </c>
      <c r="AB47" s="5"/>
      <c r="AC47" s="5">
        <v>1</v>
      </c>
      <c r="AD47" s="5"/>
    </row>
    <row r="48" spans="1:30" ht="31.5" x14ac:dyDescent="0.25">
      <c r="A48" s="1">
        <v>47</v>
      </c>
      <c r="B48" s="2" t="s">
        <v>197</v>
      </c>
      <c r="C48" s="2" t="s">
        <v>198</v>
      </c>
      <c r="D48" s="2" t="s">
        <v>90</v>
      </c>
      <c r="E48" s="2" t="s">
        <v>60</v>
      </c>
      <c r="F48" s="2"/>
      <c r="G48" s="3" t="s">
        <v>207</v>
      </c>
      <c r="H48" s="4" t="s">
        <v>208</v>
      </c>
      <c r="I48" s="5"/>
      <c r="J48" s="2">
        <v>7</v>
      </c>
      <c r="K48" s="6">
        <v>4</v>
      </c>
      <c r="L48" s="16">
        <v>3</v>
      </c>
      <c r="M48" s="17">
        <v>1</v>
      </c>
      <c r="N48" s="20"/>
      <c r="O48" s="21"/>
      <c r="P48" s="5" t="s">
        <v>26</v>
      </c>
      <c r="Q48" s="5"/>
      <c r="R48" s="2">
        <v>1</v>
      </c>
      <c r="S48" s="2">
        <v>0</v>
      </c>
      <c r="T48" s="5"/>
      <c r="U48" s="5"/>
      <c r="V48" s="11">
        <f t="shared" si="0"/>
        <v>45</v>
      </c>
      <c r="W48" s="12">
        <f t="shared" si="1"/>
        <v>30</v>
      </c>
      <c r="X48" s="13">
        <f t="shared" si="2"/>
        <v>0</v>
      </c>
      <c r="Y48" s="14">
        <f t="shared" si="6"/>
        <v>0</v>
      </c>
      <c r="Z48" s="15">
        <f t="shared" si="4"/>
        <v>105</v>
      </c>
      <c r="AA48" s="15">
        <f t="shared" si="5"/>
        <v>20</v>
      </c>
      <c r="AB48" s="5"/>
      <c r="AC48" s="5">
        <v>1</v>
      </c>
      <c r="AD48" s="5"/>
    </row>
    <row r="49" spans="1:30" ht="31.5" x14ac:dyDescent="0.25">
      <c r="A49" s="1">
        <v>48</v>
      </c>
      <c r="B49" s="2" t="s">
        <v>197</v>
      </c>
      <c r="C49" s="2" t="s">
        <v>198</v>
      </c>
      <c r="D49" s="2" t="s">
        <v>90</v>
      </c>
      <c r="E49" s="2" t="s">
        <v>60</v>
      </c>
      <c r="F49" s="2"/>
      <c r="G49" s="3" t="s">
        <v>89</v>
      </c>
      <c r="H49" s="4" t="s">
        <v>90</v>
      </c>
      <c r="I49" s="5"/>
      <c r="J49" s="2">
        <v>7</v>
      </c>
      <c r="K49" s="6">
        <v>2</v>
      </c>
      <c r="L49" s="16">
        <v>2</v>
      </c>
      <c r="M49" s="17"/>
      <c r="N49" s="20"/>
      <c r="O49" s="21"/>
      <c r="P49" s="5"/>
      <c r="Q49" s="5"/>
      <c r="R49" s="2">
        <v>1</v>
      </c>
      <c r="S49" s="2">
        <v>0</v>
      </c>
      <c r="T49" s="5"/>
      <c r="U49" s="5"/>
      <c r="V49" s="11">
        <f t="shared" si="0"/>
        <v>30</v>
      </c>
      <c r="W49" s="12">
        <f t="shared" si="1"/>
        <v>0</v>
      </c>
      <c r="X49" s="13">
        <f t="shared" si="2"/>
        <v>0</v>
      </c>
      <c r="Y49" s="14">
        <f t="shared" si="6"/>
        <v>0</v>
      </c>
      <c r="Z49" s="15">
        <f t="shared" si="4"/>
        <v>60</v>
      </c>
      <c r="AA49" s="15">
        <f t="shared" si="5"/>
        <v>10</v>
      </c>
      <c r="AB49" s="5"/>
      <c r="AC49" s="5">
        <v>1</v>
      </c>
      <c r="AD49" s="5"/>
    </row>
    <row r="50" spans="1:30" ht="31.5" x14ac:dyDescent="0.25">
      <c r="A50" s="1">
        <v>49</v>
      </c>
      <c r="B50" s="2" t="s">
        <v>197</v>
      </c>
      <c r="C50" s="2" t="s">
        <v>198</v>
      </c>
      <c r="D50" s="2" t="s">
        <v>90</v>
      </c>
      <c r="E50" s="2" t="s">
        <v>60</v>
      </c>
      <c r="F50" s="2"/>
      <c r="G50" s="3" t="s">
        <v>148</v>
      </c>
      <c r="H50" s="4" t="s">
        <v>209</v>
      </c>
      <c r="I50" s="5"/>
      <c r="J50" s="2">
        <v>8</v>
      </c>
      <c r="K50" s="6">
        <v>5</v>
      </c>
      <c r="L50" s="16">
        <v>1</v>
      </c>
      <c r="M50" s="17"/>
      <c r="N50" s="20">
        <v>4</v>
      </c>
      <c r="O50" s="21"/>
      <c r="P50" s="5"/>
      <c r="Q50" s="5"/>
      <c r="R50" s="2">
        <v>1</v>
      </c>
      <c r="S50" s="2">
        <v>0</v>
      </c>
      <c r="T50" s="5"/>
      <c r="U50" s="5"/>
      <c r="V50" s="11">
        <f t="shared" si="0"/>
        <v>15</v>
      </c>
      <c r="W50" s="12">
        <f t="shared" si="1"/>
        <v>0</v>
      </c>
      <c r="X50" s="13">
        <f t="shared" si="2"/>
        <v>60</v>
      </c>
      <c r="Y50" s="14">
        <f t="shared" si="6"/>
        <v>0</v>
      </c>
      <c r="Z50" s="15">
        <f t="shared" si="4"/>
        <v>210</v>
      </c>
      <c r="AA50" s="15">
        <f t="shared" si="5"/>
        <v>25</v>
      </c>
      <c r="AB50" s="5"/>
      <c r="AC50" s="5">
        <v>1</v>
      </c>
      <c r="AD50" s="5"/>
    </row>
    <row r="51" spans="1:30" ht="31.5" x14ac:dyDescent="0.25">
      <c r="A51" s="1">
        <v>50</v>
      </c>
      <c r="B51" s="2" t="s">
        <v>197</v>
      </c>
      <c r="C51" s="2" t="s">
        <v>198</v>
      </c>
      <c r="D51" s="2" t="s">
        <v>90</v>
      </c>
      <c r="E51" s="2" t="s">
        <v>60</v>
      </c>
      <c r="F51" s="2"/>
      <c r="G51" s="3" t="s">
        <v>210</v>
      </c>
      <c r="H51" s="4" t="s">
        <v>211</v>
      </c>
      <c r="I51" s="5"/>
      <c r="J51" s="2">
        <v>7</v>
      </c>
      <c r="K51" s="6">
        <v>2</v>
      </c>
      <c r="L51" s="16">
        <v>2</v>
      </c>
      <c r="M51" s="17"/>
      <c r="N51" s="20"/>
      <c r="O51" s="21"/>
      <c r="P51" s="5"/>
      <c r="Q51" s="5"/>
      <c r="R51" s="2">
        <v>1</v>
      </c>
      <c r="S51" s="2">
        <v>0</v>
      </c>
      <c r="T51" s="5"/>
      <c r="U51" s="5"/>
      <c r="V51" s="11">
        <f t="shared" si="0"/>
        <v>30</v>
      </c>
      <c r="W51" s="12">
        <f t="shared" si="1"/>
        <v>0</v>
      </c>
      <c r="X51" s="13">
        <f t="shared" si="2"/>
        <v>0</v>
      </c>
      <c r="Y51" s="14">
        <f t="shared" si="6"/>
        <v>0</v>
      </c>
      <c r="Z51" s="15">
        <f t="shared" si="4"/>
        <v>60</v>
      </c>
      <c r="AA51" s="15">
        <f t="shared" si="5"/>
        <v>10</v>
      </c>
      <c r="AB51" s="5"/>
      <c r="AC51" s="5">
        <v>1</v>
      </c>
      <c r="AD51" s="5"/>
    </row>
    <row r="52" spans="1:30" ht="31.5" x14ac:dyDescent="0.25">
      <c r="A52" s="1">
        <v>51</v>
      </c>
      <c r="B52" s="2" t="s">
        <v>212</v>
      </c>
      <c r="C52" s="2" t="s">
        <v>213</v>
      </c>
      <c r="D52" s="2" t="s">
        <v>214</v>
      </c>
      <c r="E52" s="2" t="s">
        <v>60</v>
      </c>
      <c r="F52" s="2"/>
      <c r="G52" s="3" t="s">
        <v>215</v>
      </c>
      <c r="H52" s="4" t="s">
        <v>216</v>
      </c>
      <c r="I52" s="5"/>
      <c r="J52" s="2">
        <v>7</v>
      </c>
      <c r="K52" s="6">
        <v>3</v>
      </c>
      <c r="L52" s="16">
        <v>2</v>
      </c>
      <c r="M52" s="23">
        <v>1</v>
      </c>
      <c r="N52" s="20"/>
      <c r="O52" s="21"/>
      <c r="P52" s="5" t="s">
        <v>26</v>
      </c>
      <c r="Q52" s="5"/>
      <c r="R52" s="2">
        <v>1</v>
      </c>
      <c r="S52" s="2">
        <v>0</v>
      </c>
      <c r="T52" s="5"/>
      <c r="U52" s="5"/>
      <c r="V52" s="11">
        <f t="shared" si="0"/>
        <v>30</v>
      </c>
      <c r="W52" s="12">
        <f t="shared" si="1"/>
        <v>30</v>
      </c>
      <c r="X52" s="13">
        <f t="shared" si="2"/>
        <v>0</v>
      </c>
      <c r="Y52" s="14">
        <f t="shared" si="6"/>
        <v>0</v>
      </c>
      <c r="Z52" s="15">
        <f t="shared" si="4"/>
        <v>75</v>
      </c>
      <c r="AA52" s="15">
        <f t="shared" si="5"/>
        <v>15</v>
      </c>
      <c r="AB52" s="5"/>
      <c r="AC52" s="5">
        <v>1</v>
      </c>
      <c r="AD52" s="5"/>
    </row>
    <row r="53" spans="1:30" ht="31.5" x14ac:dyDescent="0.25">
      <c r="A53" s="1">
        <v>52</v>
      </c>
      <c r="B53" s="2" t="s">
        <v>212</v>
      </c>
      <c r="C53" s="2" t="s">
        <v>213</v>
      </c>
      <c r="D53" s="2" t="s">
        <v>214</v>
      </c>
      <c r="E53" s="2" t="s">
        <v>60</v>
      </c>
      <c r="F53" s="2"/>
      <c r="G53" s="3" t="s">
        <v>217</v>
      </c>
      <c r="H53" s="4" t="s">
        <v>218</v>
      </c>
      <c r="I53" s="5"/>
      <c r="J53" s="2">
        <v>7</v>
      </c>
      <c r="K53" s="6">
        <v>3</v>
      </c>
      <c r="L53" s="16">
        <v>2</v>
      </c>
      <c r="M53" s="23">
        <v>1</v>
      </c>
      <c r="N53" s="20"/>
      <c r="O53" s="21"/>
      <c r="P53" s="5" t="s">
        <v>26</v>
      </c>
      <c r="Q53" s="5"/>
      <c r="R53" s="2">
        <v>1</v>
      </c>
      <c r="S53" s="2">
        <v>0</v>
      </c>
      <c r="T53" s="5"/>
      <c r="U53" s="5"/>
      <c r="V53" s="11">
        <f t="shared" si="0"/>
        <v>30</v>
      </c>
      <c r="W53" s="12">
        <f t="shared" si="1"/>
        <v>30</v>
      </c>
      <c r="X53" s="13">
        <f t="shared" si="2"/>
        <v>0</v>
      </c>
      <c r="Y53" s="14">
        <f t="shared" si="6"/>
        <v>0</v>
      </c>
      <c r="Z53" s="15">
        <f t="shared" si="4"/>
        <v>75</v>
      </c>
      <c r="AA53" s="15">
        <f t="shared" si="5"/>
        <v>15</v>
      </c>
      <c r="AB53" s="5"/>
      <c r="AC53" s="5">
        <v>1</v>
      </c>
      <c r="AD53" s="5"/>
    </row>
    <row r="54" spans="1:30" ht="31.5" x14ac:dyDescent="0.25">
      <c r="A54" s="1">
        <v>53</v>
      </c>
      <c r="B54" s="2" t="s">
        <v>212</v>
      </c>
      <c r="C54" s="2" t="s">
        <v>213</v>
      </c>
      <c r="D54" s="2" t="s">
        <v>214</v>
      </c>
      <c r="E54" s="2" t="s">
        <v>60</v>
      </c>
      <c r="F54" s="2"/>
      <c r="G54" s="3" t="s">
        <v>219</v>
      </c>
      <c r="H54" s="4" t="s">
        <v>220</v>
      </c>
      <c r="I54" s="5"/>
      <c r="J54" s="2">
        <v>7</v>
      </c>
      <c r="K54" s="6">
        <v>4</v>
      </c>
      <c r="L54" s="16">
        <v>3</v>
      </c>
      <c r="M54" s="23">
        <v>1</v>
      </c>
      <c r="N54" s="20"/>
      <c r="O54" s="21"/>
      <c r="P54" s="5" t="s">
        <v>26</v>
      </c>
      <c r="Q54" s="5"/>
      <c r="R54" s="2">
        <v>1</v>
      </c>
      <c r="S54" s="2">
        <v>0</v>
      </c>
      <c r="T54" s="5"/>
      <c r="U54" s="5"/>
      <c r="V54" s="11">
        <f t="shared" si="0"/>
        <v>45</v>
      </c>
      <c r="W54" s="12">
        <f t="shared" si="1"/>
        <v>30</v>
      </c>
      <c r="X54" s="13">
        <f t="shared" si="2"/>
        <v>0</v>
      </c>
      <c r="Y54" s="14">
        <f t="shared" si="6"/>
        <v>0</v>
      </c>
      <c r="Z54" s="15">
        <f t="shared" si="4"/>
        <v>105</v>
      </c>
      <c r="AA54" s="15">
        <f t="shared" si="5"/>
        <v>20</v>
      </c>
      <c r="AB54" s="5"/>
      <c r="AC54" s="5">
        <v>1</v>
      </c>
      <c r="AD54" s="5"/>
    </row>
    <row r="55" spans="1:30" ht="31.5" x14ac:dyDescent="0.25">
      <c r="A55" s="1">
        <v>54</v>
      </c>
      <c r="B55" s="2" t="s">
        <v>212</v>
      </c>
      <c r="C55" s="2" t="s">
        <v>213</v>
      </c>
      <c r="D55" s="2" t="s">
        <v>214</v>
      </c>
      <c r="E55" s="2" t="s">
        <v>60</v>
      </c>
      <c r="F55" s="2"/>
      <c r="G55" s="3" t="s">
        <v>221</v>
      </c>
      <c r="H55" s="4" t="s">
        <v>222</v>
      </c>
      <c r="I55" s="5"/>
      <c r="J55" s="2">
        <v>8</v>
      </c>
      <c r="K55" s="6">
        <v>4</v>
      </c>
      <c r="L55" s="16">
        <v>3</v>
      </c>
      <c r="M55" s="23">
        <v>1</v>
      </c>
      <c r="N55" s="20"/>
      <c r="O55" s="21"/>
      <c r="P55" s="5" t="s">
        <v>26</v>
      </c>
      <c r="Q55" s="5"/>
      <c r="R55" s="2">
        <v>1</v>
      </c>
      <c r="S55" s="2">
        <v>0</v>
      </c>
      <c r="T55" s="5"/>
      <c r="U55" s="5"/>
      <c r="V55" s="11">
        <f t="shared" si="0"/>
        <v>45</v>
      </c>
      <c r="W55" s="12">
        <f t="shared" si="1"/>
        <v>30</v>
      </c>
      <c r="X55" s="13">
        <f t="shared" si="2"/>
        <v>0</v>
      </c>
      <c r="Y55" s="14">
        <f t="shared" si="6"/>
        <v>0</v>
      </c>
      <c r="Z55" s="15">
        <f t="shared" si="4"/>
        <v>105</v>
      </c>
      <c r="AA55" s="15">
        <f t="shared" si="5"/>
        <v>20</v>
      </c>
      <c r="AB55" s="5"/>
      <c r="AC55" s="5">
        <v>1</v>
      </c>
      <c r="AD55" s="5"/>
    </row>
    <row r="56" spans="1:30" ht="31.5" x14ac:dyDescent="0.25">
      <c r="A56" s="1">
        <v>55</v>
      </c>
      <c r="B56" s="2" t="s">
        <v>212</v>
      </c>
      <c r="C56" s="2" t="s">
        <v>213</v>
      </c>
      <c r="D56" s="2" t="s">
        <v>214</v>
      </c>
      <c r="E56" s="2" t="s">
        <v>60</v>
      </c>
      <c r="F56" s="2"/>
      <c r="G56" s="3" t="s">
        <v>223</v>
      </c>
      <c r="H56" s="4" t="s">
        <v>224</v>
      </c>
      <c r="I56" s="5"/>
      <c r="J56" s="2">
        <v>8</v>
      </c>
      <c r="K56" s="6">
        <v>3</v>
      </c>
      <c r="L56" s="16">
        <v>2</v>
      </c>
      <c r="M56" s="23">
        <v>1</v>
      </c>
      <c r="N56" s="20"/>
      <c r="O56" s="21"/>
      <c r="P56" s="5" t="s">
        <v>26</v>
      </c>
      <c r="Q56" s="5"/>
      <c r="R56" s="2">
        <v>1</v>
      </c>
      <c r="S56" s="2">
        <v>0</v>
      </c>
      <c r="T56" s="5"/>
      <c r="U56" s="5"/>
      <c r="V56" s="11">
        <f t="shared" si="0"/>
        <v>30</v>
      </c>
      <c r="W56" s="12">
        <f t="shared" si="1"/>
        <v>30</v>
      </c>
      <c r="X56" s="13">
        <f t="shared" si="2"/>
        <v>0</v>
      </c>
      <c r="Y56" s="14">
        <f t="shared" si="6"/>
        <v>0</v>
      </c>
      <c r="Z56" s="15">
        <f t="shared" si="4"/>
        <v>75</v>
      </c>
      <c r="AA56" s="15">
        <f t="shared" si="5"/>
        <v>15</v>
      </c>
      <c r="AB56" s="5"/>
      <c r="AC56" s="5">
        <v>1</v>
      </c>
      <c r="AD56" s="5"/>
    </row>
    <row r="57" spans="1:30" ht="31.5" x14ac:dyDescent="0.25">
      <c r="A57" s="1">
        <v>56</v>
      </c>
      <c r="B57" s="2" t="s">
        <v>212</v>
      </c>
      <c r="C57" s="2" t="s">
        <v>213</v>
      </c>
      <c r="D57" s="2" t="s">
        <v>214</v>
      </c>
      <c r="E57" s="2" t="s">
        <v>60</v>
      </c>
      <c r="F57" s="2"/>
      <c r="G57" s="3" t="s">
        <v>225</v>
      </c>
      <c r="H57" s="4" t="s">
        <v>226</v>
      </c>
      <c r="I57" s="5"/>
      <c r="J57" s="2">
        <v>7</v>
      </c>
      <c r="K57" s="6">
        <v>3</v>
      </c>
      <c r="L57" s="16">
        <v>2</v>
      </c>
      <c r="M57" s="23">
        <v>1</v>
      </c>
      <c r="N57" s="20"/>
      <c r="O57" s="21"/>
      <c r="P57" s="5" t="s">
        <v>26</v>
      </c>
      <c r="Q57" s="5"/>
      <c r="R57" s="2">
        <v>1</v>
      </c>
      <c r="S57" s="2">
        <v>0</v>
      </c>
      <c r="T57" s="5"/>
      <c r="U57" s="5"/>
      <c r="V57" s="11">
        <f t="shared" si="0"/>
        <v>30</v>
      </c>
      <c r="W57" s="12">
        <f t="shared" si="1"/>
        <v>30</v>
      </c>
      <c r="X57" s="13">
        <f t="shared" si="2"/>
        <v>0</v>
      </c>
      <c r="Y57" s="14">
        <f t="shared" si="6"/>
        <v>0</v>
      </c>
      <c r="Z57" s="15">
        <f t="shared" si="4"/>
        <v>75</v>
      </c>
      <c r="AA57" s="15">
        <f t="shared" si="5"/>
        <v>15</v>
      </c>
      <c r="AB57" s="5"/>
      <c r="AC57" s="5">
        <v>1</v>
      </c>
      <c r="AD57" s="5"/>
    </row>
    <row r="58" spans="1:30" ht="31.5" x14ac:dyDescent="0.25">
      <c r="A58" s="1">
        <v>57</v>
      </c>
      <c r="B58" s="2" t="s">
        <v>212</v>
      </c>
      <c r="C58" s="2" t="s">
        <v>213</v>
      </c>
      <c r="D58" s="2" t="s">
        <v>214</v>
      </c>
      <c r="E58" s="2" t="s">
        <v>60</v>
      </c>
      <c r="F58" s="2"/>
      <c r="G58" s="3" t="s">
        <v>227</v>
      </c>
      <c r="H58" s="4" t="s">
        <v>228</v>
      </c>
      <c r="I58" s="5"/>
      <c r="J58" s="2">
        <v>7</v>
      </c>
      <c r="K58" s="6">
        <v>3</v>
      </c>
      <c r="L58" s="16">
        <v>2</v>
      </c>
      <c r="M58" s="23">
        <v>1</v>
      </c>
      <c r="N58" s="20"/>
      <c r="O58" s="21"/>
      <c r="P58" s="5" t="s">
        <v>26</v>
      </c>
      <c r="Q58" s="5"/>
      <c r="R58" s="2">
        <v>1</v>
      </c>
      <c r="S58" s="2">
        <v>0</v>
      </c>
      <c r="T58" s="5"/>
      <c r="U58" s="5"/>
      <c r="V58" s="11">
        <f t="shared" si="0"/>
        <v>30</v>
      </c>
      <c r="W58" s="12">
        <f t="shared" si="1"/>
        <v>30</v>
      </c>
      <c r="X58" s="13">
        <f t="shared" si="2"/>
        <v>0</v>
      </c>
      <c r="Y58" s="14">
        <f t="shared" si="6"/>
        <v>0</v>
      </c>
      <c r="Z58" s="15">
        <f t="shared" si="4"/>
        <v>75</v>
      </c>
      <c r="AA58" s="15">
        <f t="shared" si="5"/>
        <v>15</v>
      </c>
      <c r="AB58" s="5"/>
      <c r="AC58" s="5">
        <v>1</v>
      </c>
      <c r="AD58" s="5"/>
    </row>
    <row r="59" spans="1:30" ht="31.5" x14ac:dyDescent="0.25">
      <c r="A59" s="1">
        <v>58</v>
      </c>
      <c r="B59" s="2" t="s">
        <v>212</v>
      </c>
      <c r="C59" s="2" t="s">
        <v>213</v>
      </c>
      <c r="D59" s="2" t="s">
        <v>214</v>
      </c>
      <c r="E59" s="2" t="s">
        <v>60</v>
      </c>
      <c r="F59" s="2"/>
      <c r="G59" s="3" t="s">
        <v>231</v>
      </c>
      <c r="H59" s="4" t="s">
        <v>232</v>
      </c>
      <c r="I59" s="5"/>
      <c r="J59" s="2">
        <v>8</v>
      </c>
      <c r="K59" s="6">
        <v>3</v>
      </c>
      <c r="L59" s="16">
        <v>2</v>
      </c>
      <c r="M59" s="23">
        <v>1</v>
      </c>
      <c r="N59" s="20"/>
      <c r="O59" s="21"/>
      <c r="P59" s="5" t="s">
        <v>26</v>
      </c>
      <c r="Q59" s="5"/>
      <c r="R59" s="2">
        <v>1</v>
      </c>
      <c r="S59" s="2">
        <v>0</v>
      </c>
      <c r="T59" s="5"/>
      <c r="U59" s="5"/>
      <c r="V59" s="11">
        <f t="shared" si="0"/>
        <v>30</v>
      </c>
      <c r="W59" s="12">
        <f t="shared" si="1"/>
        <v>30</v>
      </c>
      <c r="X59" s="13">
        <f t="shared" si="2"/>
        <v>0</v>
      </c>
      <c r="Y59" s="14">
        <f t="shared" si="6"/>
        <v>0</v>
      </c>
      <c r="Z59" s="15">
        <f t="shared" si="4"/>
        <v>75</v>
      </c>
      <c r="AA59" s="15">
        <f t="shared" si="5"/>
        <v>15</v>
      </c>
      <c r="AB59" s="5"/>
      <c r="AC59" s="5">
        <v>1</v>
      </c>
      <c r="AD59" s="5"/>
    </row>
    <row r="60" spans="1:30" ht="31.5" x14ac:dyDescent="0.25">
      <c r="A60" s="1">
        <v>59</v>
      </c>
      <c r="B60" s="2" t="s">
        <v>212</v>
      </c>
      <c r="C60" s="2" t="s">
        <v>213</v>
      </c>
      <c r="D60" s="2" t="s">
        <v>214</v>
      </c>
      <c r="E60" s="2" t="s">
        <v>60</v>
      </c>
      <c r="F60" s="2"/>
      <c r="G60" s="3" t="s">
        <v>233</v>
      </c>
      <c r="H60" s="4" t="s">
        <v>234</v>
      </c>
      <c r="I60" s="5"/>
      <c r="J60" s="2">
        <v>8</v>
      </c>
      <c r="K60" s="6">
        <v>5</v>
      </c>
      <c r="L60" s="16">
        <v>1</v>
      </c>
      <c r="M60" s="17"/>
      <c r="N60" s="20">
        <v>4</v>
      </c>
      <c r="O60" s="21"/>
      <c r="P60" s="5"/>
      <c r="Q60" s="5"/>
      <c r="R60" s="2">
        <v>1</v>
      </c>
      <c r="S60" s="2">
        <v>0</v>
      </c>
      <c r="T60" s="5"/>
      <c r="U60" s="5"/>
      <c r="V60" s="11">
        <f t="shared" si="0"/>
        <v>15</v>
      </c>
      <c r="W60" s="12">
        <f t="shared" si="1"/>
        <v>0</v>
      </c>
      <c r="X60" s="13">
        <f t="shared" si="2"/>
        <v>60</v>
      </c>
      <c r="Y60" s="14">
        <f t="shared" si="6"/>
        <v>0</v>
      </c>
      <c r="Z60" s="15">
        <f t="shared" si="4"/>
        <v>210</v>
      </c>
      <c r="AA60" s="15">
        <f t="shared" si="5"/>
        <v>25</v>
      </c>
      <c r="AB60" s="5"/>
      <c r="AC60" s="5">
        <v>1</v>
      </c>
      <c r="AD60" s="5"/>
    </row>
    <row r="61" spans="1:30" ht="31.5" x14ac:dyDescent="0.25">
      <c r="A61" s="1">
        <v>60</v>
      </c>
      <c r="B61" s="2" t="s">
        <v>212</v>
      </c>
      <c r="C61" s="2" t="s">
        <v>213</v>
      </c>
      <c r="D61" s="2" t="s">
        <v>214</v>
      </c>
      <c r="E61" s="2" t="s">
        <v>60</v>
      </c>
      <c r="F61" s="2"/>
      <c r="G61" s="3" t="s">
        <v>229</v>
      </c>
      <c r="H61" s="4" t="s">
        <v>230</v>
      </c>
      <c r="I61" s="5"/>
      <c r="J61" s="2">
        <v>7</v>
      </c>
      <c r="K61" s="6">
        <v>2</v>
      </c>
      <c r="L61" s="16">
        <v>2</v>
      </c>
      <c r="M61" s="17"/>
      <c r="N61" s="20"/>
      <c r="O61" s="21"/>
      <c r="P61" s="5"/>
      <c r="Q61" s="5"/>
      <c r="R61" s="2">
        <v>1</v>
      </c>
      <c r="S61" s="2">
        <v>0</v>
      </c>
      <c r="T61" s="5"/>
      <c r="U61" s="5"/>
      <c r="V61" s="11">
        <f t="shared" si="0"/>
        <v>30</v>
      </c>
      <c r="W61" s="12">
        <f t="shared" si="1"/>
        <v>0</v>
      </c>
      <c r="X61" s="13">
        <f t="shared" si="2"/>
        <v>0</v>
      </c>
      <c r="Y61" s="14">
        <f t="shared" si="6"/>
        <v>0</v>
      </c>
      <c r="Z61" s="15">
        <f t="shared" si="4"/>
        <v>60</v>
      </c>
      <c r="AA61" s="15">
        <f t="shared" si="5"/>
        <v>10</v>
      </c>
      <c r="AB61" s="5"/>
      <c r="AC61" s="5">
        <v>1</v>
      </c>
      <c r="AD61" s="5"/>
    </row>
    <row r="62" spans="1:30" ht="15.75" x14ac:dyDescent="0.25">
      <c r="A62" s="1">
        <v>61</v>
      </c>
      <c r="B62" s="2" t="s">
        <v>104</v>
      </c>
      <c r="C62" s="2"/>
      <c r="D62" s="2"/>
      <c r="E62" s="2" t="s">
        <v>105</v>
      </c>
      <c r="F62" s="2"/>
      <c r="G62" s="3" t="s">
        <v>106</v>
      </c>
      <c r="H62" s="4" t="s">
        <v>105</v>
      </c>
      <c r="I62" s="5"/>
      <c r="J62" s="2">
        <v>9</v>
      </c>
      <c r="K62" s="6">
        <v>3</v>
      </c>
      <c r="L62" s="16">
        <v>1</v>
      </c>
      <c r="M62" s="17"/>
      <c r="N62" s="20"/>
      <c r="O62" s="21">
        <v>2</v>
      </c>
      <c r="P62" s="5" t="s">
        <v>97</v>
      </c>
      <c r="Q62" s="5"/>
      <c r="R62" s="2">
        <v>0</v>
      </c>
      <c r="S62" s="2">
        <v>0</v>
      </c>
      <c r="T62" s="5"/>
      <c r="U62" s="5"/>
      <c r="V62" s="11">
        <f t="shared" si="0"/>
        <v>15</v>
      </c>
      <c r="W62" s="12">
        <f t="shared" si="1"/>
        <v>0</v>
      </c>
      <c r="X62" s="13">
        <f t="shared" si="2"/>
        <v>0</v>
      </c>
      <c r="Y62" s="14">
        <f t="shared" si="6"/>
        <v>90</v>
      </c>
      <c r="Z62" s="15">
        <f t="shared" si="4"/>
        <v>120</v>
      </c>
      <c r="AA62" s="15">
        <f t="shared" si="5"/>
        <v>15</v>
      </c>
      <c r="AB62" s="5"/>
      <c r="AC62" s="5">
        <v>1</v>
      </c>
      <c r="AD62" s="5"/>
    </row>
    <row r="63" spans="1:30" ht="15.75" x14ac:dyDescent="0.25">
      <c r="A63" s="1">
        <v>62</v>
      </c>
      <c r="B63" s="2" t="s">
        <v>235</v>
      </c>
      <c r="C63" s="2"/>
      <c r="D63" s="2"/>
      <c r="E63" s="2" t="s">
        <v>107</v>
      </c>
      <c r="F63" s="2"/>
      <c r="G63" s="3" t="s">
        <v>108</v>
      </c>
      <c r="H63" s="4" t="s">
        <v>109</v>
      </c>
      <c r="I63" s="5"/>
      <c r="J63" s="2">
        <v>9</v>
      </c>
      <c r="K63" s="6">
        <v>9</v>
      </c>
      <c r="L63" s="16">
        <v>1</v>
      </c>
      <c r="M63" s="17"/>
      <c r="N63" s="20"/>
      <c r="O63" s="21">
        <v>8</v>
      </c>
      <c r="P63" s="5"/>
      <c r="Q63" s="5"/>
      <c r="R63" s="2">
        <v>1</v>
      </c>
      <c r="S63" s="2">
        <v>1</v>
      </c>
      <c r="T63" s="5"/>
      <c r="U63" s="5"/>
      <c r="V63" s="11">
        <f t="shared" si="0"/>
        <v>15</v>
      </c>
      <c r="W63" s="12">
        <f t="shared" si="1"/>
        <v>0</v>
      </c>
      <c r="X63" s="13">
        <f t="shared" si="2"/>
        <v>0</v>
      </c>
      <c r="Y63" s="14">
        <f t="shared" si="6"/>
        <v>360</v>
      </c>
      <c r="Z63" s="15">
        <f t="shared" si="4"/>
        <v>390</v>
      </c>
      <c r="AA63" s="15">
        <f t="shared" si="5"/>
        <v>45</v>
      </c>
      <c r="AB63" s="5"/>
      <c r="AC63" s="5">
        <v>1</v>
      </c>
      <c r="AD63" s="5"/>
    </row>
    <row r="64" spans="1:30" ht="15.75" x14ac:dyDescent="0.25">
      <c r="A64" s="1">
        <v>63</v>
      </c>
      <c r="B64" s="2" t="s">
        <v>235</v>
      </c>
      <c r="C64" s="2"/>
      <c r="D64" s="2"/>
      <c r="E64" s="2" t="s">
        <v>236</v>
      </c>
      <c r="F64" s="2"/>
      <c r="G64" s="3" t="s">
        <v>237</v>
      </c>
      <c r="H64" s="4" t="s">
        <v>238</v>
      </c>
      <c r="I64" s="5"/>
      <c r="J64" s="2">
        <v>9</v>
      </c>
      <c r="K64" s="6">
        <v>3</v>
      </c>
      <c r="L64" s="16">
        <v>2</v>
      </c>
      <c r="M64" s="17">
        <v>1</v>
      </c>
      <c r="N64" s="20"/>
      <c r="O64" s="21"/>
      <c r="P64" s="5" t="s">
        <v>26</v>
      </c>
      <c r="Q64" s="5"/>
      <c r="R64" s="2">
        <v>1</v>
      </c>
      <c r="S64" s="2">
        <v>1</v>
      </c>
      <c r="T64" s="5"/>
      <c r="U64" s="5"/>
      <c r="V64" s="11">
        <f t="shared" si="0"/>
        <v>30</v>
      </c>
      <c r="W64" s="12">
        <f t="shared" si="1"/>
        <v>30</v>
      </c>
      <c r="X64" s="13">
        <f t="shared" si="2"/>
        <v>0</v>
      </c>
      <c r="Y64" s="14">
        <f t="shared" si="6"/>
        <v>0</v>
      </c>
      <c r="Z64" s="15">
        <f t="shared" si="4"/>
        <v>75</v>
      </c>
      <c r="AA64" s="15">
        <f t="shared" si="5"/>
        <v>15</v>
      </c>
      <c r="AB64" s="5"/>
      <c r="AC64" s="5">
        <v>1</v>
      </c>
      <c r="AD64" s="5"/>
    </row>
    <row r="65" spans="1:30" ht="15.75" x14ac:dyDescent="0.25">
      <c r="A65" s="1">
        <v>64</v>
      </c>
      <c r="B65" s="2" t="s">
        <v>235</v>
      </c>
      <c r="C65" s="2"/>
      <c r="D65" s="2"/>
      <c r="E65" s="2" t="s">
        <v>236</v>
      </c>
      <c r="F65" s="2"/>
      <c r="G65" s="3" t="s">
        <v>239</v>
      </c>
      <c r="H65" s="4" t="s">
        <v>240</v>
      </c>
      <c r="I65" s="5"/>
      <c r="J65" s="2">
        <v>9</v>
      </c>
      <c r="K65" s="6">
        <v>3</v>
      </c>
      <c r="L65" s="16">
        <v>2</v>
      </c>
      <c r="M65" s="17">
        <v>1</v>
      </c>
      <c r="N65" s="20"/>
      <c r="O65" s="21"/>
      <c r="P65" s="5" t="s">
        <v>26</v>
      </c>
      <c r="Q65" s="5"/>
      <c r="R65" s="2">
        <v>1</v>
      </c>
      <c r="S65" s="2">
        <v>1</v>
      </c>
      <c r="T65" s="5"/>
      <c r="U65" s="5"/>
      <c r="V65" s="11">
        <f t="shared" si="0"/>
        <v>30</v>
      </c>
      <c r="W65" s="12">
        <f t="shared" si="1"/>
        <v>30</v>
      </c>
      <c r="X65" s="13">
        <f t="shared" si="2"/>
        <v>0</v>
      </c>
      <c r="Y65" s="14">
        <f t="shared" si="6"/>
        <v>0</v>
      </c>
      <c r="Z65" s="15">
        <f t="shared" si="4"/>
        <v>75</v>
      </c>
      <c r="AA65" s="15">
        <f t="shared" si="5"/>
        <v>15</v>
      </c>
      <c r="AB65" s="5"/>
      <c r="AC65" s="5">
        <v>1</v>
      </c>
      <c r="AD65" s="5"/>
    </row>
    <row r="66" spans="1:30" ht="15.75" x14ac:dyDescent="0.25">
      <c r="A66" s="1">
        <v>65</v>
      </c>
      <c r="B66" s="2" t="s">
        <v>235</v>
      </c>
      <c r="C66" s="2"/>
      <c r="D66" s="2"/>
      <c r="E66" s="2" t="s">
        <v>236</v>
      </c>
      <c r="F66" s="2"/>
      <c r="G66" s="3" t="s">
        <v>241</v>
      </c>
      <c r="H66" s="4" t="s">
        <v>242</v>
      </c>
      <c r="I66" s="5"/>
      <c r="J66" s="2">
        <v>9</v>
      </c>
      <c r="K66" s="6">
        <v>3</v>
      </c>
      <c r="L66" s="16">
        <v>2</v>
      </c>
      <c r="M66" s="17">
        <v>1</v>
      </c>
      <c r="N66" s="20"/>
      <c r="O66" s="21"/>
      <c r="P66" s="5" t="s">
        <v>26</v>
      </c>
      <c r="Q66" s="5"/>
      <c r="R66" s="2">
        <v>1</v>
      </c>
      <c r="S66" s="2">
        <v>1</v>
      </c>
      <c r="T66" s="5"/>
      <c r="U66" s="5"/>
      <c r="V66" s="11">
        <f t="shared" si="0"/>
        <v>30</v>
      </c>
      <c r="W66" s="12">
        <f t="shared" si="1"/>
        <v>30</v>
      </c>
      <c r="X66" s="13">
        <f t="shared" si="2"/>
        <v>0</v>
      </c>
      <c r="Y66" s="14">
        <f t="shared" si="6"/>
        <v>0</v>
      </c>
      <c r="Z66" s="15">
        <f t="shared" si="4"/>
        <v>75</v>
      </c>
      <c r="AA66" s="15">
        <f t="shared" si="5"/>
        <v>15</v>
      </c>
      <c r="AB66" s="5"/>
      <c r="AC66" s="5">
        <v>1</v>
      </c>
      <c r="AD66" s="5"/>
    </row>
  </sheetData>
  <dataValidations count="5">
    <dataValidation type="list" allowBlank="1" showErrorMessage="1" sqref="AC2:AC66" xr:uid="{00000000-0002-0000-0500-000000000000}">
      <formula1>"1,0"</formula1>
    </dataValidation>
    <dataValidation type="list" allowBlank="1" showErrorMessage="1" sqref="U2:U66" xr:uid="{00000000-0002-0000-0500-000001000000}">
      <formula1>"Tiên quyết (c),Học trước (d),Song hành (e)"</formula1>
    </dataValidation>
    <dataValidation type="list" allowBlank="1" showErrorMessage="1" sqref="Q2:Q66" xr:uid="{00000000-0002-0000-0500-000002000000}">
      <formula1>"Nhóm 1,Nhóm 2,Nhóm 3,Nhóm 4"</formula1>
    </dataValidation>
    <dataValidation type="list" allowBlank="1" showErrorMessage="1" sqref="P2:P66" xr:uid="{00000000-0002-0000-0500-000003000000}">
      <formula1>"T,N"</formula1>
    </dataValidation>
    <dataValidation type="list" allowBlank="1" showErrorMessage="1" sqref="AB2:AB66" xr:uid="{00000000-0002-0000-0500-000004000000}">
      <formula1>#REF!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66"/>
  <sheetViews>
    <sheetView workbookViewId="0">
      <selection activeCell="F2" sqref="A2:XFD4"/>
    </sheetView>
  </sheetViews>
  <sheetFormatPr defaultColWidth="14.42578125" defaultRowHeight="15" customHeight="1" x14ac:dyDescent="0.25"/>
  <cols>
    <col min="1" max="1" width="5.140625" customWidth="1"/>
    <col min="2" max="2" width="17.5703125" customWidth="1"/>
    <col min="3" max="3" width="15.140625" customWidth="1"/>
    <col min="4" max="6" width="24.140625" customWidth="1"/>
    <col min="7" max="7" width="12.85546875" customWidth="1"/>
    <col min="8" max="8" width="30.140625" customWidth="1"/>
    <col min="10" max="10" width="7.42578125" customWidth="1"/>
    <col min="11" max="11" width="11" customWidth="1"/>
    <col min="20" max="20" width="30.7109375" customWidth="1"/>
    <col min="29" max="29" width="18" customWidth="1"/>
    <col min="30" max="30" width="16.7109375" customWidth="1"/>
  </cols>
  <sheetData>
    <row r="1" spans="1:33" ht="15" customHeight="1" x14ac:dyDescent="0.25">
      <c r="A1" t="s">
        <v>250</v>
      </c>
      <c r="B1" t="s">
        <v>251</v>
      </c>
      <c r="C1" t="s">
        <v>282</v>
      </c>
      <c r="D1" t="s">
        <v>283</v>
      </c>
      <c r="E1" t="s">
        <v>252</v>
      </c>
      <c r="F1" t="s">
        <v>284</v>
      </c>
      <c r="G1" t="s">
        <v>285</v>
      </c>
      <c r="H1" t="s">
        <v>286</v>
      </c>
      <c r="I1" t="s">
        <v>255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262</v>
      </c>
      <c r="Q1" t="s">
        <v>263</v>
      </c>
      <c r="R1" t="s">
        <v>264</v>
      </c>
      <c r="S1" t="s">
        <v>265</v>
      </c>
      <c r="T1" t="s">
        <v>266</v>
      </c>
      <c r="U1" t="s">
        <v>267</v>
      </c>
      <c r="V1" t="s">
        <v>268</v>
      </c>
      <c r="W1" t="s">
        <v>269</v>
      </c>
      <c r="X1" t="s">
        <v>270</v>
      </c>
      <c r="Y1" t="s">
        <v>271</v>
      </c>
      <c r="Z1" t="s">
        <v>272</v>
      </c>
      <c r="AA1" t="s">
        <v>273</v>
      </c>
      <c r="AB1" t="s">
        <v>274</v>
      </c>
      <c r="AC1" t="s">
        <v>275</v>
      </c>
      <c r="AD1" t="s">
        <v>276</v>
      </c>
    </row>
    <row r="2" spans="1:33" ht="31.5" x14ac:dyDescent="0.25">
      <c r="A2" s="1">
        <v>1</v>
      </c>
      <c r="B2" s="2" t="s">
        <v>0</v>
      </c>
      <c r="C2" s="2"/>
      <c r="D2" s="2"/>
      <c r="E2" s="2" t="s">
        <v>1</v>
      </c>
      <c r="F2" s="2"/>
      <c r="G2" s="3" t="s">
        <v>2</v>
      </c>
      <c r="H2" s="4" t="s">
        <v>3</v>
      </c>
      <c r="I2" s="5"/>
      <c r="J2" s="2">
        <v>1</v>
      </c>
      <c r="K2" s="6">
        <v>3</v>
      </c>
      <c r="L2" s="16">
        <v>3</v>
      </c>
      <c r="M2" s="17"/>
      <c r="N2" s="20"/>
      <c r="O2" s="21"/>
      <c r="P2" s="5"/>
      <c r="Q2" s="5"/>
      <c r="R2" s="2">
        <v>0</v>
      </c>
      <c r="S2" s="2">
        <v>0</v>
      </c>
      <c r="T2" s="5"/>
      <c r="U2" s="5"/>
      <c r="V2" s="11">
        <f t="shared" ref="V2:V66" si="0">L2*15</f>
        <v>45</v>
      </c>
      <c r="W2" s="12">
        <f t="shared" ref="W2:W66" si="1">IF(M2="",0,IF(P2="T",M2*15*2,IF(P2="N",M2*15*3,"fail")))</f>
        <v>0</v>
      </c>
      <c r="X2" s="13">
        <f t="shared" ref="X2:X66" si="2">N2*15</f>
        <v>0</v>
      </c>
      <c r="Y2" s="14">
        <f t="shared" ref="Y2:Y4" si="3">IF(O2="",0,IF(P2="T",O2*15*2,IF(P2="N",O2*15*3,"fail")))</f>
        <v>0</v>
      </c>
      <c r="Z2" s="15">
        <f t="shared" ref="Z2:Z66" si="4">(L2*2+M2+N2*3+O2*3)*15</f>
        <v>90</v>
      </c>
      <c r="AA2" s="15">
        <f t="shared" ref="AA2:AA66" si="5">K2*5</f>
        <v>15</v>
      </c>
      <c r="AB2" s="5"/>
      <c r="AC2" s="5">
        <v>1</v>
      </c>
      <c r="AD2" s="5"/>
      <c r="AE2" s="28"/>
      <c r="AF2" s="28"/>
      <c r="AG2" s="28"/>
    </row>
    <row r="3" spans="1:33" ht="31.5" x14ac:dyDescent="0.25">
      <c r="A3" s="1">
        <v>2</v>
      </c>
      <c r="B3" s="2" t="s">
        <v>0</v>
      </c>
      <c r="C3" s="2"/>
      <c r="D3" s="2"/>
      <c r="E3" s="2" t="s">
        <v>1</v>
      </c>
      <c r="F3" s="2"/>
      <c r="G3" s="3" t="s">
        <v>110</v>
      </c>
      <c r="H3" s="4" t="s">
        <v>111</v>
      </c>
      <c r="I3" s="5"/>
      <c r="J3" s="2">
        <v>2</v>
      </c>
      <c r="K3" s="6">
        <v>2</v>
      </c>
      <c r="L3" s="16">
        <v>2</v>
      </c>
      <c r="M3" s="17"/>
      <c r="N3" s="20"/>
      <c r="O3" s="21"/>
      <c r="P3" s="5"/>
      <c r="Q3" s="5"/>
      <c r="R3" s="2">
        <v>0</v>
      </c>
      <c r="S3" s="2">
        <v>0</v>
      </c>
      <c r="T3" s="3" t="s">
        <v>2</v>
      </c>
      <c r="U3" s="5" t="s">
        <v>112</v>
      </c>
      <c r="V3" s="11">
        <f t="shared" si="0"/>
        <v>30</v>
      </c>
      <c r="W3" s="12">
        <f t="shared" si="1"/>
        <v>0</v>
      </c>
      <c r="X3" s="13">
        <f t="shared" si="2"/>
        <v>0</v>
      </c>
      <c r="Y3" s="14">
        <f t="shared" si="3"/>
        <v>0</v>
      </c>
      <c r="Z3" s="15">
        <f t="shared" si="4"/>
        <v>60</v>
      </c>
      <c r="AA3" s="15">
        <f t="shared" si="5"/>
        <v>10</v>
      </c>
      <c r="AB3" s="5"/>
      <c r="AC3" s="5">
        <v>1</v>
      </c>
      <c r="AD3" s="5"/>
      <c r="AE3" s="28"/>
      <c r="AF3" s="28"/>
      <c r="AG3" s="28"/>
    </row>
    <row r="4" spans="1:33" ht="31.5" x14ac:dyDescent="0.25">
      <c r="A4" s="1">
        <v>3</v>
      </c>
      <c r="B4" s="2" t="s">
        <v>0</v>
      </c>
      <c r="C4" s="2"/>
      <c r="D4" s="2"/>
      <c r="E4" s="2" t="s">
        <v>1</v>
      </c>
      <c r="F4" s="2"/>
      <c r="G4" s="3" t="s">
        <v>162</v>
      </c>
      <c r="H4" s="4" t="s">
        <v>28</v>
      </c>
      <c r="I4" s="5"/>
      <c r="J4" s="2">
        <v>2</v>
      </c>
      <c r="K4" s="6">
        <v>2</v>
      </c>
      <c r="L4" s="16">
        <v>2</v>
      </c>
      <c r="M4" s="17"/>
      <c r="N4" s="20"/>
      <c r="O4" s="21"/>
      <c r="P4" s="5"/>
      <c r="Q4" s="5"/>
      <c r="R4" s="2">
        <v>0</v>
      </c>
      <c r="S4" s="2">
        <v>0</v>
      </c>
      <c r="T4" s="3"/>
      <c r="U4" s="5"/>
      <c r="V4" s="11">
        <f t="shared" si="0"/>
        <v>30</v>
      </c>
      <c r="W4" s="12">
        <f t="shared" si="1"/>
        <v>0</v>
      </c>
      <c r="X4" s="13">
        <f t="shared" si="2"/>
        <v>0</v>
      </c>
      <c r="Y4" s="14">
        <f t="shared" si="3"/>
        <v>0</v>
      </c>
      <c r="Z4" s="15">
        <f t="shared" si="4"/>
        <v>60</v>
      </c>
      <c r="AA4" s="15">
        <f t="shared" si="5"/>
        <v>10</v>
      </c>
      <c r="AB4" s="5"/>
      <c r="AC4" s="5">
        <v>1</v>
      </c>
      <c r="AD4" s="5"/>
      <c r="AE4" s="28"/>
      <c r="AF4" s="28"/>
      <c r="AG4" s="28"/>
    </row>
    <row r="5" spans="1:33" ht="31.5" x14ac:dyDescent="0.25">
      <c r="A5" s="1">
        <v>4</v>
      </c>
      <c r="B5" s="2" t="s">
        <v>0</v>
      </c>
      <c r="C5" s="2"/>
      <c r="D5" s="2"/>
      <c r="E5" s="2" t="s">
        <v>1</v>
      </c>
      <c r="F5" s="2"/>
      <c r="G5" s="3" t="s">
        <v>113</v>
      </c>
      <c r="H5" s="4" t="s">
        <v>5</v>
      </c>
      <c r="I5" s="5"/>
      <c r="J5" s="2">
        <v>3</v>
      </c>
      <c r="K5" s="6">
        <v>2</v>
      </c>
      <c r="L5" s="16">
        <v>2</v>
      </c>
      <c r="M5" s="17"/>
      <c r="N5" s="20"/>
      <c r="O5" s="21"/>
      <c r="P5" s="5"/>
      <c r="Q5" s="5"/>
      <c r="R5" s="2">
        <v>0</v>
      </c>
      <c r="S5" s="2">
        <v>0</v>
      </c>
      <c r="T5" s="3" t="s">
        <v>110</v>
      </c>
      <c r="U5" s="5" t="s">
        <v>112</v>
      </c>
      <c r="V5" s="11">
        <f t="shared" si="0"/>
        <v>30</v>
      </c>
      <c r="W5" s="12">
        <f t="shared" si="1"/>
        <v>0</v>
      </c>
      <c r="X5" s="13">
        <f t="shared" si="2"/>
        <v>0</v>
      </c>
      <c r="Y5" s="14">
        <f t="shared" ref="Y5:Y66" si="6">IF(O5="",0,IF(P5="T",O5*15*2,O5*15*3))</f>
        <v>0</v>
      </c>
      <c r="Z5" s="15">
        <f t="shared" si="4"/>
        <v>60</v>
      </c>
      <c r="AA5" s="15">
        <f t="shared" si="5"/>
        <v>10</v>
      </c>
      <c r="AB5" s="5"/>
      <c r="AC5" s="5">
        <v>1</v>
      </c>
      <c r="AD5" s="5"/>
      <c r="AE5" s="28"/>
      <c r="AF5" s="28"/>
      <c r="AG5" s="28"/>
    </row>
    <row r="6" spans="1:33" ht="31.5" x14ac:dyDescent="0.25">
      <c r="A6" s="1">
        <v>5</v>
      </c>
      <c r="B6" s="2" t="s">
        <v>0</v>
      </c>
      <c r="C6" s="2"/>
      <c r="D6" s="2"/>
      <c r="E6" s="2" t="s">
        <v>1</v>
      </c>
      <c r="F6" s="2"/>
      <c r="G6" s="3" t="s">
        <v>114</v>
      </c>
      <c r="H6" s="4" t="s">
        <v>115</v>
      </c>
      <c r="I6" s="5"/>
      <c r="J6" s="2">
        <v>4</v>
      </c>
      <c r="K6" s="6">
        <v>2</v>
      </c>
      <c r="L6" s="16">
        <v>2</v>
      </c>
      <c r="M6" s="17"/>
      <c r="N6" s="20"/>
      <c r="O6" s="21"/>
      <c r="P6" s="5"/>
      <c r="Q6" s="5"/>
      <c r="R6" s="2">
        <v>0</v>
      </c>
      <c r="S6" s="2">
        <v>0</v>
      </c>
      <c r="T6" s="3"/>
      <c r="U6" s="5"/>
      <c r="V6" s="11">
        <f t="shared" si="0"/>
        <v>30</v>
      </c>
      <c r="W6" s="12">
        <f t="shared" si="1"/>
        <v>0</v>
      </c>
      <c r="X6" s="13">
        <f t="shared" si="2"/>
        <v>0</v>
      </c>
      <c r="Y6" s="14">
        <f t="shared" si="6"/>
        <v>0</v>
      </c>
      <c r="Z6" s="15">
        <f t="shared" si="4"/>
        <v>60</v>
      </c>
      <c r="AA6" s="15">
        <f t="shared" si="5"/>
        <v>10</v>
      </c>
      <c r="AB6" s="5"/>
      <c r="AC6" s="5">
        <v>1</v>
      </c>
      <c r="AD6" s="5"/>
      <c r="AE6" s="28"/>
      <c r="AF6" s="28"/>
      <c r="AG6" s="28"/>
    </row>
    <row r="7" spans="1:33" ht="31.5" x14ac:dyDescent="0.25">
      <c r="A7" s="1">
        <v>6</v>
      </c>
      <c r="B7" s="2" t="s">
        <v>0</v>
      </c>
      <c r="C7" s="2"/>
      <c r="D7" s="2"/>
      <c r="E7" s="2" t="s">
        <v>1</v>
      </c>
      <c r="F7" s="2"/>
      <c r="G7" s="3" t="s">
        <v>10</v>
      </c>
      <c r="H7" s="4" t="s">
        <v>11</v>
      </c>
      <c r="I7" s="5"/>
      <c r="J7" s="2">
        <v>4</v>
      </c>
      <c r="K7" s="6">
        <v>2</v>
      </c>
      <c r="L7" s="16">
        <v>2</v>
      </c>
      <c r="M7" s="17"/>
      <c r="N7" s="20"/>
      <c r="O7" s="21"/>
      <c r="P7" s="5"/>
      <c r="Q7" s="5"/>
      <c r="R7" s="2">
        <v>0</v>
      </c>
      <c r="S7" s="2">
        <v>0</v>
      </c>
      <c r="T7" s="3"/>
      <c r="U7" s="5"/>
      <c r="V7" s="11">
        <f t="shared" si="0"/>
        <v>30</v>
      </c>
      <c r="W7" s="12">
        <f t="shared" si="1"/>
        <v>0</v>
      </c>
      <c r="X7" s="13">
        <f t="shared" si="2"/>
        <v>0</v>
      </c>
      <c r="Y7" s="14">
        <f t="shared" si="6"/>
        <v>0</v>
      </c>
      <c r="Z7" s="15">
        <f t="shared" si="4"/>
        <v>60</v>
      </c>
      <c r="AA7" s="15">
        <f t="shared" si="5"/>
        <v>10</v>
      </c>
      <c r="AB7" s="5"/>
      <c r="AC7" s="5">
        <v>1</v>
      </c>
      <c r="AD7" s="5"/>
      <c r="AE7" s="28"/>
      <c r="AF7" s="28"/>
      <c r="AG7" s="28"/>
    </row>
    <row r="8" spans="1:33" ht="31.5" x14ac:dyDescent="0.25">
      <c r="A8" s="1">
        <v>7</v>
      </c>
      <c r="B8" s="2" t="s">
        <v>0</v>
      </c>
      <c r="C8" s="2"/>
      <c r="D8" s="2"/>
      <c r="E8" s="2" t="s">
        <v>1</v>
      </c>
      <c r="F8" s="2"/>
      <c r="G8" s="3" t="s">
        <v>163</v>
      </c>
      <c r="H8" s="4" t="s">
        <v>125</v>
      </c>
      <c r="I8" s="5"/>
      <c r="J8" s="2">
        <v>1</v>
      </c>
      <c r="K8" s="6">
        <v>3</v>
      </c>
      <c r="L8" s="16">
        <v>3</v>
      </c>
      <c r="M8" s="17"/>
      <c r="N8" s="20"/>
      <c r="O8" s="21"/>
      <c r="P8" s="5"/>
      <c r="Q8" s="5"/>
      <c r="R8" s="2">
        <v>0</v>
      </c>
      <c r="S8" s="2">
        <v>0</v>
      </c>
      <c r="T8" s="3"/>
      <c r="U8" s="5"/>
      <c r="V8" s="11">
        <f t="shared" si="0"/>
        <v>45</v>
      </c>
      <c r="W8" s="12">
        <f t="shared" si="1"/>
        <v>0</v>
      </c>
      <c r="X8" s="13">
        <f t="shared" si="2"/>
        <v>0</v>
      </c>
      <c r="Y8" s="14">
        <f t="shared" si="6"/>
        <v>0</v>
      </c>
      <c r="Z8" s="15">
        <f t="shared" si="4"/>
        <v>90</v>
      </c>
      <c r="AA8" s="15">
        <f t="shared" si="5"/>
        <v>15</v>
      </c>
      <c r="AB8" s="5"/>
      <c r="AC8" s="5">
        <v>1</v>
      </c>
      <c r="AD8" s="5"/>
      <c r="AE8" s="28"/>
      <c r="AF8" s="28"/>
      <c r="AG8" s="28"/>
    </row>
    <row r="9" spans="1:33" ht="31.5" x14ac:dyDescent="0.25">
      <c r="A9" s="1">
        <v>8</v>
      </c>
      <c r="B9" s="2" t="s">
        <v>0</v>
      </c>
      <c r="C9" s="2"/>
      <c r="D9" s="2"/>
      <c r="E9" s="2" t="s">
        <v>1</v>
      </c>
      <c r="F9" s="2"/>
      <c r="G9" s="3" t="s">
        <v>164</v>
      </c>
      <c r="H9" s="4" t="s">
        <v>25</v>
      </c>
      <c r="I9" s="5"/>
      <c r="J9" s="2">
        <v>1</v>
      </c>
      <c r="K9" s="6">
        <v>3</v>
      </c>
      <c r="L9" s="16">
        <v>2</v>
      </c>
      <c r="M9" s="17">
        <v>1</v>
      </c>
      <c r="N9" s="20"/>
      <c r="O9" s="21"/>
      <c r="P9" s="5" t="s">
        <v>26</v>
      </c>
      <c r="Q9" s="5"/>
      <c r="R9" s="2">
        <v>0</v>
      </c>
      <c r="S9" s="2">
        <v>0</v>
      </c>
      <c r="T9" s="3"/>
      <c r="U9" s="5"/>
      <c r="V9" s="11">
        <f t="shared" si="0"/>
        <v>30</v>
      </c>
      <c r="W9" s="12">
        <f t="shared" si="1"/>
        <v>30</v>
      </c>
      <c r="X9" s="13">
        <f t="shared" si="2"/>
        <v>0</v>
      </c>
      <c r="Y9" s="14">
        <f t="shared" si="6"/>
        <v>0</v>
      </c>
      <c r="Z9" s="15">
        <f t="shared" si="4"/>
        <v>75</v>
      </c>
      <c r="AA9" s="15">
        <f t="shared" si="5"/>
        <v>15</v>
      </c>
      <c r="AB9" s="5"/>
      <c r="AC9" s="5">
        <v>1</v>
      </c>
      <c r="AD9" s="5"/>
      <c r="AE9" s="28"/>
      <c r="AF9" s="28"/>
      <c r="AG9" s="28"/>
    </row>
    <row r="10" spans="1:33" ht="31.5" x14ac:dyDescent="0.25">
      <c r="A10" s="1">
        <v>9</v>
      </c>
      <c r="B10" s="2" t="s">
        <v>0</v>
      </c>
      <c r="C10" s="2"/>
      <c r="D10" s="2"/>
      <c r="E10" s="2" t="s">
        <v>1</v>
      </c>
      <c r="F10" s="2"/>
      <c r="G10" s="3" t="s">
        <v>165</v>
      </c>
      <c r="H10" s="4" t="s">
        <v>117</v>
      </c>
      <c r="I10" s="5"/>
      <c r="J10" s="2">
        <v>1</v>
      </c>
      <c r="K10" s="6">
        <v>3</v>
      </c>
      <c r="L10" s="16">
        <v>3</v>
      </c>
      <c r="M10" s="17"/>
      <c r="N10" s="20"/>
      <c r="O10" s="21"/>
      <c r="P10" s="5"/>
      <c r="Q10" s="5"/>
      <c r="R10" s="2">
        <v>0</v>
      </c>
      <c r="S10" s="2">
        <v>0</v>
      </c>
      <c r="T10" s="3"/>
      <c r="U10" s="5"/>
      <c r="V10" s="11">
        <f t="shared" si="0"/>
        <v>45</v>
      </c>
      <c r="W10" s="12">
        <f t="shared" si="1"/>
        <v>0</v>
      </c>
      <c r="X10" s="13">
        <f t="shared" si="2"/>
        <v>0</v>
      </c>
      <c r="Y10" s="14">
        <f t="shared" si="6"/>
        <v>0</v>
      </c>
      <c r="Z10" s="15">
        <f t="shared" si="4"/>
        <v>90</v>
      </c>
      <c r="AA10" s="15">
        <f t="shared" si="5"/>
        <v>15</v>
      </c>
      <c r="AB10" s="5"/>
      <c r="AC10" s="5">
        <v>1</v>
      </c>
      <c r="AD10" s="5"/>
      <c r="AE10" s="28"/>
      <c r="AF10" s="28"/>
      <c r="AG10" s="28"/>
    </row>
    <row r="11" spans="1:33" ht="31.5" x14ac:dyDescent="0.25">
      <c r="A11" s="1">
        <v>10</v>
      </c>
      <c r="B11" s="2" t="s">
        <v>0</v>
      </c>
      <c r="C11" s="2"/>
      <c r="D11" s="2"/>
      <c r="E11" s="2" t="s">
        <v>1</v>
      </c>
      <c r="F11" s="2"/>
      <c r="G11" s="3" t="s">
        <v>166</v>
      </c>
      <c r="H11" s="4" t="s">
        <v>119</v>
      </c>
      <c r="I11" s="5"/>
      <c r="J11" s="2">
        <v>2</v>
      </c>
      <c r="K11" s="6">
        <v>2</v>
      </c>
      <c r="L11" s="16">
        <v>2</v>
      </c>
      <c r="M11" s="17"/>
      <c r="N11" s="20"/>
      <c r="O11" s="21"/>
      <c r="P11" s="5"/>
      <c r="Q11" s="5"/>
      <c r="R11" s="2">
        <v>0</v>
      </c>
      <c r="S11" s="2">
        <v>0</v>
      </c>
      <c r="T11" s="3"/>
      <c r="U11" s="5"/>
      <c r="V11" s="11">
        <f t="shared" si="0"/>
        <v>30</v>
      </c>
      <c r="W11" s="12">
        <f t="shared" si="1"/>
        <v>0</v>
      </c>
      <c r="X11" s="13">
        <f t="shared" si="2"/>
        <v>0</v>
      </c>
      <c r="Y11" s="14">
        <f t="shared" si="6"/>
        <v>0</v>
      </c>
      <c r="Z11" s="15">
        <f t="shared" si="4"/>
        <v>60</v>
      </c>
      <c r="AA11" s="15">
        <f t="shared" si="5"/>
        <v>10</v>
      </c>
      <c r="AB11" s="5"/>
      <c r="AC11" s="5">
        <v>1</v>
      </c>
      <c r="AD11" s="5"/>
      <c r="AE11" s="28"/>
      <c r="AF11" s="28"/>
      <c r="AG11" s="28"/>
    </row>
    <row r="12" spans="1:33" ht="31.5" x14ac:dyDescent="0.25">
      <c r="A12" s="1">
        <v>11</v>
      </c>
      <c r="B12" s="2" t="s">
        <v>0</v>
      </c>
      <c r="C12" s="2"/>
      <c r="D12" s="2"/>
      <c r="E12" s="2" t="s">
        <v>1</v>
      </c>
      <c r="F12" s="2"/>
      <c r="G12" s="3" t="s">
        <v>244</v>
      </c>
      <c r="H12" s="4" t="s">
        <v>245</v>
      </c>
      <c r="I12" s="5"/>
      <c r="J12" s="2">
        <v>2</v>
      </c>
      <c r="K12" s="6">
        <v>2</v>
      </c>
      <c r="L12" s="16">
        <v>2</v>
      </c>
      <c r="M12" s="17"/>
      <c r="N12" s="20"/>
      <c r="O12" s="21"/>
      <c r="P12" s="5"/>
      <c r="Q12" s="5"/>
      <c r="R12" s="2">
        <v>0</v>
      </c>
      <c r="S12" s="2">
        <v>0</v>
      </c>
      <c r="T12" s="3"/>
      <c r="U12" s="5"/>
      <c r="V12" s="11">
        <f t="shared" si="0"/>
        <v>30</v>
      </c>
      <c r="W12" s="12">
        <f t="shared" si="1"/>
        <v>0</v>
      </c>
      <c r="X12" s="13">
        <f t="shared" si="2"/>
        <v>0</v>
      </c>
      <c r="Y12" s="14">
        <f t="shared" si="6"/>
        <v>0</v>
      </c>
      <c r="Z12" s="15">
        <f t="shared" si="4"/>
        <v>60</v>
      </c>
      <c r="AA12" s="15">
        <f t="shared" si="5"/>
        <v>10</v>
      </c>
      <c r="AB12" s="5"/>
      <c r="AC12" s="5">
        <v>1</v>
      </c>
      <c r="AD12" s="5"/>
      <c r="AE12" s="28"/>
      <c r="AF12" s="28"/>
      <c r="AG12" s="28"/>
    </row>
    <row r="13" spans="1:33" ht="31.5" x14ac:dyDescent="0.25">
      <c r="A13" s="1">
        <v>12</v>
      </c>
      <c r="B13" s="2" t="s">
        <v>0</v>
      </c>
      <c r="C13" s="2"/>
      <c r="D13" s="2"/>
      <c r="E13" s="2" t="s">
        <v>1</v>
      </c>
      <c r="F13" s="2"/>
      <c r="G13" s="3" t="s">
        <v>167</v>
      </c>
      <c r="H13" s="4" t="s">
        <v>32</v>
      </c>
      <c r="I13" s="5"/>
      <c r="J13" s="2">
        <v>3</v>
      </c>
      <c r="K13" s="6">
        <v>2</v>
      </c>
      <c r="L13" s="16">
        <v>2</v>
      </c>
      <c r="M13" s="17"/>
      <c r="N13" s="20"/>
      <c r="O13" s="21"/>
      <c r="P13" s="5"/>
      <c r="Q13" s="5"/>
      <c r="R13" s="2">
        <v>0</v>
      </c>
      <c r="S13" s="2">
        <v>0</v>
      </c>
      <c r="T13" s="3"/>
      <c r="U13" s="5"/>
      <c r="V13" s="11">
        <f t="shared" si="0"/>
        <v>30</v>
      </c>
      <c r="W13" s="12">
        <f t="shared" si="1"/>
        <v>0</v>
      </c>
      <c r="X13" s="13">
        <f t="shared" si="2"/>
        <v>0</v>
      </c>
      <c r="Y13" s="14">
        <f t="shared" si="6"/>
        <v>0</v>
      </c>
      <c r="Z13" s="15">
        <f t="shared" si="4"/>
        <v>60</v>
      </c>
      <c r="AA13" s="15">
        <f t="shared" si="5"/>
        <v>10</v>
      </c>
      <c r="AB13" s="5"/>
      <c r="AC13" s="5">
        <v>1</v>
      </c>
      <c r="AD13" s="5"/>
      <c r="AE13" s="28"/>
      <c r="AF13" s="28"/>
      <c r="AG13" s="28"/>
    </row>
    <row r="14" spans="1:33" ht="31.5" x14ac:dyDescent="0.25">
      <c r="A14" s="1">
        <v>13</v>
      </c>
      <c r="B14" s="2" t="s">
        <v>0</v>
      </c>
      <c r="C14" s="2"/>
      <c r="D14" s="2"/>
      <c r="E14" s="2" t="s">
        <v>1</v>
      </c>
      <c r="F14" s="2"/>
      <c r="G14" s="3" t="s">
        <v>168</v>
      </c>
      <c r="H14" s="4" t="s">
        <v>17</v>
      </c>
      <c r="I14" s="5"/>
      <c r="J14" s="2">
        <v>1</v>
      </c>
      <c r="K14" s="6">
        <v>3</v>
      </c>
      <c r="L14" s="16">
        <v>3</v>
      </c>
      <c r="M14" s="17"/>
      <c r="N14" s="20"/>
      <c r="O14" s="21"/>
      <c r="P14" s="5"/>
      <c r="Q14" s="5"/>
      <c r="R14" s="2">
        <v>0</v>
      </c>
      <c r="S14" s="2">
        <v>0</v>
      </c>
      <c r="T14" s="3"/>
      <c r="U14" s="5"/>
      <c r="V14" s="11">
        <f t="shared" si="0"/>
        <v>45</v>
      </c>
      <c r="W14" s="12">
        <f t="shared" si="1"/>
        <v>0</v>
      </c>
      <c r="X14" s="13">
        <f t="shared" si="2"/>
        <v>0</v>
      </c>
      <c r="Y14" s="14">
        <f t="shared" si="6"/>
        <v>0</v>
      </c>
      <c r="Z14" s="15">
        <f t="shared" si="4"/>
        <v>90</v>
      </c>
      <c r="AA14" s="15">
        <f t="shared" si="5"/>
        <v>15</v>
      </c>
      <c r="AB14" s="5"/>
      <c r="AC14" s="5">
        <v>1</v>
      </c>
      <c r="AD14" s="5"/>
      <c r="AE14" s="28"/>
      <c r="AF14" s="28"/>
      <c r="AG14" s="28"/>
    </row>
    <row r="15" spans="1:33" ht="31.5" x14ac:dyDescent="0.25">
      <c r="A15" s="1">
        <v>14</v>
      </c>
      <c r="B15" s="2" t="s">
        <v>0</v>
      </c>
      <c r="C15" s="2"/>
      <c r="D15" s="2"/>
      <c r="E15" s="2" t="s">
        <v>1</v>
      </c>
      <c r="F15" s="2"/>
      <c r="G15" s="3" t="s">
        <v>169</v>
      </c>
      <c r="H15" s="4" t="s">
        <v>19</v>
      </c>
      <c r="I15" s="5"/>
      <c r="J15" s="2">
        <v>2</v>
      </c>
      <c r="K15" s="6">
        <v>3</v>
      </c>
      <c r="L15" s="16">
        <v>3</v>
      </c>
      <c r="M15" s="17"/>
      <c r="N15" s="20"/>
      <c r="O15" s="21"/>
      <c r="P15" s="5"/>
      <c r="Q15" s="5"/>
      <c r="R15" s="2">
        <v>0</v>
      </c>
      <c r="S15" s="2">
        <v>0</v>
      </c>
      <c r="T15" s="3" t="s">
        <v>168</v>
      </c>
      <c r="U15" s="5" t="s">
        <v>112</v>
      </c>
      <c r="V15" s="11">
        <f t="shared" si="0"/>
        <v>45</v>
      </c>
      <c r="W15" s="12">
        <f t="shared" si="1"/>
        <v>0</v>
      </c>
      <c r="X15" s="13">
        <f t="shared" si="2"/>
        <v>0</v>
      </c>
      <c r="Y15" s="14">
        <f t="shared" si="6"/>
        <v>0</v>
      </c>
      <c r="Z15" s="15">
        <f t="shared" si="4"/>
        <v>90</v>
      </c>
      <c r="AA15" s="15">
        <f t="shared" si="5"/>
        <v>15</v>
      </c>
      <c r="AB15" s="5"/>
      <c r="AC15" s="5">
        <v>1</v>
      </c>
      <c r="AD15" s="5"/>
      <c r="AE15" s="28"/>
      <c r="AF15" s="28"/>
      <c r="AG15" s="28"/>
    </row>
    <row r="16" spans="1:33" ht="31.5" x14ac:dyDescent="0.25">
      <c r="A16" s="1">
        <v>15</v>
      </c>
      <c r="B16" s="2" t="s">
        <v>0</v>
      </c>
      <c r="C16" s="2"/>
      <c r="D16" s="2"/>
      <c r="E16" s="2" t="s">
        <v>1</v>
      </c>
      <c r="F16" s="2"/>
      <c r="G16" s="3" t="s">
        <v>170</v>
      </c>
      <c r="H16" s="4" t="s">
        <v>21</v>
      </c>
      <c r="I16" s="5"/>
      <c r="J16" s="2">
        <v>3</v>
      </c>
      <c r="K16" s="6">
        <v>3</v>
      </c>
      <c r="L16" s="16">
        <v>3</v>
      </c>
      <c r="M16" s="17"/>
      <c r="N16" s="20"/>
      <c r="O16" s="21"/>
      <c r="P16" s="5"/>
      <c r="Q16" s="5"/>
      <c r="R16" s="2">
        <v>0</v>
      </c>
      <c r="S16" s="2">
        <v>0</v>
      </c>
      <c r="T16" s="3" t="s">
        <v>169</v>
      </c>
      <c r="U16" s="5" t="s">
        <v>112</v>
      </c>
      <c r="V16" s="11">
        <f t="shared" si="0"/>
        <v>45</v>
      </c>
      <c r="W16" s="12">
        <f t="shared" si="1"/>
        <v>0</v>
      </c>
      <c r="X16" s="13">
        <f t="shared" si="2"/>
        <v>0</v>
      </c>
      <c r="Y16" s="14">
        <f t="shared" si="6"/>
        <v>0</v>
      </c>
      <c r="Z16" s="15">
        <f t="shared" si="4"/>
        <v>90</v>
      </c>
      <c r="AA16" s="15">
        <f t="shared" si="5"/>
        <v>15</v>
      </c>
      <c r="AB16" s="5"/>
      <c r="AC16" s="5">
        <v>1</v>
      </c>
      <c r="AD16" s="5"/>
      <c r="AE16" s="28"/>
      <c r="AF16" s="28"/>
      <c r="AG16" s="28"/>
    </row>
    <row r="17" spans="1:33" ht="31.5" x14ac:dyDescent="0.25">
      <c r="A17" s="1">
        <v>16</v>
      </c>
      <c r="B17" s="2" t="s">
        <v>0</v>
      </c>
      <c r="C17" s="2"/>
      <c r="D17" s="2"/>
      <c r="E17" s="2" t="s">
        <v>1</v>
      </c>
      <c r="F17" s="2"/>
      <c r="G17" s="3" t="s">
        <v>35</v>
      </c>
      <c r="H17" s="4" t="s">
        <v>36</v>
      </c>
      <c r="I17" s="5"/>
      <c r="J17" s="2">
        <v>2</v>
      </c>
      <c r="K17" s="6">
        <v>8</v>
      </c>
      <c r="L17" s="16"/>
      <c r="M17" s="17"/>
      <c r="N17" s="20"/>
      <c r="O17" s="21"/>
      <c r="P17" s="5"/>
      <c r="Q17" s="5"/>
      <c r="R17" s="2">
        <v>0</v>
      </c>
      <c r="S17" s="2">
        <v>0</v>
      </c>
      <c r="T17" s="3"/>
      <c r="U17" s="5"/>
      <c r="V17" s="11">
        <f t="shared" si="0"/>
        <v>0</v>
      </c>
      <c r="W17" s="12">
        <f t="shared" si="1"/>
        <v>0</v>
      </c>
      <c r="X17" s="13">
        <f t="shared" si="2"/>
        <v>0</v>
      </c>
      <c r="Y17" s="14">
        <f t="shared" si="6"/>
        <v>0</v>
      </c>
      <c r="Z17" s="15">
        <f t="shared" si="4"/>
        <v>0</v>
      </c>
      <c r="AA17" s="15">
        <f t="shared" si="5"/>
        <v>40</v>
      </c>
      <c r="AB17" s="5"/>
      <c r="AC17" s="5">
        <v>0</v>
      </c>
      <c r="AD17" s="5"/>
      <c r="AE17" s="28"/>
      <c r="AF17" s="28"/>
      <c r="AG17" s="28"/>
    </row>
    <row r="18" spans="1:33" ht="31.5" x14ac:dyDescent="0.25">
      <c r="A18" s="1">
        <v>17</v>
      </c>
      <c r="B18" s="2" t="s">
        <v>0</v>
      </c>
      <c r="C18" s="2"/>
      <c r="D18" s="2"/>
      <c r="E18" s="2" t="s">
        <v>1</v>
      </c>
      <c r="F18" s="2"/>
      <c r="G18" s="3" t="s">
        <v>33</v>
      </c>
      <c r="H18" s="4" t="s">
        <v>34</v>
      </c>
      <c r="I18" s="5"/>
      <c r="J18" s="2">
        <v>3</v>
      </c>
      <c r="K18" s="6">
        <v>3</v>
      </c>
      <c r="L18" s="16">
        <v>1</v>
      </c>
      <c r="M18" s="17">
        <v>2</v>
      </c>
      <c r="N18" s="20"/>
      <c r="O18" s="21"/>
      <c r="P18" s="5" t="s">
        <v>26</v>
      </c>
      <c r="Q18" s="5"/>
      <c r="R18" s="2">
        <v>0</v>
      </c>
      <c r="S18" s="2">
        <v>0</v>
      </c>
      <c r="T18" s="3"/>
      <c r="U18" s="5"/>
      <c r="V18" s="11">
        <f t="shared" si="0"/>
        <v>15</v>
      </c>
      <c r="W18" s="12">
        <f t="shared" si="1"/>
        <v>60</v>
      </c>
      <c r="X18" s="13">
        <f t="shared" si="2"/>
        <v>0</v>
      </c>
      <c r="Y18" s="14">
        <f t="shared" si="6"/>
        <v>0</v>
      </c>
      <c r="Z18" s="15">
        <f t="shared" si="4"/>
        <v>60</v>
      </c>
      <c r="AA18" s="15">
        <f t="shared" si="5"/>
        <v>15</v>
      </c>
      <c r="AB18" s="5"/>
      <c r="AC18" s="5">
        <v>0</v>
      </c>
      <c r="AD18" s="5"/>
      <c r="AE18" s="28"/>
      <c r="AF18" s="28"/>
      <c r="AG18" s="28"/>
    </row>
    <row r="19" spans="1:33" ht="31.5" x14ac:dyDescent="0.25">
      <c r="A19" s="1">
        <v>18</v>
      </c>
      <c r="B19" s="2" t="s">
        <v>37</v>
      </c>
      <c r="C19" s="2"/>
      <c r="D19" s="2"/>
      <c r="E19" s="2" t="s">
        <v>38</v>
      </c>
      <c r="F19" s="2"/>
      <c r="G19" s="3" t="s">
        <v>126</v>
      </c>
      <c r="H19" s="4" t="s">
        <v>171</v>
      </c>
      <c r="I19" s="5"/>
      <c r="J19" s="2">
        <v>1</v>
      </c>
      <c r="K19" s="6">
        <v>3</v>
      </c>
      <c r="L19" s="16">
        <v>2</v>
      </c>
      <c r="M19" s="17">
        <v>1</v>
      </c>
      <c r="N19" s="20"/>
      <c r="O19" s="21"/>
      <c r="P19" s="5" t="s">
        <v>26</v>
      </c>
      <c r="Q19" s="5"/>
      <c r="R19" s="2">
        <v>0</v>
      </c>
      <c r="S19" s="2">
        <v>0</v>
      </c>
      <c r="T19" s="3"/>
      <c r="U19" s="5"/>
      <c r="V19" s="11">
        <f t="shared" si="0"/>
        <v>30</v>
      </c>
      <c r="W19" s="12">
        <f t="shared" si="1"/>
        <v>30</v>
      </c>
      <c r="X19" s="13">
        <f t="shared" si="2"/>
        <v>0</v>
      </c>
      <c r="Y19" s="14">
        <f t="shared" si="6"/>
        <v>0</v>
      </c>
      <c r="Z19" s="15">
        <f t="shared" si="4"/>
        <v>75</v>
      </c>
      <c r="AA19" s="15">
        <f t="shared" si="5"/>
        <v>15</v>
      </c>
      <c r="AB19" s="5"/>
      <c r="AC19" s="5">
        <v>1</v>
      </c>
      <c r="AD19" s="5"/>
      <c r="AE19" s="28"/>
      <c r="AF19" s="28"/>
      <c r="AG19" s="28"/>
    </row>
    <row r="20" spans="1:33" ht="31.5" x14ac:dyDescent="0.25">
      <c r="A20" s="1">
        <v>19</v>
      </c>
      <c r="B20" s="2" t="s">
        <v>37</v>
      </c>
      <c r="C20" s="2"/>
      <c r="D20" s="2"/>
      <c r="E20" s="2" t="s">
        <v>38</v>
      </c>
      <c r="F20" s="2"/>
      <c r="G20" s="3" t="s">
        <v>178</v>
      </c>
      <c r="H20" s="4" t="s">
        <v>179</v>
      </c>
      <c r="I20" s="5"/>
      <c r="J20" s="2">
        <v>1</v>
      </c>
      <c r="K20" s="6">
        <v>2</v>
      </c>
      <c r="L20" s="16">
        <v>1</v>
      </c>
      <c r="M20" s="17">
        <v>1</v>
      </c>
      <c r="N20" s="20"/>
      <c r="O20" s="21"/>
      <c r="P20" s="5" t="s">
        <v>26</v>
      </c>
      <c r="Q20" s="5"/>
      <c r="R20" s="2">
        <v>0</v>
      </c>
      <c r="S20" s="2">
        <v>0</v>
      </c>
      <c r="T20" s="3"/>
      <c r="U20" s="5"/>
      <c r="V20" s="11">
        <f t="shared" si="0"/>
        <v>15</v>
      </c>
      <c r="W20" s="12">
        <f t="shared" si="1"/>
        <v>30</v>
      </c>
      <c r="X20" s="13">
        <f t="shared" si="2"/>
        <v>0</v>
      </c>
      <c r="Y20" s="14">
        <f t="shared" si="6"/>
        <v>0</v>
      </c>
      <c r="Z20" s="15">
        <f t="shared" si="4"/>
        <v>45</v>
      </c>
      <c r="AA20" s="15">
        <f t="shared" si="5"/>
        <v>10</v>
      </c>
      <c r="AB20" s="5"/>
      <c r="AC20" s="5">
        <v>1</v>
      </c>
      <c r="AD20" s="5"/>
      <c r="AE20" s="28"/>
      <c r="AF20" s="28"/>
      <c r="AG20" s="28"/>
    </row>
    <row r="21" spans="1:33" ht="31.5" x14ac:dyDescent="0.25">
      <c r="A21" s="1">
        <v>20</v>
      </c>
      <c r="B21" s="2" t="s">
        <v>37</v>
      </c>
      <c r="C21" s="2"/>
      <c r="D21" s="2"/>
      <c r="E21" s="2" t="s">
        <v>38</v>
      </c>
      <c r="F21" s="2"/>
      <c r="G21" s="3" t="s">
        <v>172</v>
      </c>
      <c r="H21" s="4" t="s">
        <v>173</v>
      </c>
      <c r="I21" s="5"/>
      <c r="J21" s="2">
        <v>3</v>
      </c>
      <c r="K21" s="6">
        <v>4</v>
      </c>
      <c r="L21" s="16">
        <v>3</v>
      </c>
      <c r="M21" s="17">
        <v>1</v>
      </c>
      <c r="N21" s="20"/>
      <c r="O21" s="21"/>
      <c r="P21" s="5" t="s">
        <v>26</v>
      </c>
      <c r="Q21" s="5"/>
      <c r="R21" s="2">
        <v>0</v>
      </c>
      <c r="S21" s="2">
        <v>0</v>
      </c>
      <c r="T21" s="3"/>
      <c r="U21" s="5"/>
      <c r="V21" s="11">
        <f t="shared" si="0"/>
        <v>45</v>
      </c>
      <c r="W21" s="12">
        <f t="shared" si="1"/>
        <v>30</v>
      </c>
      <c r="X21" s="13">
        <f t="shared" si="2"/>
        <v>0</v>
      </c>
      <c r="Y21" s="14">
        <f t="shared" si="6"/>
        <v>0</v>
      </c>
      <c r="Z21" s="15">
        <f t="shared" si="4"/>
        <v>105</v>
      </c>
      <c r="AA21" s="15">
        <f t="shared" si="5"/>
        <v>20</v>
      </c>
      <c r="AB21" s="5"/>
      <c r="AC21" s="5">
        <v>1</v>
      </c>
      <c r="AD21" s="5"/>
      <c r="AE21" s="28"/>
      <c r="AF21" s="28"/>
      <c r="AG21" s="28"/>
    </row>
    <row r="22" spans="1:33" ht="31.5" x14ac:dyDescent="0.25">
      <c r="A22" s="1">
        <v>21</v>
      </c>
      <c r="B22" s="2" t="s">
        <v>37</v>
      </c>
      <c r="C22" s="2"/>
      <c r="D22" s="2"/>
      <c r="E22" s="2" t="s">
        <v>38</v>
      </c>
      <c r="F22" s="2"/>
      <c r="G22" s="3" t="s">
        <v>174</v>
      </c>
      <c r="H22" s="4" t="s">
        <v>175</v>
      </c>
      <c r="I22" s="5"/>
      <c r="J22" s="2">
        <v>3</v>
      </c>
      <c r="K22" s="6">
        <v>3</v>
      </c>
      <c r="L22" s="16">
        <v>2</v>
      </c>
      <c r="M22" s="17">
        <v>1</v>
      </c>
      <c r="N22" s="20"/>
      <c r="O22" s="21"/>
      <c r="P22" s="5" t="s">
        <v>26</v>
      </c>
      <c r="Q22" s="5"/>
      <c r="R22" s="2">
        <v>0</v>
      </c>
      <c r="S22" s="2">
        <v>0</v>
      </c>
      <c r="T22" s="3"/>
      <c r="U22" s="5"/>
      <c r="V22" s="11">
        <f t="shared" si="0"/>
        <v>30</v>
      </c>
      <c r="W22" s="12">
        <f t="shared" si="1"/>
        <v>30</v>
      </c>
      <c r="X22" s="13">
        <f t="shared" si="2"/>
        <v>0</v>
      </c>
      <c r="Y22" s="14">
        <f t="shared" si="6"/>
        <v>0</v>
      </c>
      <c r="Z22" s="15">
        <f t="shared" si="4"/>
        <v>75</v>
      </c>
      <c r="AA22" s="15">
        <f t="shared" si="5"/>
        <v>15</v>
      </c>
      <c r="AB22" s="5"/>
      <c r="AC22" s="5">
        <v>1</v>
      </c>
      <c r="AD22" s="5"/>
      <c r="AE22" s="28"/>
      <c r="AF22" s="28"/>
      <c r="AG22" s="28"/>
    </row>
    <row r="23" spans="1:33" ht="31.5" x14ac:dyDescent="0.25">
      <c r="A23" s="1">
        <v>22</v>
      </c>
      <c r="B23" s="2" t="s">
        <v>37</v>
      </c>
      <c r="C23" s="2"/>
      <c r="D23" s="2"/>
      <c r="E23" s="2" t="s">
        <v>38</v>
      </c>
      <c r="F23" s="2"/>
      <c r="G23" s="3" t="s">
        <v>130</v>
      </c>
      <c r="H23" s="4" t="s">
        <v>131</v>
      </c>
      <c r="I23" s="5"/>
      <c r="J23" s="2">
        <v>3</v>
      </c>
      <c r="K23" s="6">
        <v>3</v>
      </c>
      <c r="L23" s="16">
        <v>2</v>
      </c>
      <c r="M23" s="17">
        <v>1</v>
      </c>
      <c r="N23" s="20"/>
      <c r="O23" s="21"/>
      <c r="P23" s="5" t="s">
        <v>26</v>
      </c>
      <c r="Q23" s="5"/>
      <c r="R23" s="2">
        <v>0</v>
      </c>
      <c r="S23" s="2">
        <v>0</v>
      </c>
      <c r="T23" s="3" t="s">
        <v>126</v>
      </c>
      <c r="U23" s="5" t="s">
        <v>112</v>
      </c>
      <c r="V23" s="11">
        <f t="shared" si="0"/>
        <v>30</v>
      </c>
      <c r="W23" s="12">
        <f t="shared" si="1"/>
        <v>30</v>
      </c>
      <c r="X23" s="13">
        <f t="shared" si="2"/>
        <v>0</v>
      </c>
      <c r="Y23" s="14">
        <f t="shared" si="6"/>
        <v>0</v>
      </c>
      <c r="Z23" s="15">
        <f t="shared" si="4"/>
        <v>75</v>
      </c>
      <c r="AA23" s="15">
        <f t="shared" si="5"/>
        <v>15</v>
      </c>
      <c r="AB23" s="5"/>
      <c r="AC23" s="5">
        <v>1</v>
      </c>
      <c r="AD23" s="5"/>
      <c r="AE23" s="28"/>
      <c r="AF23" s="28"/>
      <c r="AG23" s="28"/>
    </row>
    <row r="24" spans="1:33" ht="31.5" x14ac:dyDescent="0.25">
      <c r="A24" s="1">
        <v>23</v>
      </c>
      <c r="B24" s="2" t="s">
        <v>37</v>
      </c>
      <c r="C24" s="2"/>
      <c r="D24" s="2"/>
      <c r="E24" s="2" t="s">
        <v>38</v>
      </c>
      <c r="F24" s="2"/>
      <c r="G24" s="3" t="s">
        <v>180</v>
      </c>
      <c r="H24" s="4" t="s">
        <v>181</v>
      </c>
      <c r="I24" s="5"/>
      <c r="J24" s="2">
        <v>4</v>
      </c>
      <c r="K24" s="6">
        <v>2</v>
      </c>
      <c r="L24" s="16">
        <v>2</v>
      </c>
      <c r="M24" s="17"/>
      <c r="N24" s="20"/>
      <c r="O24" s="21"/>
      <c r="P24" s="5"/>
      <c r="Q24" s="5"/>
      <c r="R24" s="2">
        <v>0</v>
      </c>
      <c r="S24" s="2">
        <v>0</v>
      </c>
      <c r="T24" s="3"/>
      <c r="U24" s="5"/>
      <c r="V24" s="11">
        <f t="shared" si="0"/>
        <v>30</v>
      </c>
      <c r="W24" s="12">
        <f t="shared" si="1"/>
        <v>0</v>
      </c>
      <c r="X24" s="13">
        <f t="shared" si="2"/>
        <v>0</v>
      </c>
      <c r="Y24" s="14">
        <f t="shared" si="6"/>
        <v>0</v>
      </c>
      <c r="Z24" s="15">
        <f t="shared" si="4"/>
        <v>60</v>
      </c>
      <c r="AA24" s="15">
        <f t="shared" si="5"/>
        <v>10</v>
      </c>
      <c r="AB24" s="5"/>
      <c r="AC24" s="5">
        <v>1</v>
      </c>
      <c r="AD24" s="5"/>
      <c r="AE24" s="28"/>
      <c r="AF24" s="28"/>
      <c r="AG24" s="28"/>
    </row>
    <row r="25" spans="1:33" ht="31.5" x14ac:dyDescent="0.25">
      <c r="A25" s="1">
        <v>24</v>
      </c>
      <c r="B25" s="2" t="s">
        <v>37</v>
      </c>
      <c r="C25" s="2"/>
      <c r="D25" s="2"/>
      <c r="E25" s="2" t="s">
        <v>38</v>
      </c>
      <c r="F25" s="2"/>
      <c r="G25" s="3" t="s">
        <v>129</v>
      </c>
      <c r="H25" s="4" t="s">
        <v>48</v>
      </c>
      <c r="I25" s="5"/>
      <c r="J25" s="2">
        <v>5</v>
      </c>
      <c r="K25" s="6">
        <v>3</v>
      </c>
      <c r="L25" s="16">
        <v>3</v>
      </c>
      <c r="M25" s="17"/>
      <c r="N25" s="20"/>
      <c r="O25" s="21"/>
      <c r="P25" s="5"/>
      <c r="Q25" s="5"/>
      <c r="R25" s="2">
        <v>0</v>
      </c>
      <c r="S25" s="2">
        <v>0</v>
      </c>
      <c r="T25" s="3" t="s">
        <v>164</v>
      </c>
      <c r="U25" s="5" t="s">
        <v>112</v>
      </c>
      <c r="V25" s="11">
        <f t="shared" si="0"/>
        <v>45</v>
      </c>
      <c r="W25" s="12">
        <f t="shared" si="1"/>
        <v>0</v>
      </c>
      <c r="X25" s="13">
        <f t="shared" si="2"/>
        <v>0</v>
      </c>
      <c r="Y25" s="14">
        <f t="shared" si="6"/>
        <v>0</v>
      </c>
      <c r="Z25" s="15">
        <f t="shared" si="4"/>
        <v>90</v>
      </c>
      <c r="AA25" s="15">
        <f t="shared" si="5"/>
        <v>15</v>
      </c>
      <c r="AB25" s="5"/>
      <c r="AC25" s="5">
        <v>1</v>
      </c>
      <c r="AD25" s="5"/>
      <c r="AE25" s="28"/>
      <c r="AF25" s="28"/>
      <c r="AG25" s="28"/>
    </row>
    <row r="26" spans="1:33" ht="31.5" x14ac:dyDescent="0.25">
      <c r="A26" s="1">
        <v>25</v>
      </c>
      <c r="B26" s="2" t="s">
        <v>37</v>
      </c>
      <c r="C26" s="2"/>
      <c r="D26" s="2"/>
      <c r="E26" s="2" t="s">
        <v>38</v>
      </c>
      <c r="F26" s="2"/>
      <c r="G26" s="3" t="s">
        <v>49</v>
      </c>
      <c r="H26" s="4" t="s">
        <v>50</v>
      </c>
      <c r="I26" s="5"/>
      <c r="J26" s="2">
        <v>6</v>
      </c>
      <c r="K26" s="6">
        <v>4</v>
      </c>
      <c r="L26" s="16">
        <v>3</v>
      </c>
      <c r="M26" s="17">
        <v>1</v>
      </c>
      <c r="N26" s="20"/>
      <c r="O26" s="21"/>
      <c r="P26" s="5" t="s">
        <v>26</v>
      </c>
      <c r="Q26" s="5"/>
      <c r="R26" s="2">
        <v>0</v>
      </c>
      <c r="S26" s="2">
        <v>0</v>
      </c>
      <c r="T26" s="3" t="s">
        <v>176</v>
      </c>
      <c r="U26" s="5" t="s">
        <v>112</v>
      </c>
      <c r="V26" s="11">
        <f t="shared" si="0"/>
        <v>45</v>
      </c>
      <c r="W26" s="12">
        <f t="shared" si="1"/>
        <v>30</v>
      </c>
      <c r="X26" s="13">
        <f t="shared" si="2"/>
        <v>0</v>
      </c>
      <c r="Y26" s="14">
        <f t="shared" si="6"/>
        <v>0</v>
      </c>
      <c r="Z26" s="15">
        <f t="shared" si="4"/>
        <v>105</v>
      </c>
      <c r="AA26" s="15">
        <f t="shared" si="5"/>
        <v>20</v>
      </c>
      <c r="AB26" s="5"/>
      <c r="AC26" s="5">
        <v>1</v>
      </c>
      <c r="AD26" s="5"/>
      <c r="AE26" s="28"/>
      <c r="AF26" s="28"/>
      <c r="AG26" s="28"/>
    </row>
    <row r="27" spans="1:33" ht="31.5" x14ac:dyDescent="0.25">
      <c r="A27" s="1">
        <v>26</v>
      </c>
      <c r="B27" s="2" t="s">
        <v>37</v>
      </c>
      <c r="C27" s="2"/>
      <c r="D27" s="2"/>
      <c r="E27" s="2" t="s">
        <v>38</v>
      </c>
      <c r="F27" s="2"/>
      <c r="G27" s="3" t="s">
        <v>51</v>
      </c>
      <c r="H27" s="4" t="s">
        <v>52</v>
      </c>
      <c r="I27" s="5"/>
      <c r="J27" s="2">
        <v>6</v>
      </c>
      <c r="K27" s="6">
        <v>3</v>
      </c>
      <c r="L27" s="16">
        <v>3</v>
      </c>
      <c r="M27" s="17"/>
      <c r="N27" s="20"/>
      <c r="O27" s="21"/>
      <c r="P27" s="5"/>
      <c r="Q27" s="5"/>
      <c r="R27" s="2">
        <v>0</v>
      </c>
      <c r="S27" s="2">
        <v>0</v>
      </c>
      <c r="T27" s="3"/>
      <c r="U27" s="5"/>
      <c r="V27" s="11">
        <f t="shared" si="0"/>
        <v>45</v>
      </c>
      <c r="W27" s="12">
        <f t="shared" si="1"/>
        <v>0</v>
      </c>
      <c r="X27" s="13">
        <f t="shared" si="2"/>
        <v>0</v>
      </c>
      <c r="Y27" s="14">
        <f t="shared" si="6"/>
        <v>0</v>
      </c>
      <c r="Z27" s="15">
        <f t="shared" si="4"/>
        <v>90</v>
      </c>
      <c r="AA27" s="15">
        <f t="shared" si="5"/>
        <v>15</v>
      </c>
      <c r="AB27" s="5"/>
      <c r="AC27" s="5">
        <v>1</v>
      </c>
      <c r="AD27" s="5"/>
      <c r="AE27" s="28"/>
      <c r="AF27" s="28"/>
      <c r="AG27" s="28"/>
    </row>
    <row r="28" spans="1:33" ht="31.5" x14ac:dyDescent="0.25">
      <c r="A28" s="1">
        <v>27</v>
      </c>
      <c r="B28" s="2" t="s">
        <v>59</v>
      </c>
      <c r="C28" s="2"/>
      <c r="D28" s="2"/>
      <c r="E28" s="2" t="s">
        <v>60</v>
      </c>
      <c r="F28" s="2"/>
      <c r="G28" s="3" t="s">
        <v>142</v>
      </c>
      <c r="H28" s="4" t="s">
        <v>74</v>
      </c>
      <c r="I28" s="5"/>
      <c r="J28" s="2">
        <v>2</v>
      </c>
      <c r="K28" s="6">
        <v>3</v>
      </c>
      <c r="L28" s="16">
        <v>3</v>
      </c>
      <c r="M28" s="17"/>
      <c r="N28" s="20"/>
      <c r="O28" s="21"/>
      <c r="P28" s="5"/>
      <c r="Q28" s="5"/>
      <c r="R28" s="2">
        <v>0</v>
      </c>
      <c r="S28" s="2">
        <v>0</v>
      </c>
      <c r="T28" s="3"/>
      <c r="U28" s="5"/>
      <c r="V28" s="11">
        <f t="shared" si="0"/>
        <v>45</v>
      </c>
      <c r="W28" s="12">
        <f t="shared" si="1"/>
        <v>0</v>
      </c>
      <c r="X28" s="13">
        <f t="shared" si="2"/>
        <v>0</v>
      </c>
      <c r="Y28" s="14">
        <f t="shared" si="6"/>
        <v>0</v>
      </c>
      <c r="Z28" s="15">
        <f t="shared" si="4"/>
        <v>90</v>
      </c>
      <c r="AA28" s="15">
        <f t="shared" si="5"/>
        <v>15</v>
      </c>
      <c r="AB28" s="5"/>
      <c r="AC28" s="5">
        <v>1</v>
      </c>
      <c r="AD28" s="5"/>
      <c r="AE28" s="28"/>
      <c r="AF28" s="28"/>
      <c r="AG28" s="28"/>
    </row>
    <row r="29" spans="1:33" ht="31.5" x14ac:dyDescent="0.25">
      <c r="A29" s="1">
        <v>28</v>
      </c>
      <c r="B29" s="2" t="s">
        <v>59</v>
      </c>
      <c r="C29" s="2"/>
      <c r="D29" s="2"/>
      <c r="E29" s="2" t="s">
        <v>60</v>
      </c>
      <c r="F29" s="2"/>
      <c r="G29" s="3" t="s">
        <v>182</v>
      </c>
      <c r="H29" s="4" t="s">
        <v>183</v>
      </c>
      <c r="I29" s="5"/>
      <c r="J29" s="2">
        <v>3</v>
      </c>
      <c r="K29" s="6">
        <v>2</v>
      </c>
      <c r="L29" s="16">
        <v>2</v>
      </c>
      <c r="M29" s="17"/>
      <c r="N29" s="20"/>
      <c r="O29" s="21"/>
      <c r="P29" s="5"/>
      <c r="Q29" s="5"/>
      <c r="R29" s="2">
        <v>0</v>
      </c>
      <c r="S29" s="2">
        <v>0</v>
      </c>
      <c r="T29" s="3"/>
      <c r="U29" s="5"/>
      <c r="V29" s="11">
        <f t="shared" si="0"/>
        <v>30</v>
      </c>
      <c r="W29" s="12">
        <f t="shared" si="1"/>
        <v>0</v>
      </c>
      <c r="X29" s="13">
        <f t="shared" si="2"/>
        <v>0</v>
      </c>
      <c r="Y29" s="14">
        <f t="shared" si="6"/>
        <v>0</v>
      </c>
      <c r="Z29" s="15">
        <f t="shared" si="4"/>
        <v>60</v>
      </c>
      <c r="AA29" s="15">
        <f t="shared" si="5"/>
        <v>10</v>
      </c>
      <c r="AB29" s="5"/>
      <c r="AC29" s="5">
        <v>1</v>
      </c>
      <c r="AD29" s="5"/>
      <c r="AE29" s="28"/>
      <c r="AF29" s="28"/>
      <c r="AG29" s="28"/>
    </row>
    <row r="30" spans="1:33" ht="31.5" x14ac:dyDescent="0.25">
      <c r="A30" s="1">
        <v>29</v>
      </c>
      <c r="B30" s="2" t="s">
        <v>59</v>
      </c>
      <c r="C30" s="2"/>
      <c r="D30" s="2"/>
      <c r="E30" s="2" t="s">
        <v>60</v>
      </c>
      <c r="F30" s="2"/>
      <c r="G30" s="3" t="s">
        <v>139</v>
      </c>
      <c r="H30" s="4" t="s">
        <v>140</v>
      </c>
      <c r="I30" s="5"/>
      <c r="J30" s="2">
        <v>4</v>
      </c>
      <c r="K30" s="6">
        <v>2</v>
      </c>
      <c r="L30" s="16">
        <v>1</v>
      </c>
      <c r="M30" s="17">
        <v>1</v>
      </c>
      <c r="N30" s="20"/>
      <c r="O30" s="21"/>
      <c r="P30" s="5" t="s">
        <v>26</v>
      </c>
      <c r="Q30" s="5"/>
      <c r="R30" s="2">
        <v>0</v>
      </c>
      <c r="S30" s="2">
        <v>0</v>
      </c>
      <c r="T30" s="3"/>
      <c r="U30" s="5"/>
      <c r="V30" s="11">
        <f t="shared" si="0"/>
        <v>15</v>
      </c>
      <c r="W30" s="12">
        <f t="shared" si="1"/>
        <v>30</v>
      </c>
      <c r="X30" s="13">
        <f t="shared" si="2"/>
        <v>0</v>
      </c>
      <c r="Y30" s="14">
        <f t="shared" si="6"/>
        <v>0</v>
      </c>
      <c r="Z30" s="15">
        <f t="shared" si="4"/>
        <v>45</v>
      </c>
      <c r="AA30" s="15">
        <f t="shared" si="5"/>
        <v>10</v>
      </c>
      <c r="AB30" s="5"/>
      <c r="AC30" s="5">
        <v>1</v>
      </c>
      <c r="AD30" s="5"/>
      <c r="AE30" s="28"/>
      <c r="AF30" s="28"/>
      <c r="AG30" s="28"/>
    </row>
    <row r="31" spans="1:33" ht="31.5" x14ac:dyDescent="0.25">
      <c r="A31" s="1">
        <v>30</v>
      </c>
      <c r="B31" s="2" t="s">
        <v>59</v>
      </c>
      <c r="C31" s="2"/>
      <c r="D31" s="2"/>
      <c r="E31" s="2" t="s">
        <v>60</v>
      </c>
      <c r="F31" s="2"/>
      <c r="G31" s="3" t="s">
        <v>144</v>
      </c>
      <c r="H31" s="4" t="s">
        <v>82</v>
      </c>
      <c r="I31" s="5"/>
      <c r="J31" s="2">
        <v>4</v>
      </c>
      <c r="K31" s="6">
        <v>3</v>
      </c>
      <c r="L31" s="16">
        <v>2</v>
      </c>
      <c r="M31" s="17">
        <v>1</v>
      </c>
      <c r="N31" s="20"/>
      <c r="O31" s="21"/>
      <c r="P31" s="5" t="s">
        <v>26</v>
      </c>
      <c r="Q31" s="5"/>
      <c r="R31" s="2">
        <v>0</v>
      </c>
      <c r="S31" s="2">
        <v>0</v>
      </c>
      <c r="T31" s="3"/>
      <c r="U31" s="5"/>
      <c r="V31" s="11">
        <f t="shared" si="0"/>
        <v>30</v>
      </c>
      <c r="W31" s="12">
        <f t="shared" si="1"/>
        <v>30</v>
      </c>
      <c r="X31" s="13">
        <f t="shared" si="2"/>
        <v>0</v>
      </c>
      <c r="Y31" s="14">
        <f t="shared" si="6"/>
        <v>0</v>
      </c>
      <c r="Z31" s="15">
        <f t="shared" si="4"/>
        <v>75</v>
      </c>
      <c r="AA31" s="15">
        <f t="shared" si="5"/>
        <v>15</v>
      </c>
      <c r="AB31" s="5"/>
      <c r="AC31" s="5">
        <v>1</v>
      </c>
      <c r="AD31" s="5"/>
      <c r="AE31" s="28"/>
      <c r="AF31" s="28"/>
      <c r="AG31" s="28"/>
    </row>
    <row r="32" spans="1:33" ht="31.5" x14ac:dyDescent="0.25">
      <c r="A32" s="1">
        <v>31</v>
      </c>
      <c r="B32" s="2" t="s">
        <v>59</v>
      </c>
      <c r="C32" s="2"/>
      <c r="D32" s="2"/>
      <c r="E32" s="2" t="s">
        <v>60</v>
      </c>
      <c r="F32" s="2"/>
      <c r="G32" s="3" t="s">
        <v>193</v>
      </c>
      <c r="H32" s="4" t="s">
        <v>194</v>
      </c>
      <c r="I32" s="5"/>
      <c r="J32" s="2">
        <v>4</v>
      </c>
      <c r="K32" s="6">
        <v>3</v>
      </c>
      <c r="L32" s="16">
        <v>2</v>
      </c>
      <c r="M32" s="17">
        <v>1</v>
      </c>
      <c r="N32" s="20"/>
      <c r="O32" s="21"/>
      <c r="P32" s="5" t="s">
        <v>26</v>
      </c>
      <c r="Q32" s="5"/>
      <c r="R32" s="2">
        <v>0</v>
      </c>
      <c r="S32" s="2">
        <v>0</v>
      </c>
      <c r="T32" s="3" t="s">
        <v>176</v>
      </c>
      <c r="U32" s="5" t="s">
        <v>112</v>
      </c>
      <c r="V32" s="11">
        <f t="shared" si="0"/>
        <v>30</v>
      </c>
      <c r="W32" s="12">
        <f t="shared" si="1"/>
        <v>30</v>
      </c>
      <c r="X32" s="13">
        <f t="shared" si="2"/>
        <v>0</v>
      </c>
      <c r="Y32" s="14">
        <f t="shared" si="6"/>
        <v>0</v>
      </c>
      <c r="Z32" s="15">
        <f t="shared" si="4"/>
        <v>75</v>
      </c>
      <c r="AA32" s="15">
        <f t="shared" si="5"/>
        <v>15</v>
      </c>
      <c r="AB32" s="5"/>
      <c r="AC32" s="5">
        <v>1</v>
      </c>
      <c r="AD32" s="5"/>
      <c r="AE32" s="28"/>
      <c r="AF32" s="28"/>
      <c r="AG32" s="28"/>
    </row>
    <row r="33" spans="1:33" ht="31.5" x14ac:dyDescent="0.25">
      <c r="A33" s="1">
        <v>32</v>
      </c>
      <c r="B33" s="2" t="s">
        <v>59</v>
      </c>
      <c r="C33" s="2"/>
      <c r="D33" s="2"/>
      <c r="E33" s="2" t="s">
        <v>60</v>
      </c>
      <c r="F33" s="2"/>
      <c r="G33" s="3" t="s">
        <v>195</v>
      </c>
      <c r="H33" s="4" t="s">
        <v>196</v>
      </c>
      <c r="I33" s="5"/>
      <c r="J33" s="2">
        <v>4</v>
      </c>
      <c r="K33" s="6">
        <v>2</v>
      </c>
      <c r="L33" s="16">
        <v>2</v>
      </c>
      <c r="M33" s="17"/>
      <c r="N33" s="20"/>
      <c r="O33" s="21"/>
      <c r="P33" s="5"/>
      <c r="Q33" s="5"/>
      <c r="R33" s="2">
        <v>0</v>
      </c>
      <c r="S33" s="2">
        <v>0</v>
      </c>
      <c r="T33" s="3"/>
      <c r="U33" s="5"/>
      <c r="V33" s="11">
        <f t="shared" si="0"/>
        <v>30</v>
      </c>
      <c r="W33" s="12">
        <f t="shared" si="1"/>
        <v>0</v>
      </c>
      <c r="X33" s="13">
        <f t="shared" si="2"/>
        <v>0</v>
      </c>
      <c r="Y33" s="14">
        <f t="shared" si="6"/>
        <v>0</v>
      </c>
      <c r="Z33" s="15">
        <f t="shared" si="4"/>
        <v>60</v>
      </c>
      <c r="AA33" s="15">
        <f t="shared" si="5"/>
        <v>10</v>
      </c>
      <c r="AB33" s="5"/>
      <c r="AC33" s="5">
        <v>1</v>
      </c>
      <c r="AD33" s="5"/>
      <c r="AE33" s="28"/>
      <c r="AF33" s="28"/>
      <c r="AG33" s="28"/>
    </row>
    <row r="34" spans="1:33" ht="31.5" x14ac:dyDescent="0.25">
      <c r="A34" s="1">
        <v>33</v>
      </c>
      <c r="B34" s="2" t="s">
        <v>59</v>
      </c>
      <c r="C34" s="2"/>
      <c r="D34" s="2"/>
      <c r="E34" s="2" t="s">
        <v>60</v>
      </c>
      <c r="F34" s="2"/>
      <c r="G34" s="3" t="s">
        <v>176</v>
      </c>
      <c r="H34" s="4" t="s">
        <v>190</v>
      </c>
      <c r="I34" s="5"/>
      <c r="J34" s="2">
        <v>4</v>
      </c>
      <c r="K34" s="6">
        <v>3</v>
      </c>
      <c r="L34" s="16">
        <v>2</v>
      </c>
      <c r="M34" s="17">
        <v>1</v>
      </c>
      <c r="N34" s="20"/>
      <c r="O34" s="21"/>
      <c r="P34" s="5" t="s">
        <v>26</v>
      </c>
      <c r="Q34" s="5"/>
      <c r="R34" s="2">
        <v>0</v>
      </c>
      <c r="S34" s="2">
        <v>0</v>
      </c>
      <c r="T34" s="3" t="s">
        <v>278</v>
      </c>
      <c r="U34" s="5" t="s">
        <v>112</v>
      </c>
      <c r="V34" s="11">
        <f t="shared" si="0"/>
        <v>30</v>
      </c>
      <c r="W34" s="12">
        <f t="shared" si="1"/>
        <v>30</v>
      </c>
      <c r="X34" s="13">
        <f t="shared" si="2"/>
        <v>0</v>
      </c>
      <c r="Y34" s="14">
        <f t="shared" si="6"/>
        <v>0</v>
      </c>
      <c r="Z34" s="15">
        <f t="shared" si="4"/>
        <v>75</v>
      </c>
      <c r="AA34" s="15">
        <f t="shared" si="5"/>
        <v>15</v>
      </c>
      <c r="AB34" s="5"/>
      <c r="AC34" s="5">
        <v>1</v>
      </c>
      <c r="AD34" s="5"/>
      <c r="AE34" s="28"/>
      <c r="AF34" s="28"/>
      <c r="AG34" s="28"/>
    </row>
    <row r="35" spans="1:33" ht="31.5" x14ac:dyDescent="0.25">
      <c r="A35" s="1">
        <v>34</v>
      </c>
      <c r="B35" s="2" t="s">
        <v>59</v>
      </c>
      <c r="C35" s="2"/>
      <c r="D35" s="2"/>
      <c r="E35" s="2" t="s">
        <v>60</v>
      </c>
      <c r="F35" s="2"/>
      <c r="G35" s="3" t="s">
        <v>137</v>
      </c>
      <c r="H35" s="4" t="s">
        <v>138</v>
      </c>
      <c r="I35" s="5"/>
      <c r="J35" s="2">
        <v>5</v>
      </c>
      <c r="K35" s="6">
        <v>4</v>
      </c>
      <c r="L35" s="16">
        <v>3</v>
      </c>
      <c r="M35" s="17">
        <v>1</v>
      </c>
      <c r="N35" s="20"/>
      <c r="O35" s="21"/>
      <c r="P35" s="5" t="s">
        <v>26</v>
      </c>
      <c r="Q35" s="5"/>
      <c r="R35" s="2">
        <v>0</v>
      </c>
      <c r="S35" s="2">
        <v>0</v>
      </c>
      <c r="T35" s="3" t="s">
        <v>278</v>
      </c>
      <c r="U35" s="5" t="s">
        <v>112</v>
      </c>
      <c r="V35" s="11">
        <f t="shared" si="0"/>
        <v>45</v>
      </c>
      <c r="W35" s="12">
        <f t="shared" si="1"/>
        <v>30</v>
      </c>
      <c r="X35" s="13">
        <f t="shared" si="2"/>
        <v>0</v>
      </c>
      <c r="Y35" s="14">
        <f t="shared" si="6"/>
        <v>0</v>
      </c>
      <c r="Z35" s="15">
        <f t="shared" si="4"/>
        <v>105</v>
      </c>
      <c r="AA35" s="15">
        <f t="shared" si="5"/>
        <v>20</v>
      </c>
      <c r="AB35" s="5"/>
      <c r="AC35" s="5">
        <v>1</v>
      </c>
      <c r="AD35" s="5"/>
      <c r="AE35" s="28"/>
      <c r="AF35" s="28"/>
      <c r="AG35" s="28"/>
    </row>
    <row r="36" spans="1:33" ht="31.5" x14ac:dyDescent="0.25">
      <c r="A36" s="1">
        <v>35</v>
      </c>
      <c r="B36" s="2" t="s">
        <v>59</v>
      </c>
      <c r="C36" s="2"/>
      <c r="D36" s="2"/>
      <c r="E36" s="2" t="s">
        <v>60</v>
      </c>
      <c r="F36" s="2"/>
      <c r="G36" s="3" t="s">
        <v>186</v>
      </c>
      <c r="H36" s="4" t="s">
        <v>187</v>
      </c>
      <c r="I36" s="5"/>
      <c r="J36" s="2">
        <v>5</v>
      </c>
      <c r="K36" s="6">
        <v>3</v>
      </c>
      <c r="L36" s="16">
        <v>2</v>
      </c>
      <c r="M36" s="17">
        <v>1</v>
      </c>
      <c r="N36" s="20"/>
      <c r="O36" s="21"/>
      <c r="P36" s="5" t="s">
        <v>26</v>
      </c>
      <c r="Q36" s="5"/>
      <c r="R36" s="2">
        <v>0</v>
      </c>
      <c r="S36" s="2">
        <v>0</v>
      </c>
      <c r="T36" s="3" t="s">
        <v>144</v>
      </c>
      <c r="U36" s="5" t="s">
        <v>112</v>
      </c>
      <c r="V36" s="11">
        <f t="shared" si="0"/>
        <v>30</v>
      </c>
      <c r="W36" s="12">
        <f t="shared" si="1"/>
        <v>30</v>
      </c>
      <c r="X36" s="13">
        <f t="shared" si="2"/>
        <v>0</v>
      </c>
      <c r="Y36" s="14">
        <f t="shared" si="6"/>
        <v>0</v>
      </c>
      <c r="Z36" s="15">
        <f t="shared" si="4"/>
        <v>75</v>
      </c>
      <c r="AA36" s="15">
        <f t="shared" si="5"/>
        <v>15</v>
      </c>
      <c r="AB36" s="5"/>
      <c r="AC36" s="5">
        <v>1</v>
      </c>
      <c r="AD36" s="5"/>
      <c r="AE36" s="28"/>
      <c r="AF36" s="28"/>
      <c r="AG36" s="28"/>
    </row>
    <row r="37" spans="1:33" ht="31.5" x14ac:dyDescent="0.25">
      <c r="A37" s="1">
        <v>36</v>
      </c>
      <c r="B37" s="2" t="s">
        <v>59</v>
      </c>
      <c r="C37" s="2"/>
      <c r="D37" s="2"/>
      <c r="E37" s="2" t="s">
        <v>60</v>
      </c>
      <c r="F37" s="2"/>
      <c r="G37" s="3" t="s">
        <v>145</v>
      </c>
      <c r="H37" s="4" t="s">
        <v>88</v>
      </c>
      <c r="I37" s="5"/>
      <c r="J37" s="2">
        <v>5</v>
      </c>
      <c r="K37" s="6">
        <v>3</v>
      </c>
      <c r="L37" s="16">
        <v>3</v>
      </c>
      <c r="M37" s="17"/>
      <c r="N37" s="20"/>
      <c r="O37" s="21"/>
      <c r="P37" s="5"/>
      <c r="Q37" s="5"/>
      <c r="R37" s="2">
        <v>0</v>
      </c>
      <c r="S37" s="2">
        <v>0</v>
      </c>
      <c r="T37" s="3"/>
      <c r="U37" s="5"/>
      <c r="V37" s="11">
        <f t="shared" si="0"/>
        <v>45</v>
      </c>
      <c r="W37" s="12">
        <f t="shared" si="1"/>
        <v>0</v>
      </c>
      <c r="X37" s="13">
        <f t="shared" si="2"/>
        <v>0</v>
      </c>
      <c r="Y37" s="14">
        <f t="shared" si="6"/>
        <v>0</v>
      </c>
      <c r="Z37" s="15">
        <f t="shared" si="4"/>
        <v>90</v>
      </c>
      <c r="AA37" s="15">
        <f t="shared" si="5"/>
        <v>15</v>
      </c>
      <c r="AB37" s="5"/>
      <c r="AC37" s="5">
        <v>1</v>
      </c>
      <c r="AD37" s="5"/>
      <c r="AE37" s="28"/>
      <c r="AF37" s="28"/>
      <c r="AG37" s="28"/>
    </row>
    <row r="38" spans="1:33" ht="31.5" x14ac:dyDescent="0.25">
      <c r="A38" s="1">
        <v>37</v>
      </c>
      <c r="B38" s="2" t="s">
        <v>59</v>
      </c>
      <c r="C38" s="2"/>
      <c r="D38" s="2"/>
      <c r="E38" s="2" t="s">
        <v>60</v>
      </c>
      <c r="F38" s="2"/>
      <c r="G38" s="3" t="s">
        <v>98</v>
      </c>
      <c r="H38" s="4" t="s">
        <v>99</v>
      </c>
      <c r="I38" s="5"/>
      <c r="J38" s="2">
        <v>5</v>
      </c>
      <c r="K38" s="6">
        <v>2</v>
      </c>
      <c r="L38" s="16">
        <v>2</v>
      </c>
      <c r="M38" s="17"/>
      <c r="N38" s="20"/>
      <c r="O38" s="21"/>
      <c r="P38" s="5"/>
      <c r="Q38" s="5"/>
      <c r="R38" s="2">
        <v>0</v>
      </c>
      <c r="S38" s="2">
        <v>0</v>
      </c>
      <c r="T38" s="3"/>
      <c r="U38" s="5"/>
      <c r="V38" s="11">
        <f t="shared" si="0"/>
        <v>30</v>
      </c>
      <c r="W38" s="12">
        <f t="shared" si="1"/>
        <v>0</v>
      </c>
      <c r="X38" s="13">
        <f t="shared" si="2"/>
        <v>0</v>
      </c>
      <c r="Y38" s="14">
        <f t="shared" si="6"/>
        <v>0</v>
      </c>
      <c r="Z38" s="15">
        <f t="shared" si="4"/>
        <v>60</v>
      </c>
      <c r="AA38" s="15">
        <f t="shared" si="5"/>
        <v>10</v>
      </c>
      <c r="AB38" s="5"/>
      <c r="AC38" s="5">
        <v>1</v>
      </c>
      <c r="AD38" s="5"/>
      <c r="AE38" s="28"/>
      <c r="AF38" s="28"/>
      <c r="AG38" s="28"/>
    </row>
    <row r="39" spans="1:33" ht="31.5" x14ac:dyDescent="0.25">
      <c r="A39" s="1">
        <v>38</v>
      </c>
      <c r="B39" s="2" t="s">
        <v>59</v>
      </c>
      <c r="C39" s="2"/>
      <c r="D39" s="2"/>
      <c r="E39" s="2" t="s">
        <v>60</v>
      </c>
      <c r="F39" s="2"/>
      <c r="G39" s="3" t="s">
        <v>188</v>
      </c>
      <c r="H39" s="4" t="s">
        <v>189</v>
      </c>
      <c r="I39" s="5"/>
      <c r="J39" s="2">
        <v>5</v>
      </c>
      <c r="K39" s="6">
        <v>3</v>
      </c>
      <c r="L39" s="16">
        <v>2</v>
      </c>
      <c r="M39" s="17">
        <v>1</v>
      </c>
      <c r="N39" s="20"/>
      <c r="O39" s="21"/>
      <c r="P39" s="5" t="s">
        <v>26</v>
      </c>
      <c r="Q39" s="5"/>
      <c r="R39" s="2">
        <v>0</v>
      </c>
      <c r="S39" s="2">
        <v>0</v>
      </c>
      <c r="T39" s="3"/>
      <c r="U39" s="5"/>
      <c r="V39" s="11">
        <f t="shared" si="0"/>
        <v>30</v>
      </c>
      <c r="W39" s="12">
        <f t="shared" si="1"/>
        <v>30</v>
      </c>
      <c r="X39" s="13">
        <f t="shared" si="2"/>
        <v>0</v>
      </c>
      <c r="Y39" s="14">
        <f t="shared" si="6"/>
        <v>0</v>
      </c>
      <c r="Z39" s="15">
        <f t="shared" si="4"/>
        <v>75</v>
      </c>
      <c r="AA39" s="15">
        <f t="shared" si="5"/>
        <v>15</v>
      </c>
      <c r="AB39" s="5"/>
      <c r="AC39" s="5">
        <v>1</v>
      </c>
      <c r="AD39" s="5"/>
      <c r="AE39" s="28"/>
      <c r="AF39" s="28"/>
      <c r="AG39" s="28"/>
    </row>
    <row r="40" spans="1:33" ht="31.5" x14ac:dyDescent="0.25">
      <c r="A40" s="1">
        <v>39</v>
      </c>
      <c r="B40" s="2" t="s">
        <v>59</v>
      </c>
      <c r="C40" s="2"/>
      <c r="D40" s="2"/>
      <c r="E40" s="2" t="s">
        <v>60</v>
      </c>
      <c r="F40" s="2"/>
      <c r="G40" s="3" t="s">
        <v>184</v>
      </c>
      <c r="H40" s="4" t="s">
        <v>185</v>
      </c>
      <c r="I40" s="5"/>
      <c r="J40" s="2">
        <v>6</v>
      </c>
      <c r="K40" s="6">
        <v>3</v>
      </c>
      <c r="L40" s="16">
        <v>2</v>
      </c>
      <c r="M40" s="17">
        <v>1</v>
      </c>
      <c r="N40" s="20"/>
      <c r="O40" s="21"/>
      <c r="P40" s="5" t="s">
        <v>26</v>
      </c>
      <c r="Q40" s="5"/>
      <c r="R40" s="2">
        <v>0</v>
      </c>
      <c r="S40" s="2">
        <v>0</v>
      </c>
      <c r="T40" s="3"/>
      <c r="U40" s="5"/>
      <c r="V40" s="11">
        <f t="shared" si="0"/>
        <v>30</v>
      </c>
      <c r="W40" s="12">
        <f t="shared" si="1"/>
        <v>30</v>
      </c>
      <c r="X40" s="13">
        <f t="shared" si="2"/>
        <v>0</v>
      </c>
      <c r="Y40" s="14">
        <f t="shared" si="6"/>
        <v>0</v>
      </c>
      <c r="Z40" s="15">
        <f t="shared" si="4"/>
        <v>75</v>
      </c>
      <c r="AA40" s="15">
        <f t="shared" si="5"/>
        <v>15</v>
      </c>
      <c r="AB40" s="5"/>
      <c r="AC40" s="5">
        <v>1</v>
      </c>
      <c r="AD40" s="5"/>
      <c r="AE40" s="28"/>
      <c r="AF40" s="28"/>
      <c r="AG40" s="28"/>
    </row>
    <row r="41" spans="1:33" ht="31.5" x14ac:dyDescent="0.25">
      <c r="A41" s="1">
        <v>40</v>
      </c>
      <c r="B41" s="2" t="s">
        <v>59</v>
      </c>
      <c r="C41" s="2"/>
      <c r="D41" s="2"/>
      <c r="E41" s="2" t="s">
        <v>60</v>
      </c>
      <c r="F41" s="2"/>
      <c r="G41" s="3" t="s">
        <v>191</v>
      </c>
      <c r="H41" s="4" t="s">
        <v>192</v>
      </c>
      <c r="I41" s="5"/>
      <c r="J41" s="2">
        <v>6</v>
      </c>
      <c r="K41" s="6">
        <v>5</v>
      </c>
      <c r="L41" s="16">
        <v>1</v>
      </c>
      <c r="M41" s="17"/>
      <c r="N41" s="20">
        <v>4</v>
      </c>
      <c r="O41" s="21"/>
      <c r="P41" s="5"/>
      <c r="Q41" s="5"/>
      <c r="R41" s="2">
        <v>0</v>
      </c>
      <c r="S41" s="2">
        <v>0</v>
      </c>
      <c r="T41" s="3"/>
      <c r="U41" s="5"/>
      <c r="V41" s="11">
        <f t="shared" si="0"/>
        <v>15</v>
      </c>
      <c r="W41" s="12">
        <f t="shared" si="1"/>
        <v>0</v>
      </c>
      <c r="X41" s="13">
        <f t="shared" si="2"/>
        <v>60</v>
      </c>
      <c r="Y41" s="14">
        <f t="shared" si="6"/>
        <v>0</v>
      </c>
      <c r="Z41" s="15">
        <f t="shared" si="4"/>
        <v>210</v>
      </c>
      <c r="AA41" s="15">
        <f t="shared" si="5"/>
        <v>25</v>
      </c>
      <c r="AB41" s="5"/>
      <c r="AC41" s="5">
        <v>1</v>
      </c>
      <c r="AD41" s="5"/>
      <c r="AE41" s="28"/>
      <c r="AF41" s="28"/>
      <c r="AG41" s="28"/>
    </row>
    <row r="42" spans="1:33" ht="31.5" x14ac:dyDescent="0.25">
      <c r="A42" s="1">
        <v>41</v>
      </c>
      <c r="B42" s="2" t="s">
        <v>197</v>
      </c>
      <c r="C42" s="2" t="s">
        <v>198</v>
      </c>
      <c r="D42" s="2" t="s">
        <v>90</v>
      </c>
      <c r="E42" s="2" t="s">
        <v>60</v>
      </c>
      <c r="F42" s="2"/>
      <c r="G42" s="3" t="s">
        <v>160</v>
      </c>
      <c r="H42" s="4" t="s">
        <v>201</v>
      </c>
      <c r="I42" s="5"/>
      <c r="J42" s="2">
        <v>7</v>
      </c>
      <c r="K42" s="6">
        <v>3</v>
      </c>
      <c r="L42" s="16">
        <v>2</v>
      </c>
      <c r="M42" s="17">
        <v>1</v>
      </c>
      <c r="N42" s="20"/>
      <c r="O42" s="21"/>
      <c r="P42" s="5" t="s">
        <v>26</v>
      </c>
      <c r="Q42" s="5"/>
      <c r="R42" s="2">
        <v>1</v>
      </c>
      <c r="S42" s="2">
        <v>0</v>
      </c>
      <c r="T42" s="3" t="s">
        <v>288</v>
      </c>
      <c r="U42" s="5" t="s">
        <v>112</v>
      </c>
      <c r="V42" s="11">
        <f t="shared" si="0"/>
        <v>30</v>
      </c>
      <c r="W42" s="12">
        <f t="shared" si="1"/>
        <v>30</v>
      </c>
      <c r="X42" s="13">
        <f t="shared" si="2"/>
        <v>0</v>
      </c>
      <c r="Y42" s="14">
        <f t="shared" si="6"/>
        <v>0</v>
      </c>
      <c r="Z42" s="15">
        <f t="shared" si="4"/>
        <v>75</v>
      </c>
      <c r="AA42" s="15">
        <f t="shared" si="5"/>
        <v>15</v>
      </c>
      <c r="AB42" s="5"/>
      <c r="AC42" s="5">
        <v>1</v>
      </c>
      <c r="AD42" s="5"/>
      <c r="AE42" s="28"/>
      <c r="AF42" s="28"/>
      <c r="AG42" s="28"/>
    </row>
    <row r="43" spans="1:33" ht="31.5" x14ac:dyDescent="0.25">
      <c r="A43" s="1">
        <v>42</v>
      </c>
      <c r="B43" s="2" t="s">
        <v>197</v>
      </c>
      <c r="C43" s="2" t="s">
        <v>198</v>
      </c>
      <c r="D43" s="2" t="s">
        <v>90</v>
      </c>
      <c r="E43" s="2" t="s">
        <v>60</v>
      </c>
      <c r="F43" s="2"/>
      <c r="G43" s="3" t="s">
        <v>204</v>
      </c>
      <c r="H43" s="4" t="s">
        <v>205</v>
      </c>
      <c r="I43" s="5"/>
      <c r="J43" s="2">
        <v>7</v>
      </c>
      <c r="K43" s="6">
        <v>3</v>
      </c>
      <c r="L43" s="16">
        <v>2</v>
      </c>
      <c r="M43" s="17">
        <v>1</v>
      </c>
      <c r="N43" s="20"/>
      <c r="O43" s="21"/>
      <c r="P43" s="5" t="s">
        <v>26</v>
      </c>
      <c r="Q43" s="5"/>
      <c r="R43" s="2">
        <v>1</v>
      </c>
      <c r="S43" s="2">
        <v>0</v>
      </c>
      <c r="T43" s="3"/>
      <c r="U43" s="5"/>
      <c r="V43" s="11">
        <f t="shared" si="0"/>
        <v>30</v>
      </c>
      <c r="W43" s="12">
        <f t="shared" si="1"/>
        <v>30</v>
      </c>
      <c r="X43" s="13">
        <f t="shared" si="2"/>
        <v>0</v>
      </c>
      <c r="Y43" s="14">
        <f t="shared" si="6"/>
        <v>0</v>
      </c>
      <c r="Z43" s="15">
        <f t="shared" si="4"/>
        <v>75</v>
      </c>
      <c r="AA43" s="15">
        <f t="shared" si="5"/>
        <v>15</v>
      </c>
      <c r="AB43" s="5"/>
      <c r="AC43" s="5">
        <v>1</v>
      </c>
      <c r="AD43" s="5"/>
      <c r="AE43" s="28"/>
      <c r="AF43" s="28"/>
      <c r="AG43" s="28"/>
    </row>
    <row r="44" spans="1:33" ht="31.5" x14ac:dyDescent="0.25">
      <c r="A44" s="1">
        <v>43</v>
      </c>
      <c r="B44" s="2" t="s">
        <v>197</v>
      </c>
      <c r="C44" s="2" t="s">
        <v>198</v>
      </c>
      <c r="D44" s="2" t="s">
        <v>90</v>
      </c>
      <c r="E44" s="2" t="s">
        <v>60</v>
      </c>
      <c r="F44" s="2"/>
      <c r="G44" s="3" t="s">
        <v>177</v>
      </c>
      <c r="H44" s="4" t="s">
        <v>206</v>
      </c>
      <c r="I44" s="5"/>
      <c r="J44" s="2">
        <v>7</v>
      </c>
      <c r="K44" s="6">
        <v>4</v>
      </c>
      <c r="L44" s="16">
        <v>3</v>
      </c>
      <c r="M44" s="17">
        <v>1</v>
      </c>
      <c r="N44" s="20"/>
      <c r="O44" s="21"/>
      <c r="P44" s="5" t="s">
        <v>26</v>
      </c>
      <c r="Q44" s="5"/>
      <c r="R44" s="2">
        <v>1</v>
      </c>
      <c r="S44" s="2">
        <v>0</v>
      </c>
      <c r="T44" s="3" t="s">
        <v>281</v>
      </c>
      <c r="U44" s="5" t="s">
        <v>112</v>
      </c>
      <c r="V44" s="11">
        <f t="shared" si="0"/>
        <v>45</v>
      </c>
      <c r="W44" s="12">
        <f t="shared" si="1"/>
        <v>30</v>
      </c>
      <c r="X44" s="13">
        <f t="shared" si="2"/>
        <v>0</v>
      </c>
      <c r="Y44" s="14">
        <f t="shared" si="6"/>
        <v>0</v>
      </c>
      <c r="Z44" s="15">
        <f t="shared" si="4"/>
        <v>105</v>
      </c>
      <c r="AA44" s="15">
        <f t="shared" si="5"/>
        <v>20</v>
      </c>
      <c r="AB44" s="5"/>
      <c r="AC44" s="5">
        <v>1</v>
      </c>
      <c r="AD44" s="5"/>
      <c r="AE44" s="28"/>
      <c r="AF44" s="28"/>
      <c r="AG44" s="28"/>
    </row>
    <row r="45" spans="1:33" ht="31.5" x14ac:dyDescent="0.25">
      <c r="A45" s="1">
        <v>44</v>
      </c>
      <c r="B45" s="2" t="s">
        <v>197</v>
      </c>
      <c r="C45" s="2" t="s">
        <v>198</v>
      </c>
      <c r="D45" s="2" t="s">
        <v>90</v>
      </c>
      <c r="E45" s="2" t="s">
        <v>60</v>
      </c>
      <c r="F45" s="2"/>
      <c r="G45" s="3" t="s">
        <v>207</v>
      </c>
      <c r="H45" s="4" t="s">
        <v>208</v>
      </c>
      <c r="I45" s="5"/>
      <c r="J45" s="2">
        <v>7</v>
      </c>
      <c r="K45" s="6">
        <v>4</v>
      </c>
      <c r="L45" s="16">
        <v>3</v>
      </c>
      <c r="M45" s="17">
        <v>1</v>
      </c>
      <c r="N45" s="20"/>
      <c r="O45" s="21"/>
      <c r="P45" s="5" t="s">
        <v>26</v>
      </c>
      <c r="Q45" s="5"/>
      <c r="R45" s="2">
        <v>1</v>
      </c>
      <c r="S45" s="2">
        <v>0</v>
      </c>
      <c r="T45" s="3"/>
      <c r="U45" s="5"/>
      <c r="V45" s="11">
        <f t="shared" si="0"/>
        <v>45</v>
      </c>
      <c r="W45" s="12">
        <f t="shared" si="1"/>
        <v>30</v>
      </c>
      <c r="X45" s="13">
        <f t="shared" si="2"/>
        <v>0</v>
      </c>
      <c r="Y45" s="14">
        <f t="shared" si="6"/>
        <v>0</v>
      </c>
      <c r="Z45" s="15">
        <f t="shared" si="4"/>
        <v>105</v>
      </c>
      <c r="AA45" s="15">
        <f t="shared" si="5"/>
        <v>20</v>
      </c>
      <c r="AB45" s="5"/>
      <c r="AC45" s="5">
        <v>1</v>
      </c>
      <c r="AD45" s="5"/>
      <c r="AE45" s="28"/>
      <c r="AF45" s="28"/>
      <c r="AG45" s="28"/>
    </row>
    <row r="46" spans="1:33" ht="31.5" x14ac:dyDescent="0.25">
      <c r="A46" s="1">
        <v>45</v>
      </c>
      <c r="B46" s="2" t="s">
        <v>197</v>
      </c>
      <c r="C46" s="2" t="s">
        <v>198</v>
      </c>
      <c r="D46" s="2" t="s">
        <v>90</v>
      </c>
      <c r="E46" s="2" t="s">
        <v>60</v>
      </c>
      <c r="F46" s="2"/>
      <c r="G46" s="3" t="s">
        <v>89</v>
      </c>
      <c r="H46" s="4" t="s">
        <v>90</v>
      </c>
      <c r="I46" s="5"/>
      <c r="J46" s="2">
        <v>7</v>
      </c>
      <c r="K46" s="6">
        <v>2</v>
      </c>
      <c r="L46" s="16">
        <v>2</v>
      </c>
      <c r="M46" s="17"/>
      <c r="N46" s="20"/>
      <c r="O46" s="21"/>
      <c r="P46" s="5"/>
      <c r="Q46" s="5"/>
      <c r="R46" s="2">
        <v>1</v>
      </c>
      <c r="S46" s="2">
        <v>0</v>
      </c>
      <c r="T46" s="3"/>
      <c r="U46" s="5"/>
      <c r="V46" s="11">
        <f t="shared" si="0"/>
        <v>30</v>
      </c>
      <c r="W46" s="12">
        <f t="shared" si="1"/>
        <v>0</v>
      </c>
      <c r="X46" s="13">
        <f t="shared" si="2"/>
        <v>0</v>
      </c>
      <c r="Y46" s="14">
        <f t="shared" si="6"/>
        <v>0</v>
      </c>
      <c r="Z46" s="15">
        <f t="shared" si="4"/>
        <v>60</v>
      </c>
      <c r="AA46" s="15">
        <f t="shared" si="5"/>
        <v>10</v>
      </c>
      <c r="AB46" s="5"/>
      <c r="AC46" s="5">
        <v>1</v>
      </c>
      <c r="AD46" s="5"/>
      <c r="AE46" s="28"/>
      <c r="AF46" s="28"/>
      <c r="AG46" s="28"/>
    </row>
    <row r="47" spans="1:33" ht="31.5" x14ac:dyDescent="0.25">
      <c r="A47" s="1">
        <v>46</v>
      </c>
      <c r="B47" s="2" t="s">
        <v>197</v>
      </c>
      <c r="C47" s="2" t="s">
        <v>198</v>
      </c>
      <c r="D47" s="2" t="s">
        <v>90</v>
      </c>
      <c r="E47" s="2" t="s">
        <v>60</v>
      </c>
      <c r="F47" s="2"/>
      <c r="G47" s="3" t="s">
        <v>210</v>
      </c>
      <c r="H47" s="4" t="s">
        <v>211</v>
      </c>
      <c r="I47" s="5"/>
      <c r="J47" s="2">
        <v>7</v>
      </c>
      <c r="K47" s="6">
        <v>2</v>
      </c>
      <c r="L47" s="16">
        <v>2</v>
      </c>
      <c r="M47" s="17"/>
      <c r="N47" s="20"/>
      <c r="O47" s="21"/>
      <c r="P47" s="5"/>
      <c r="Q47" s="5"/>
      <c r="R47" s="2">
        <v>1</v>
      </c>
      <c r="S47" s="2">
        <v>0</v>
      </c>
      <c r="T47" s="3"/>
      <c r="U47" s="5"/>
      <c r="V47" s="11">
        <f t="shared" si="0"/>
        <v>30</v>
      </c>
      <c r="W47" s="12">
        <f t="shared" si="1"/>
        <v>0</v>
      </c>
      <c r="X47" s="13">
        <f t="shared" si="2"/>
        <v>0</v>
      </c>
      <c r="Y47" s="14">
        <f t="shared" si="6"/>
        <v>0</v>
      </c>
      <c r="Z47" s="15">
        <f t="shared" si="4"/>
        <v>60</v>
      </c>
      <c r="AA47" s="15">
        <f t="shared" si="5"/>
        <v>10</v>
      </c>
      <c r="AB47" s="5"/>
      <c r="AC47" s="5">
        <v>1</v>
      </c>
      <c r="AD47" s="5"/>
      <c r="AE47" s="28"/>
      <c r="AF47" s="28"/>
      <c r="AG47" s="28"/>
    </row>
    <row r="48" spans="1:33" ht="31.5" x14ac:dyDescent="0.25">
      <c r="A48" s="1">
        <v>47</v>
      </c>
      <c r="B48" s="2" t="s">
        <v>197</v>
      </c>
      <c r="C48" s="2" t="s">
        <v>198</v>
      </c>
      <c r="D48" s="2" t="s">
        <v>90</v>
      </c>
      <c r="E48" s="2" t="s">
        <v>60</v>
      </c>
      <c r="F48" s="2"/>
      <c r="G48" s="3" t="s">
        <v>148</v>
      </c>
      <c r="H48" s="4" t="s">
        <v>209</v>
      </c>
      <c r="I48" s="5"/>
      <c r="J48" s="2">
        <v>8</v>
      </c>
      <c r="K48" s="6">
        <v>5</v>
      </c>
      <c r="L48" s="16">
        <v>1</v>
      </c>
      <c r="M48" s="17"/>
      <c r="N48" s="20">
        <v>4</v>
      </c>
      <c r="O48" s="21"/>
      <c r="P48" s="5"/>
      <c r="Q48" s="5"/>
      <c r="R48" s="2">
        <v>0</v>
      </c>
      <c r="S48" s="2">
        <v>0</v>
      </c>
      <c r="T48" s="3"/>
      <c r="U48" s="5"/>
      <c r="V48" s="11">
        <f t="shared" si="0"/>
        <v>15</v>
      </c>
      <c r="W48" s="12">
        <f t="shared" si="1"/>
        <v>0</v>
      </c>
      <c r="X48" s="13">
        <f t="shared" si="2"/>
        <v>60</v>
      </c>
      <c r="Y48" s="14">
        <f t="shared" si="6"/>
        <v>0</v>
      </c>
      <c r="Z48" s="15">
        <f t="shared" si="4"/>
        <v>210</v>
      </c>
      <c r="AA48" s="15">
        <f t="shared" si="5"/>
        <v>25</v>
      </c>
      <c r="AB48" s="5"/>
      <c r="AC48" s="5">
        <v>1</v>
      </c>
      <c r="AD48" s="5"/>
      <c r="AE48" s="28"/>
      <c r="AF48" s="28"/>
      <c r="AG48" s="28"/>
    </row>
    <row r="49" spans="1:33" ht="31.5" x14ac:dyDescent="0.25">
      <c r="A49" s="1">
        <v>48</v>
      </c>
      <c r="B49" s="2" t="s">
        <v>197</v>
      </c>
      <c r="C49" s="2" t="s">
        <v>198</v>
      </c>
      <c r="D49" s="2" t="s">
        <v>90</v>
      </c>
      <c r="E49" s="2" t="s">
        <v>60</v>
      </c>
      <c r="F49" s="2"/>
      <c r="G49" s="3" t="s">
        <v>199</v>
      </c>
      <c r="H49" s="4" t="s">
        <v>200</v>
      </c>
      <c r="I49" s="5"/>
      <c r="J49" s="2">
        <v>8</v>
      </c>
      <c r="K49" s="6">
        <v>3</v>
      </c>
      <c r="L49" s="16">
        <v>2</v>
      </c>
      <c r="M49" s="17">
        <v>1</v>
      </c>
      <c r="N49" s="20"/>
      <c r="O49" s="21"/>
      <c r="P49" s="5" t="s">
        <v>26</v>
      </c>
      <c r="Q49" s="5"/>
      <c r="R49" s="2">
        <v>1</v>
      </c>
      <c r="S49" s="2">
        <v>0</v>
      </c>
      <c r="T49" s="3" t="s">
        <v>287</v>
      </c>
      <c r="U49" s="5" t="s">
        <v>112</v>
      </c>
      <c r="V49" s="11">
        <f t="shared" si="0"/>
        <v>30</v>
      </c>
      <c r="W49" s="12">
        <f t="shared" si="1"/>
        <v>30</v>
      </c>
      <c r="X49" s="13">
        <f t="shared" si="2"/>
        <v>0</v>
      </c>
      <c r="Y49" s="14">
        <f t="shared" si="6"/>
        <v>0</v>
      </c>
      <c r="Z49" s="15">
        <f t="shared" si="4"/>
        <v>75</v>
      </c>
      <c r="AA49" s="15">
        <f t="shared" si="5"/>
        <v>15</v>
      </c>
      <c r="AB49" s="5"/>
      <c r="AC49" s="5">
        <v>1</v>
      </c>
      <c r="AD49" s="5"/>
      <c r="AE49" s="28"/>
      <c r="AF49" s="28"/>
      <c r="AG49" s="28"/>
    </row>
    <row r="50" spans="1:33" ht="31.5" x14ac:dyDescent="0.25">
      <c r="A50" s="1">
        <v>49</v>
      </c>
      <c r="B50" s="2" t="s">
        <v>197</v>
      </c>
      <c r="C50" s="2" t="s">
        <v>198</v>
      </c>
      <c r="D50" s="2" t="s">
        <v>90</v>
      </c>
      <c r="E50" s="2" t="s">
        <v>60</v>
      </c>
      <c r="F50" s="2"/>
      <c r="G50" s="3" t="s">
        <v>202</v>
      </c>
      <c r="H50" s="4" t="s">
        <v>203</v>
      </c>
      <c r="I50" s="5"/>
      <c r="J50" s="2">
        <v>8</v>
      </c>
      <c r="K50" s="6">
        <v>4</v>
      </c>
      <c r="L50" s="16">
        <v>3</v>
      </c>
      <c r="M50" s="17">
        <v>1</v>
      </c>
      <c r="N50" s="20"/>
      <c r="O50" s="21"/>
      <c r="P50" s="5" t="s">
        <v>26</v>
      </c>
      <c r="Q50" s="5"/>
      <c r="R50" s="2">
        <v>1</v>
      </c>
      <c r="S50" s="2">
        <v>0</v>
      </c>
      <c r="T50" s="3" t="s">
        <v>176</v>
      </c>
      <c r="U50" s="5" t="s">
        <v>112</v>
      </c>
      <c r="V50" s="11">
        <f t="shared" si="0"/>
        <v>45</v>
      </c>
      <c r="W50" s="12">
        <f t="shared" si="1"/>
        <v>30</v>
      </c>
      <c r="X50" s="13">
        <f t="shared" si="2"/>
        <v>0</v>
      </c>
      <c r="Y50" s="14">
        <f t="shared" si="6"/>
        <v>0</v>
      </c>
      <c r="Z50" s="15">
        <f t="shared" si="4"/>
        <v>105</v>
      </c>
      <c r="AA50" s="15">
        <f t="shared" si="5"/>
        <v>20</v>
      </c>
      <c r="AB50" s="5"/>
      <c r="AC50" s="5">
        <v>1</v>
      </c>
      <c r="AD50" s="5"/>
      <c r="AE50" s="28"/>
      <c r="AF50" s="28"/>
      <c r="AG50" s="28"/>
    </row>
    <row r="51" spans="1:33" ht="31.5" x14ac:dyDescent="0.25">
      <c r="A51" s="1">
        <v>50</v>
      </c>
      <c r="B51" s="2" t="s">
        <v>197</v>
      </c>
      <c r="C51" s="2" t="s">
        <v>198</v>
      </c>
      <c r="D51" s="2" t="s">
        <v>90</v>
      </c>
      <c r="E51" s="2" t="s">
        <v>60</v>
      </c>
      <c r="F51" s="2"/>
      <c r="G51" s="3" t="s">
        <v>243</v>
      </c>
      <c r="H51" s="4" t="s">
        <v>157</v>
      </c>
      <c r="I51" s="5"/>
      <c r="J51" s="2">
        <v>8</v>
      </c>
      <c r="K51" s="6">
        <v>3</v>
      </c>
      <c r="L51" s="16">
        <v>2</v>
      </c>
      <c r="M51" s="17">
        <v>1</v>
      </c>
      <c r="N51" s="20"/>
      <c r="O51" s="21"/>
      <c r="P51" s="5" t="s">
        <v>26</v>
      </c>
      <c r="Q51" s="5"/>
      <c r="R51" s="2">
        <v>1</v>
      </c>
      <c r="S51" s="2">
        <v>0</v>
      </c>
      <c r="T51" s="3"/>
      <c r="U51" s="5"/>
      <c r="V51" s="11">
        <f t="shared" si="0"/>
        <v>30</v>
      </c>
      <c r="W51" s="12">
        <f t="shared" si="1"/>
        <v>30</v>
      </c>
      <c r="X51" s="13">
        <f t="shared" si="2"/>
        <v>0</v>
      </c>
      <c r="Y51" s="14">
        <f t="shared" si="6"/>
        <v>0</v>
      </c>
      <c r="Z51" s="15">
        <f t="shared" si="4"/>
        <v>75</v>
      </c>
      <c r="AA51" s="15">
        <f t="shared" si="5"/>
        <v>15</v>
      </c>
      <c r="AB51" s="5"/>
      <c r="AC51" s="5">
        <v>1</v>
      </c>
      <c r="AD51" s="5"/>
      <c r="AE51" s="28"/>
      <c r="AF51" s="28"/>
      <c r="AG51" s="28"/>
    </row>
    <row r="52" spans="1:33" ht="31.5" x14ac:dyDescent="0.25">
      <c r="A52" s="1">
        <v>51</v>
      </c>
      <c r="B52" s="2" t="s">
        <v>212</v>
      </c>
      <c r="C52" s="2" t="s">
        <v>213</v>
      </c>
      <c r="D52" s="2" t="s">
        <v>214</v>
      </c>
      <c r="E52" s="2" t="s">
        <v>60</v>
      </c>
      <c r="F52" s="2"/>
      <c r="G52" s="3" t="s">
        <v>215</v>
      </c>
      <c r="H52" s="4" t="s">
        <v>246</v>
      </c>
      <c r="I52" s="5"/>
      <c r="J52" s="2">
        <v>7</v>
      </c>
      <c r="K52" s="6">
        <v>3</v>
      </c>
      <c r="L52" s="16">
        <v>2</v>
      </c>
      <c r="M52" s="17">
        <v>1</v>
      </c>
      <c r="N52" s="20"/>
      <c r="O52" s="21"/>
      <c r="P52" s="5" t="s">
        <v>26</v>
      </c>
      <c r="Q52" s="5"/>
      <c r="R52" s="2">
        <v>1</v>
      </c>
      <c r="S52" s="2">
        <v>0</v>
      </c>
      <c r="T52" s="3"/>
      <c r="U52" s="5"/>
      <c r="V52" s="11">
        <f t="shared" si="0"/>
        <v>30</v>
      </c>
      <c r="W52" s="12">
        <f t="shared" si="1"/>
        <v>30</v>
      </c>
      <c r="X52" s="13">
        <f t="shared" si="2"/>
        <v>0</v>
      </c>
      <c r="Y52" s="14">
        <f t="shared" si="6"/>
        <v>0</v>
      </c>
      <c r="Z52" s="15">
        <f t="shared" si="4"/>
        <v>75</v>
      </c>
      <c r="AA52" s="15">
        <f t="shared" si="5"/>
        <v>15</v>
      </c>
      <c r="AB52" s="5"/>
      <c r="AC52" s="5">
        <v>1</v>
      </c>
      <c r="AD52" s="5"/>
      <c r="AE52" s="28"/>
      <c r="AF52" s="28"/>
      <c r="AG52" s="28"/>
    </row>
    <row r="53" spans="1:33" ht="31.5" x14ac:dyDescent="0.25">
      <c r="A53" s="1">
        <v>52</v>
      </c>
      <c r="B53" s="2" t="s">
        <v>212</v>
      </c>
      <c r="C53" s="2" t="s">
        <v>213</v>
      </c>
      <c r="D53" s="2" t="s">
        <v>214</v>
      </c>
      <c r="E53" s="2" t="s">
        <v>60</v>
      </c>
      <c r="F53" s="2"/>
      <c r="G53" s="3" t="s">
        <v>217</v>
      </c>
      <c r="H53" s="4" t="s">
        <v>247</v>
      </c>
      <c r="I53" s="5"/>
      <c r="J53" s="2">
        <v>7</v>
      </c>
      <c r="K53" s="6">
        <v>3</v>
      </c>
      <c r="L53" s="16">
        <v>2</v>
      </c>
      <c r="M53" s="17">
        <v>1</v>
      </c>
      <c r="N53" s="20"/>
      <c r="O53" s="21"/>
      <c r="P53" s="5" t="s">
        <v>26</v>
      </c>
      <c r="Q53" s="5"/>
      <c r="R53" s="2">
        <v>1</v>
      </c>
      <c r="S53" s="2">
        <v>0</v>
      </c>
      <c r="T53" s="3"/>
      <c r="U53" s="5"/>
      <c r="V53" s="11">
        <f t="shared" si="0"/>
        <v>30</v>
      </c>
      <c r="W53" s="12">
        <f t="shared" si="1"/>
        <v>30</v>
      </c>
      <c r="X53" s="13">
        <f t="shared" si="2"/>
        <v>0</v>
      </c>
      <c r="Y53" s="14">
        <f t="shared" si="6"/>
        <v>0</v>
      </c>
      <c r="Z53" s="15">
        <f t="shared" si="4"/>
        <v>75</v>
      </c>
      <c r="AA53" s="15">
        <f t="shared" si="5"/>
        <v>15</v>
      </c>
      <c r="AB53" s="5"/>
      <c r="AC53" s="5">
        <v>1</v>
      </c>
      <c r="AD53" s="5"/>
      <c r="AE53" s="28"/>
      <c r="AF53" s="28"/>
      <c r="AG53" s="28"/>
    </row>
    <row r="54" spans="1:33" ht="31.5" x14ac:dyDescent="0.25">
      <c r="A54" s="1">
        <v>53</v>
      </c>
      <c r="B54" s="2" t="s">
        <v>212</v>
      </c>
      <c r="C54" s="2" t="s">
        <v>213</v>
      </c>
      <c r="D54" s="2" t="s">
        <v>214</v>
      </c>
      <c r="E54" s="2" t="s">
        <v>60</v>
      </c>
      <c r="F54" s="2"/>
      <c r="G54" s="3" t="s">
        <v>219</v>
      </c>
      <c r="H54" s="4" t="s">
        <v>220</v>
      </c>
      <c r="I54" s="5"/>
      <c r="J54" s="2">
        <v>7</v>
      </c>
      <c r="K54" s="6">
        <v>4</v>
      </c>
      <c r="L54" s="16">
        <v>3</v>
      </c>
      <c r="M54" s="17">
        <v>1</v>
      </c>
      <c r="N54" s="20"/>
      <c r="O54" s="21"/>
      <c r="P54" s="5" t="s">
        <v>26</v>
      </c>
      <c r="Q54" s="5"/>
      <c r="R54" s="2">
        <v>1</v>
      </c>
      <c r="S54" s="2">
        <v>0</v>
      </c>
      <c r="T54" s="3"/>
      <c r="U54" s="5"/>
      <c r="V54" s="11">
        <f t="shared" si="0"/>
        <v>45</v>
      </c>
      <c r="W54" s="12">
        <f t="shared" si="1"/>
        <v>30</v>
      </c>
      <c r="X54" s="13">
        <f t="shared" si="2"/>
        <v>0</v>
      </c>
      <c r="Y54" s="14">
        <f t="shared" si="6"/>
        <v>0</v>
      </c>
      <c r="Z54" s="15">
        <f t="shared" si="4"/>
        <v>105</v>
      </c>
      <c r="AA54" s="15">
        <f t="shared" si="5"/>
        <v>20</v>
      </c>
      <c r="AB54" s="5"/>
      <c r="AC54" s="5">
        <v>1</v>
      </c>
      <c r="AD54" s="5"/>
      <c r="AE54" s="28"/>
      <c r="AF54" s="28"/>
      <c r="AG54" s="28"/>
    </row>
    <row r="55" spans="1:33" ht="31.5" x14ac:dyDescent="0.25">
      <c r="A55" s="1">
        <v>54</v>
      </c>
      <c r="B55" s="2" t="s">
        <v>212</v>
      </c>
      <c r="C55" s="2" t="s">
        <v>213</v>
      </c>
      <c r="D55" s="2" t="s">
        <v>214</v>
      </c>
      <c r="E55" s="2" t="s">
        <v>60</v>
      </c>
      <c r="F55" s="2"/>
      <c r="G55" s="3" t="s">
        <v>225</v>
      </c>
      <c r="H55" s="4" t="s">
        <v>226</v>
      </c>
      <c r="I55" s="5"/>
      <c r="J55" s="2">
        <v>7</v>
      </c>
      <c r="K55" s="6">
        <v>3</v>
      </c>
      <c r="L55" s="16">
        <v>2</v>
      </c>
      <c r="M55" s="17">
        <v>1</v>
      </c>
      <c r="N55" s="20"/>
      <c r="O55" s="21"/>
      <c r="P55" s="5" t="s">
        <v>26</v>
      </c>
      <c r="Q55" s="5"/>
      <c r="R55" s="2">
        <v>1</v>
      </c>
      <c r="S55" s="2">
        <v>0</v>
      </c>
      <c r="T55" s="3"/>
      <c r="U55" s="5"/>
      <c r="V55" s="11">
        <f t="shared" si="0"/>
        <v>30</v>
      </c>
      <c r="W55" s="12">
        <f t="shared" si="1"/>
        <v>30</v>
      </c>
      <c r="X55" s="13">
        <f t="shared" si="2"/>
        <v>0</v>
      </c>
      <c r="Y55" s="14">
        <f t="shared" si="6"/>
        <v>0</v>
      </c>
      <c r="Z55" s="15">
        <f t="shared" si="4"/>
        <v>75</v>
      </c>
      <c r="AA55" s="15">
        <f t="shared" si="5"/>
        <v>15</v>
      </c>
      <c r="AB55" s="5"/>
      <c r="AC55" s="5">
        <v>1</v>
      </c>
      <c r="AD55" s="5"/>
      <c r="AE55" s="28"/>
      <c r="AF55" s="28"/>
      <c r="AG55" s="28"/>
    </row>
    <row r="56" spans="1:33" ht="31.5" x14ac:dyDescent="0.25">
      <c r="A56" s="1">
        <v>55</v>
      </c>
      <c r="B56" s="2" t="s">
        <v>212</v>
      </c>
      <c r="C56" s="2" t="s">
        <v>213</v>
      </c>
      <c r="D56" s="2" t="s">
        <v>214</v>
      </c>
      <c r="E56" s="2" t="s">
        <v>60</v>
      </c>
      <c r="F56" s="2"/>
      <c r="G56" s="3" t="s">
        <v>227</v>
      </c>
      <c r="H56" s="4" t="s">
        <v>228</v>
      </c>
      <c r="I56" s="5"/>
      <c r="J56" s="2">
        <v>7</v>
      </c>
      <c r="K56" s="6">
        <v>3</v>
      </c>
      <c r="L56" s="16">
        <v>2</v>
      </c>
      <c r="M56" s="17">
        <v>1</v>
      </c>
      <c r="N56" s="20"/>
      <c r="O56" s="21"/>
      <c r="P56" s="5" t="s">
        <v>26</v>
      </c>
      <c r="Q56" s="5"/>
      <c r="R56" s="2">
        <v>1</v>
      </c>
      <c r="S56" s="2">
        <v>0</v>
      </c>
      <c r="T56" s="3"/>
      <c r="U56" s="5"/>
      <c r="V56" s="11">
        <f t="shared" si="0"/>
        <v>30</v>
      </c>
      <c r="W56" s="12">
        <f t="shared" si="1"/>
        <v>30</v>
      </c>
      <c r="X56" s="13">
        <f t="shared" si="2"/>
        <v>0</v>
      </c>
      <c r="Y56" s="14">
        <f t="shared" si="6"/>
        <v>0</v>
      </c>
      <c r="Z56" s="15">
        <f t="shared" si="4"/>
        <v>75</v>
      </c>
      <c r="AA56" s="15">
        <f t="shared" si="5"/>
        <v>15</v>
      </c>
      <c r="AB56" s="5"/>
      <c r="AC56" s="5">
        <v>1</v>
      </c>
      <c r="AD56" s="5"/>
      <c r="AE56" s="28"/>
      <c r="AF56" s="28"/>
      <c r="AG56" s="28"/>
    </row>
    <row r="57" spans="1:33" ht="31.5" x14ac:dyDescent="0.25">
      <c r="A57" s="1">
        <v>56</v>
      </c>
      <c r="B57" s="2" t="s">
        <v>212</v>
      </c>
      <c r="C57" s="2" t="s">
        <v>213</v>
      </c>
      <c r="D57" s="2" t="s">
        <v>214</v>
      </c>
      <c r="E57" s="2" t="s">
        <v>60</v>
      </c>
      <c r="F57" s="2"/>
      <c r="G57" s="3" t="s">
        <v>229</v>
      </c>
      <c r="H57" s="4" t="s">
        <v>230</v>
      </c>
      <c r="I57" s="5"/>
      <c r="J57" s="2">
        <v>7</v>
      </c>
      <c r="K57" s="6">
        <v>2</v>
      </c>
      <c r="L57" s="16">
        <v>2</v>
      </c>
      <c r="M57" s="17"/>
      <c r="N57" s="20"/>
      <c r="O57" s="21"/>
      <c r="P57" s="5"/>
      <c r="Q57" s="5"/>
      <c r="R57" s="2">
        <v>1</v>
      </c>
      <c r="S57" s="2">
        <v>0</v>
      </c>
      <c r="T57" s="3"/>
      <c r="U57" s="5"/>
      <c r="V57" s="11">
        <f t="shared" si="0"/>
        <v>30</v>
      </c>
      <c r="W57" s="12">
        <f t="shared" si="1"/>
        <v>0</v>
      </c>
      <c r="X57" s="13">
        <f t="shared" si="2"/>
        <v>0</v>
      </c>
      <c r="Y57" s="14">
        <f t="shared" si="6"/>
        <v>0</v>
      </c>
      <c r="Z57" s="15">
        <f t="shared" si="4"/>
        <v>60</v>
      </c>
      <c r="AA57" s="15">
        <f t="shared" si="5"/>
        <v>10</v>
      </c>
      <c r="AB57" s="5"/>
      <c r="AC57" s="5">
        <v>1</v>
      </c>
      <c r="AD57" s="5"/>
      <c r="AE57" s="28"/>
      <c r="AF57" s="28"/>
      <c r="AG57" s="28"/>
    </row>
    <row r="58" spans="1:33" ht="31.5" x14ac:dyDescent="0.25">
      <c r="A58" s="1">
        <v>57</v>
      </c>
      <c r="B58" s="2" t="s">
        <v>212</v>
      </c>
      <c r="C58" s="2" t="s">
        <v>213</v>
      </c>
      <c r="D58" s="2" t="s">
        <v>214</v>
      </c>
      <c r="E58" s="2" t="s">
        <v>60</v>
      </c>
      <c r="F58" s="2"/>
      <c r="G58" s="3" t="s">
        <v>221</v>
      </c>
      <c r="H58" s="4" t="s">
        <v>222</v>
      </c>
      <c r="I58" s="5"/>
      <c r="J58" s="2">
        <v>8</v>
      </c>
      <c r="K58" s="6">
        <v>4</v>
      </c>
      <c r="L58" s="16">
        <v>3</v>
      </c>
      <c r="M58" s="17">
        <v>1</v>
      </c>
      <c r="N58" s="20"/>
      <c r="O58" s="21"/>
      <c r="P58" s="5" t="s">
        <v>26</v>
      </c>
      <c r="Q58" s="5"/>
      <c r="R58" s="2">
        <v>1</v>
      </c>
      <c r="S58" s="2">
        <v>0</v>
      </c>
      <c r="T58" s="3"/>
      <c r="U58" s="5"/>
      <c r="V58" s="11">
        <f t="shared" si="0"/>
        <v>45</v>
      </c>
      <c r="W58" s="12">
        <f t="shared" si="1"/>
        <v>30</v>
      </c>
      <c r="X58" s="13">
        <f t="shared" si="2"/>
        <v>0</v>
      </c>
      <c r="Y58" s="14">
        <f t="shared" si="6"/>
        <v>0</v>
      </c>
      <c r="Z58" s="15">
        <f t="shared" si="4"/>
        <v>105</v>
      </c>
      <c r="AA58" s="15">
        <f t="shared" si="5"/>
        <v>20</v>
      </c>
      <c r="AB58" s="5"/>
      <c r="AC58" s="5">
        <v>1</v>
      </c>
      <c r="AD58" s="5"/>
      <c r="AE58" s="28"/>
      <c r="AF58" s="28"/>
      <c r="AG58" s="28"/>
    </row>
    <row r="59" spans="1:33" ht="31.5" x14ac:dyDescent="0.25">
      <c r="A59" s="1">
        <v>58</v>
      </c>
      <c r="B59" s="2" t="s">
        <v>212</v>
      </c>
      <c r="C59" s="2" t="s">
        <v>213</v>
      </c>
      <c r="D59" s="2" t="s">
        <v>214</v>
      </c>
      <c r="E59" s="2" t="s">
        <v>60</v>
      </c>
      <c r="F59" s="2"/>
      <c r="G59" s="3" t="s">
        <v>223</v>
      </c>
      <c r="H59" s="4" t="s">
        <v>224</v>
      </c>
      <c r="I59" s="5"/>
      <c r="J59" s="2">
        <v>8</v>
      </c>
      <c r="K59" s="6">
        <v>3</v>
      </c>
      <c r="L59" s="16">
        <v>2</v>
      </c>
      <c r="M59" s="17">
        <v>1</v>
      </c>
      <c r="N59" s="20"/>
      <c r="O59" s="21"/>
      <c r="P59" s="5" t="s">
        <v>26</v>
      </c>
      <c r="Q59" s="5"/>
      <c r="R59" s="2">
        <v>1</v>
      </c>
      <c r="S59" s="2">
        <v>0</v>
      </c>
      <c r="T59" s="3"/>
      <c r="U59" s="5"/>
      <c r="V59" s="11">
        <f t="shared" si="0"/>
        <v>30</v>
      </c>
      <c r="W59" s="12">
        <f t="shared" si="1"/>
        <v>30</v>
      </c>
      <c r="X59" s="13">
        <f t="shared" si="2"/>
        <v>0</v>
      </c>
      <c r="Y59" s="14">
        <f t="shared" si="6"/>
        <v>0</v>
      </c>
      <c r="Z59" s="15">
        <f t="shared" si="4"/>
        <v>75</v>
      </c>
      <c r="AA59" s="15">
        <f t="shared" si="5"/>
        <v>15</v>
      </c>
      <c r="AB59" s="5"/>
      <c r="AC59" s="5">
        <v>1</v>
      </c>
      <c r="AD59" s="5"/>
      <c r="AE59" s="28"/>
      <c r="AF59" s="28"/>
      <c r="AG59" s="28"/>
    </row>
    <row r="60" spans="1:33" ht="31.5" x14ac:dyDescent="0.25">
      <c r="A60" s="1">
        <v>59</v>
      </c>
      <c r="B60" s="2" t="s">
        <v>212</v>
      </c>
      <c r="C60" s="2" t="s">
        <v>213</v>
      </c>
      <c r="D60" s="2" t="s">
        <v>214</v>
      </c>
      <c r="E60" s="2" t="s">
        <v>60</v>
      </c>
      <c r="F60" s="2"/>
      <c r="G60" s="3" t="s">
        <v>231</v>
      </c>
      <c r="H60" s="4" t="s">
        <v>232</v>
      </c>
      <c r="I60" s="5"/>
      <c r="J60" s="2">
        <v>8</v>
      </c>
      <c r="K60" s="6">
        <v>3</v>
      </c>
      <c r="L60" s="16">
        <v>2</v>
      </c>
      <c r="M60" s="17">
        <v>1</v>
      </c>
      <c r="N60" s="20"/>
      <c r="O60" s="21"/>
      <c r="P60" s="5" t="s">
        <v>26</v>
      </c>
      <c r="Q60" s="5"/>
      <c r="R60" s="2">
        <v>1</v>
      </c>
      <c r="S60" s="2">
        <v>0</v>
      </c>
      <c r="T60" s="3"/>
      <c r="U60" s="5"/>
      <c r="V60" s="11">
        <f t="shared" si="0"/>
        <v>30</v>
      </c>
      <c r="W60" s="12">
        <f t="shared" si="1"/>
        <v>30</v>
      </c>
      <c r="X60" s="13">
        <f t="shared" si="2"/>
        <v>0</v>
      </c>
      <c r="Y60" s="14">
        <f t="shared" si="6"/>
        <v>0</v>
      </c>
      <c r="Z60" s="15">
        <f t="shared" si="4"/>
        <v>75</v>
      </c>
      <c r="AA60" s="15">
        <f t="shared" si="5"/>
        <v>15</v>
      </c>
      <c r="AB60" s="5"/>
      <c r="AC60" s="5">
        <v>1</v>
      </c>
      <c r="AD60" s="5"/>
      <c r="AE60" s="28"/>
      <c r="AF60" s="28"/>
      <c r="AG60" s="28"/>
    </row>
    <row r="61" spans="1:33" ht="31.5" x14ac:dyDescent="0.25">
      <c r="A61" s="1">
        <v>60</v>
      </c>
      <c r="B61" s="2" t="s">
        <v>212</v>
      </c>
      <c r="C61" s="2" t="s">
        <v>213</v>
      </c>
      <c r="D61" s="2" t="s">
        <v>214</v>
      </c>
      <c r="E61" s="2" t="s">
        <v>60</v>
      </c>
      <c r="F61" s="2"/>
      <c r="G61" s="3" t="s">
        <v>233</v>
      </c>
      <c r="H61" s="4" t="s">
        <v>234</v>
      </c>
      <c r="I61" s="5"/>
      <c r="J61" s="2">
        <v>8</v>
      </c>
      <c r="K61" s="6">
        <v>5</v>
      </c>
      <c r="L61" s="16">
        <v>1</v>
      </c>
      <c r="M61" s="17"/>
      <c r="N61" s="20">
        <v>4</v>
      </c>
      <c r="O61" s="21"/>
      <c r="P61" s="5"/>
      <c r="Q61" s="5"/>
      <c r="R61" s="2">
        <v>1</v>
      </c>
      <c r="S61" s="2">
        <v>0</v>
      </c>
      <c r="T61" s="3"/>
      <c r="U61" s="5"/>
      <c r="V61" s="11">
        <f t="shared" si="0"/>
        <v>15</v>
      </c>
      <c r="W61" s="12">
        <f t="shared" si="1"/>
        <v>0</v>
      </c>
      <c r="X61" s="13">
        <f t="shared" si="2"/>
        <v>60</v>
      </c>
      <c r="Y61" s="14">
        <f t="shared" si="6"/>
        <v>0</v>
      </c>
      <c r="Z61" s="15">
        <f t="shared" si="4"/>
        <v>210</v>
      </c>
      <c r="AA61" s="15">
        <f t="shared" si="5"/>
        <v>25</v>
      </c>
      <c r="AB61" s="5"/>
      <c r="AC61" s="5">
        <v>1</v>
      </c>
      <c r="AD61" s="5"/>
      <c r="AE61" s="28"/>
      <c r="AF61" s="28"/>
      <c r="AG61" s="28"/>
    </row>
    <row r="62" spans="1:33" ht="15.75" x14ac:dyDescent="0.25">
      <c r="A62" s="1">
        <v>61</v>
      </c>
      <c r="B62" s="2" t="s">
        <v>104</v>
      </c>
      <c r="C62" s="2"/>
      <c r="D62" s="2"/>
      <c r="E62" s="2" t="s">
        <v>105</v>
      </c>
      <c r="F62" s="2"/>
      <c r="G62" s="3" t="s">
        <v>106</v>
      </c>
      <c r="H62" s="4" t="s">
        <v>105</v>
      </c>
      <c r="I62" s="5"/>
      <c r="J62" s="2">
        <v>9</v>
      </c>
      <c r="K62" s="6">
        <v>3</v>
      </c>
      <c r="L62" s="16">
        <v>1</v>
      </c>
      <c r="M62" s="17"/>
      <c r="N62" s="20"/>
      <c r="O62" s="21">
        <v>2</v>
      </c>
      <c r="P62" s="5" t="s">
        <v>97</v>
      </c>
      <c r="Q62" s="5"/>
      <c r="R62" s="2">
        <v>0</v>
      </c>
      <c r="S62" s="2">
        <v>0</v>
      </c>
      <c r="T62" s="3"/>
      <c r="U62" s="5"/>
      <c r="V62" s="11">
        <f t="shared" si="0"/>
        <v>15</v>
      </c>
      <c r="W62" s="12">
        <f t="shared" si="1"/>
        <v>0</v>
      </c>
      <c r="X62" s="13">
        <f t="shared" si="2"/>
        <v>0</v>
      </c>
      <c r="Y62" s="14">
        <f t="shared" si="6"/>
        <v>90</v>
      </c>
      <c r="Z62" s="15">
        <f t="shared" si="4"/>
        <v>120</v>
      </c>
      <c r="AA62" s="15">
        <f t="shared" si="5"/>
        <v>15</v>
      </c>
      <c r="AB62" s="5"/>
      <c r="AC62" s="5">
        <v>1</v>
      </c>
      <c r="AD62" s="5"/>
      <c r="AE62" s="28"/>
      <c r="AF62" s="28"/>
      <c r="AG62" s="28"/>
    </row>
    <row r="63" spans="1:33" ht="31.5" x14ac:dyDescent="0.25">
      <c r="A63" s="1">
        <v>62</v>
      </c>
      <c r="B63" s="2" t="s">
        <v>235</v>
      </c>
      <c r="C63" s="2"/>
      <c r="D63" s="2"/>
      <c r="E63" s="2" t="s">
        <v>248</v>
      </c>
      <c r="F63" s="2"/>
      <c r="G63" s="3" t="s">
        <v>108</v>
      </c>
      <c r="H63" s="4" t="s">
        <v>109</v>
      </c>
      <c r="I63" s="5"/>
      <c r="J63" s="2">
        <v>9</v>
      </c>
      <c r="K63" s="6">
        <v>9</v>
      </c>
      <c r="L63" s="16">
        <v>1</v>
      </c>
      <c r="M63" s="17"/>
      <c r="N63" s="20"/>
      <c r="O63" s="21">
        <v>8</v>
      </c>
      <c r="P63" s="5"/>
      <c r="Q63" s="5"/>
      <c r="R63" s="2">
        <v>1</v>
      </c>
      <c r="S63" s="2">
        <v>1</v>
      </c>
      <c r="T63" s="3"/>
      <c r="U63" s="5"/>
      <c r="V63" s="11">
        <f t="shared" si="0"/>
        <v>15</v>
      </c>
      <c r="W63" s="12">
        <f t="shared" si="1"/>
        <v>0</v>
      </c>
      <c r="X63" s="13">
        <f t="shared" si="2"/>
        <v>0</v>
      </c>
      <c r="Y63" s="14">
        <f t="shared" si="6"/>
        <v>360</v>
      </c>
      <c r="Z63" s="15">
        <f t="shared" si="4"/>
        <v>390</v>
      </c>
      <c r="AA63" s="15">
        <f t="shared" si="5"/>
        <v>45</v>
      </c>
      <c r="AB63" s="5"/>
      <c r="AC63" s="5">
        <v>1</v>
      </c>
      <c r="AD63" s="5"/>
      <c r="AE63" s="28"/>
      <c r="AF63" s="28"/>
      <c r="AG63" s="28"/>
    </row>
    <row r="64" spans="1:33" ht="15.75" x14ac:dyDescent="0.25">
      <c r="A64" s="1">
        <v>63</v>
      </c>
      <c r="B64" s="2" t="s">
        <v>235</v>
      </c>
      <c r="C64" s="2"/>
      <c r="D64" s="2"/>
      <c r="E64" s="2" t="s">
        <v>236</v>
      </c>
      <c r="F64" s="2"/>
      <c r="G64" s="3" t="s">
        <v>237</v>
      </c>
      <c r="H64" s="4" t="s">
        <v>238</v>
      </c>
      <c r="I64" s="5"/>
      <c r="J64" s="2">
        <v>9</v>
      </c>
      <c r="K64" s="6">
        <v>3</v>
      </c>
      <c r="L64" s="16">
        <v>2</v>
      </c>
      <c r="M64" s="17">
        <v>1</v>
      </c>
      <c r="N64" s="20"/>
      <c r="O64" s="21"/>
      <c r="P64" s="5" t="s">
        <v>26</v>
      </c>
      <c r="Q64" s="5"/>
      <c r="R64" s="2">
        <v>1</v>
      </c>
      <c r="S64" s="2">
        <v>1</v>
      </c>
      <c r="T64" s="3"/>
      <c r="U64" s="5"/>
      <c r="V64" s="11">
        <f t="shared" si="0"/>
        <v>30</v>
      </c>
      <c r="W64" s="12">
        <f t="shared" si="1"/>
        <v>30</v>
      </c>
      <c r="X64" s="13">
        <f t="shared" si="2"/>
        <v>0</v>
      </c>
      <c r="Y64" s="14">
        <f t="shared" si="6"/>
        <v>0</v>
      </c>
      <c r="Z64" s="15">
        <f t="shared" si="4"/>
        <v>75</v>
      </c>
      <c r="AA64" s="15">
        <f t="shared" si="5"/>
        <v>15</v>
      </c>
      <c r="AB64" s="5"/>
      <c r="AC64" s="5">
        <v>1</v>
      </c>
      <c r="AD64" s="5"/>
      <c r="AE64" s="28"/>
      <c r="AF64" s="28"/>
      <c r="AG64" s="28"/>
    </row>
    <row r="65" spans="1:33" ht="15.75" x14ac:dyDescent="0.25">
      <c r="A65" s="1">
        <v>64</v>
      </c>
      <c r="B65" s="2" t="s">
        <v>235</v>
      </c>
      <c r="C65" s="2"/>
      <c r="D65" s="2"/>
      <c r="E65" s="2" t="s">
        <v>236</v>
      </c>
      <c r="F65" s="2"/>
      <c r="G65" s="3" t="s">
        <v>239</v>
      </c>
      <c r="H65" s="4" t="s">
        <v>240</v>
      </c>
      <c r="I65" s="5"/>
      <c r="J65" s="2">
        <v>9</v>
      </c>
      <c r="K65" s="6">
        <v>3</v>
      </c>
      <c r="L65" s="16">
        <v>2</v>
      </c>
      <c r="M65" s="17">
        <v>1</v>
      </c>
      <c r="N65" s="20"/>
      <c r="O65" s="21"/>
      <c r="P65" s="5" t="s">
        <v>26</v>
      </c>
      <c r="Q65" s="5"/>
      <c r="R65" s="2">
        <v>1</v>
      </c>
      <c r="S65" s="2">
        <v>1</v>
      </c>
      <c r="T65" s="3"/>
      <c r="U65" s="5"/>
      <c r="V65" s="11">
        <f t="shared" si="0"/>
        <v>30</v>
      </c>
      <c r="W65" s="12">
        <f t="shared" si="1"/>
        <v>30</v>
      </c>
      <c r="X65" s="13">
        <f t="shared" si="2"/>
        <v>0</v>
      </c>
      <c r="Y65" s="14">
        <f t="shared" si="6"/>
        <v>0</v>
      </c>
      <c r="Z65" s="15">
        <f t="shared" si="4"/>
        <v>75</v>
      </c>
      <c r="AA65" s="15">
        <f t="shared" si="5"/>
        <v>15</v>
      </c>
      <c r="AB65" s="5"/>
      <c r="AC65" s="5">
        <v>1</v>
      </c>
      <c r="AD65" s="5"/>
      <c r="AE65" s="28"/>
      <c r="AF65" s="28"/>
      <c r="AG65" s="28"/>
    </row>
    <row r="66" spans="1:33" ht="15.75" x14ac:dyDescent="0.25">
      <c r="A66" s="1">
        <v>65</v>
      </c>
      <c r="B66" s="2" t="s">
        <v>235</v>
      </c>
      <c r="C66" s="2"/>
      <c r="D66" s="2"/>
      <c r="E66" s="2" t="s">
        <v>236</v>
      </c>
      <c r="F66" s="2"/>
      <c r="G66" s="3" t="s">
        <v>241</v>
      </c>
      <c r="H66" s="4" t="s">
        <v>242</v>
      </c>
      <c r="I66" s="5"/>
      <c r="J66" s="2">
        <v>9</v>
      </c>
      <c r="K66" s="6">
        <v>3</v>
      </c>
      <c r="L66" s="16">
        <v>2</v>
      </c>
      <c r="M66" s="17">
        <v>1</v>
      </c>
      <c r="N66" s="20"/>
      <c r="O66" s="21"/>
      <c r="P66" s="5" t="s">
        <v>26</v>
      </c>
      <c r="Q66" s="5"/>
      <c r="R66" s="2">
        <v>1</v>
      </c>
      <c r="S66" s="2">
        <v>1</v>
      </c>
      <c r="T66" s="3"/>
      <c r="U66" s="5"/>
      <c r="V66" s="11">
        <f t="shared" si="0"/>
        <v>30</v>
      </c>
      <c r="W66" s="12">
        <f t="shared" si="1"/>
        <v>30</v>
      </c>
      <c r="X66" s="13">
        <f t="shared" si="2"/>
        <v>0</v>
      </c>
      <c r="Y66" s="14">
        <f t="shared" si="6"/>
        <v>0</v>
      </c>
      <c r="Z66" s="15">
        <f t="shared" si="4"/>
        <v>75</v>
      </c>
      <c r="AA66" s="15">
        <f t="shared" si="5"/>
        <v>15</v>
      </c>
      <c r="AB66" s="5"/>
      <c r="AC66" s="5">
        <v>1</v>
      </c>
      <c r="AD66" s="5"/>
      <c r="AE66" s="28"/>
      <c r="AF66" s="28"/>
      <c r="AG66" s="28"/>
    </row>
  </sheetData>
  <dataValidations count="5">
    <dataValidation type="list" allowBlank="1" showErrorMessage="1" sqref="AC2:AC66" xr:uid="{00000000-0002-0000-0600-000000000000}">
      <formula1>"1,0"</formula1>
    </dataValidation>
    <dataValidation type="list" allowBlank="1" showErrorMessage="1" sqref="U2:U66" xr:uid="{00000000-0002-0000-0600-000001000000}">
      <formula1>"Tiên quyết (c),Học trước (d),Song hành (e)"</formula1>
    </dataValidation>
    <dataValidation type="list" allowBlank="1" showErrorMessage="1" sqref="Q2:Q66" xr:uid="{00000000-0002-0000-0600-000002000000}">
      <formula1>"Nhóm 1,Nhóm 2,Nhóm 3,Nhóm 4"</formula1>
    </dataValidation>
    <dataValidation type="list" allowBlank="1" showErrorMessage="1" sqref="P2:P66" xr:uid="{00000000-0002-0000-0600-000003000000}">
      <formula1>"T,N"</formula1>
    </dataValidation>
    <dataValidation type="list" allowBlank="1" showErrorMessage="1" sqref="AB2:AB66" xr:uid="{00000000-0002-0000-0600-000004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CNTT_ApisK10</vt:lpstr>
      <vt:lpstr>CNTT_ApisK11</vt:lpstr>
      <vt:lpstr>CNTT_ApisK12</vt:lpstr>
      <vt:lpstr>CNTT_ApisK13</vt:lpstr>
      <vt:lpstr>CNTT_ApisK14</vt:lpstr>
      <vt:lpstr>CNTT_ApisK15</vt:lpstr>
      <vt:lpstr>CNTT_ApisK16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2026-02-02T06:25:32Z</dcterms:created>
  <dcterms:modified xsi:type="dcterms:W3CDTF">2026-02-02T06:25:33Z</dcterms:modified>
</cp:coreProperties>
</file>