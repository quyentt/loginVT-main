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13_ncr:1_{0F7899C5-F822-428F-A15B-16A7350EFE0A}" xr6:coauthVersionLast="47" xr6:coauthVersionMax="47" xr10:uidLastSave="{00000000-0000-0000-0000-000000000000}"/>
  <bookViews>
    <workbookView xWindow="-50" yWindow="-50" windowWidth="19300" windowHeight="10440" xr2:uid="{00000000-000D-0000-FFFF-FFFF00000000}"/>
  </bookViews>
  <sheets>
    <sheet name="tblNhapDiem_0_0_66_18_1" sheetId="1" r:id="rId1"/>
  </sheets>
  <externalReferences>
    <externalReference r:id="rId2"/>
  </externalReferences>
  <definedNames>
    <definedName name="_xlnm._FilterDatabase" localSheetId="0" hidden="1">tblNhapDiem_0_0_66_18_1!$J$1:$K$67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K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4b01fd26b37e4c46bf70b8dd56f24622</t>
        </r>
      </text>
    </comment>
  </commentList>
</comments>
</file>

<file path=xl/sharedStrings.xml><?xml version="1.0" encoding="utf-8"?>
<sst xmlns="http://schemas.openxmlformats.org/spreadsheetml/2006/main" count="995" uniqueCount="256">
  <si>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</si>
  <si>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</si>
  <si>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</si>
  <si>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</si>
  <si>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</si>
  <si>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</si>
  <si>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</si>
  <si>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</si>
  <si>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</si>
  <si>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KNĐP.12.K15.01.LH.C02.1_LT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</si>
  <si>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</si>
  <si>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</si>
  <si>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</si>
  <si>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</si>
  <si>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</si>
  <si>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</si>
  <si>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</si>
  <si>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</si>
  <si>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</si>
  <si>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</si>
  <si>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</si>
  <si>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Bùi Hoàng</t>
  </si>
  <si>
    <t>Anh</t>
  </si>
  <si>
    <t>12/07/2006</t>
  </si>
  <si>
    <t>DCQT.15.1</t>
  </si>
  <si>
    <t/>
  </si>
  <si>
    <t>2</t>
  </si>
  <si>
    <t>Đinh Ngọc</t>
  </si>
  <si>
    <t>14/10/2006</t>
  </si>
  <si>
    <t>3</t>
  </si>
  <si>
    <t>Nguyễn Ngọc</t>
  </si>
  <si>
    <t>20/08/2006</t>
  </si>
  <si>
    <t>4</t>
  </si>
  <si>
    <t>Nguyễn Thị Ngọc</t>
  </si>
  <si>
    <t>01/08/2003</t>
  </si>
  <si>
    <t>5</t>
  </si>
  <si>
    <t>Nguyễn Tuấn</t>
  </si>
  <si>
    <t>26/02/2006</t>
  </si>
  <si>
    <t>6</t>
  </si>
  <si>
    <t>Trần Thị Lan</t>
  </si>
  <si>
    <t>05/06/2006</t>
  </si>
  <si>
    <t>DCQT.15.4</t>
  </si>
  <si>
    <t>7</t>
  </si>
  <si>
    <t>Ánh</t>
  </si>
  <si>
    <t>25/12/2006</t>
  </si>
  <si>
    <t>8</t>
  </si>
  <si>
    <t>Cấn Gia</t>
  </si>
  <si>
    <t>Bảo</t>
  </si>
  <si>
    <t>28/05/2006</t>
  </si>
  <si>
    <t>9</t>
  </si>
  <si>
    <t>Nguyễn Quốc</t>
  </si>
  <si>
    <t>24/11/2006</t>
  </si>
  <si>
    <t>10</t>
  </si>
  <si>
    <t>Nguyễn Văn</t>
  </si>
  <si>
    <t>Bính</t>
  </si>
  <si>
    <t>22/12/2006</t>
  </si>
  <si>
    <t>11</t>
  </si>
  <si>
    <t>Đào Hà</t>
  </si>
  <si>
    <t>Chi</t>
  </si>
  <si>
    <t>19/02/2006</t>
  </si>
  <si>
    <t>12</t>
  </si>
  <si>
    <t>Dương Thành</t>
  </si>
  <si>
    <t>Công</t>
  </si>
  <si>
    <t>13/03/2006</t>
  </si>
  <si>
    <t>13</t>
  </si>
  <si>
    <t>Lương Thị Thùy</t>
  </si>
  <si>
    <t>Dung</t>
  </si>
  <si>
    <t>03/11/2006</t>
  </si>
  <si>
    <t>14</t>
  </si>
  <si>
    <t>Nguyễn Thùy</t>
  </si>
  <si>
    <t>05/11/2006</t>
  </si>
  <si>
    <t>15</t>
  </si>
  <si>
    <t>Đỗ Ngọc</t>
  </si>
  <si>
    <t>Duy</t>
  </si>
  <si>
    <t>02/03/2006</t>
  </si>
  <si>
    <t>16</t>
  </si>
  <si>
    <t>Nguyễn Thị Thùy</t>
  </si>
  <si>
    <t>Dương</t>
  </si>
  <si>
    <t>09/08/2006</t>
  </si>
  <si>
    <t>17</t>
  </si>
  <si>
    <t>Trương Hải</t>
  </si>
  <si>
    <t>27/09/2006</t>
  </si>
  <si>
    <t>18</t>
  </si>
  <si>
    <t>Phan Minh</t>
  </si>
  <si>
    <t>Đức</t>
  </si>
  <si>
    <t>18/09/2006</t>
  </si>
  <si>
    <t>19</t>
  </si>
  <si>
    <t>Đinh Hương</t>
  </si>
  <si>
    <t>Giang</t>
  </si>
  <si>
    <t>26/11/2006</t>
  </si>
  <si>
    <t>20</t>
  </si>
  <si>
    <t>Vũ Thu</t>
  </si>
  <si>
    <t>Hà</t>
  </si>
  <si>
    <t>22/07/2006</t>
  </si>
  <si>
    <t>21</t>
  </si>
  <si>
    <t>Đinh Xuân</t>
  </si>
  <si>
    <t>Hiếu</t>
  </si>
  <si>
    <t>25/10/2006</t>
  </si>
  <si>
    <t>22</t>
  </si>
  <si>
    <t>Đoàn Văn</t>
  </si>
  <si>
    <t>Hùng</t>
  </si>
  <si>
    <t>20/12/2005</t>
  </si>
  <si>
    <t>23</t>
  </si>
  <si>
    <t>Nguyễn Kim</t>
  </si>
  <si>
    <t>Huy</t>
  </si>
  <si>
    <t>24</t>
  </si>
  <si>
    <t>Nguyễn Mai</t>
  </si>
  <si>
    <t>Huyền</t>
  </si>
  <si>
    <t>11/07/2006</t>
  </si>
  <si>
    <t>25</t>
  </si>
  <si>
    <t>12/09/2006</t>
  </si>
  <si>
    <t>26</t>
  </si>
  <si>
    <t>Nguyễn Thu</t>
  </si>
  <si>
    <t>21/03/2006</t>
  </si>
  <si>
    <t>27</t>
  </si>
  <si>
    <t>Nguyễn Thị Thu</t>
  </si>
  <si>
    <t>Hương</t>
  </si>
  <si>
    <t>25/06/2006</t>
  </si>
  <si>
    <t>28</t>
  </si>
  <si>
    <t>Trương Trung</t>
  </si>
  <si>
    <t>Kiên</t>
  </si>
  <si>
    <t>16/04/2006</t>
  </si>
  <si>
    <t>29</t>
  </si>
  <si>
    <t>Kiệt</t>
  </si>
  <si>
    <t>19/03/2006</t>
  </si>
  <si>
    <t>30</t>
  </si>
  <si>
    <t>Lan</t>
  </si>
  <si>
    <t>07/09/2006</t>
  </si>
  <si>
    <t>31</t>
  </si>
  <si>
    <t>Hoàng Khánh</t>
  </si>
  <si>
    <t>Linh</t>
  </si>
  <si>
    <t>32</t>
  </si>
  <si>
    <t>Lê Thị</t>
  </si>
  <si>
    <t>21/06/2006</t>
  </si>
  <si>
    <t>33</t>
  </si>
  <si>
    <t>Nguyễn Thị Phương</t>
  </si>
  <si>
    <t>13/08/2006</t>
  </si>
  <si>
    <t>34</t>
  </si>
  <si>
    <t>Nguyễn Thúy</t>
  </si>
  <si>
    <t>05/09/2006</t>
  </si>
  <si>
    <t>35</t>
  </si>
  <si>
    <t>Phạm Thùy</t>
  </si>
  <si>
    <t>18/07/2005</t>
  </si>
  <si>
    <t>36</t>
  </si>
  <si>
    <t>Phùng Thị Diệu</t>
  </si>
  <si>
    <t>22/09/2006</t>
  </si>
  <si>
    <t>37</t>
  </si>
  <si>
    <t>Nguyễn Đức</t>
  </si>
  <si>
    <t>Long</t>
  </si>
  <si>
    <t>10/02/2006</t>
  </si>
  <si>
    <t>38</t>
  </si>
  <si>
    <t>Trần Đức</t>
  </si>
  <si>
    <t>Lương</t>
  </si>
  <si>
    <t>05/07/2006</t>
  </si>
  <si>
    <t>39</t>
  </si>
  <si>
    <t>Vũ Quang</t>
  </si>
  <si>
    <t>Lưu</t>
  </si>
  <si>
    <t>27/05/2006</t>
  </si>
  <si>
    <t>40</t>
  </si>
  <si>
    <t>Tô Thị</t>
  </si>
  <si>
    <t>Mai</t>
  </si>
  <si>
    <t>41</t>
  </si>
  <si>
    <t>Nguyễn Tiến</t>
  </si>
  <si>
    <t>Mạnh</t>
  </si>
  <si>
    <t>15/08/2006</t>
  </si>
  <si>
    <t>42</t>
  </si>
  <si>
    <t>Bế Ngọc</t>
  </si>
  <si>
    <t>Minh</t>
  </si>
  <si>
    <t>29/08/2006</t>
  </si>
  <si>
    <t>43</t>
  </si>
  <si>
    <t>Vũ Thành</t>
  </si>
  <si>
    <t>Nam</t>
  </si>
  <si>
    <t>25/11/2004</t>
  </si>
  <si>
    <t>44</t>
  </si>
  <si>
    <t>Hà Thị Mai</t>
  </si>
  <si>
    <t>Ngọc</t>
  </si>
  <si>
    <t>20/01/2006</t>
  </si>
  <si>
    <t>45</t>
  </si>
  <si>
    <t>Nguyễn Hồng</t>
  </si>
  <si>
    <t>23/06/2006</t>
  </si>
  <si>
    <t>46</t>
  </si>
  <si>
    <t>Nguyễn Bá</t>
  </si>
  <si>
    <t>Nhật</t>
  </si>
  <si>
    <t>02/06/2006</t>
  </si>
  <si>
    <t>47</t>
  </si>
  <si>
    <t>Bùi Thị</t>
  </si>
  <si>
    <t>Oanh</t>
  </si>
  <si>
    <t>11/10/2006</t>
  </si>
  <si>
    <t>48</t>
  </si>
  <si>
    <t>Nguyễn Minh</t>
  </si>
  <si>
    <t>Phan</t>
  </si>
  <si>
    <t>09/06/2006</t>
  </si>
  <si>
    <t>49</t>
  </si>
  <si>
    <t>Vũ Cao</t>
  </si>
  <si>
    <t>Phong</t>
  </si>
  <si>
    <t>10/11/2006</t>
  </si>
  <si>
    <t>50</t>
  </si>
  <si>
    <t>Phúc</t>
  </si>
  <si>
    <t>03/07/2006</t>
  </si>
  <si>
    <t>51</t>
  </si>
  <si>
    <t>Vũ Nhân</t>
  </si>
  <si>
    <t>Quang</t>
  </si>
  <si>
    <t>30/05/2006</t>
  </si>
  <si>
    <t>52</t>
  </si>
  <si>
    <t>Phan Thị</t>
  </si>
  <si>
    <t>Quyên</t>
  </si>
  <si>
    <t>21/04/2005</t>
  </si>
  <si>
    <t>53</t>
  </si>
  <si>
    <t>Nguyễn Tự</t>
  </si>
  <si>
    <t>Quyền</t>
  </si>
  <si>
    <t>25/11/2006</t>
  </si>
  <si>
    <t>54</t>
  </si>
  <si>
    <t>Phạm Ngọc</t>
  </si>
  <si>
    <t>Quỳnh</t>
  </si>
  <si>
    <t>06/07/2006</t>
  </si>
  <si>
    <t>55</t>
  </si>
  <si>
    <t>Vũ Đức</t>
  </si>
  <si>
    <t>Tài</t>
  </si>
  <si>
    <t>21/11/2006</t>
  </si>
  <si>
    <t>56</t>
  </si>
  <si>
    <t>Nguyễn Thị Mỹ</t>
  </si>
  <si>
    <t>Tâm</t>
  </si>
  <si>
    <t>18/08/2005</t>
  </si>
  <si>
    <t>57</t>
  </si>
  <si>
    <t>Đặng Thị</t>
  </si>
  <si>
    <t>Thảo</t>
  </si>
  <si>
    <t>02/02/2006</t>
  </si>
  <si>
    <t>58</t>
  </si>
  <si>
    <t>Lò Hương</t>
  </si>
  <si>
    <t>09/09/2006</t>
  </si>
  <si>
    <t>59</t>
  </si>
  <si>
    <t>Lê</t>
  </si>
  <si>
    <t>Thịnh</t>
  </si>
  <si>
    <t>20/03/2006</t>
  </si>
  <si>
    <t>60</t>
  </si>
  <si>
    <t>Đỗ Thị Thanh</t>
  </si>
  <si>
    <t>Thủy</t>
  </si>
  <si>
    <t>61</t>
  </si>
  <si>
    <t>Nguyễn Anh</t>
  </si>
  <si>
    <t>Thư</t>
  </si>
  <si>
    <t>28/07/2006</t>
  </si>
  <si>
    <t>62</t>
  </si>
  <si>
    <t>Nguyễn Thị</t>
  </si>
  <si>
    <t>24/05/2006</t>
  </si>
  <si>
    <t>63</t>
  </si>
  <si>
    <t>Đặng Huyền</t>
  </si>
  <si>
    <t>Trang</t>
  </si>
  <si>
    <t>20/09/2006</t>
  </si>
  <si>
    <t>64</t>
  </si>
  <si>
    <t>Linh Tiểu</t>
  </si>
  <si>
    <t>Vy</t>
  </si>
  <si>
    <t>13/10/2006</t>
  </si>
  <si>
    <t>65</t>
  </si>
  <si>
    <t>Trần Hải</t>
  </si>
  <si>
    <t>Yến</t>
  </si>
  <si>
    <t>24/10/2006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</si>
</sst>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&#432;&#7901;ng%20C&#244;ng%20ngh&#7879;%20&#272;&#244;ng%20&#193;\C&#225;c%20M&#244;n%20h&#7885;c%20Gi&#7843;ng%20d&#7841;y\K&#7929;%20n&#259;ng%20&#273;&#224;m%20ph&#225;n\&#272;i&#7875;m\&#272;i&#7875;m%20QT%203%20l&#7899;p.xlsx" TargetMode="External"/><Relationship Id="rId1" Type="http://schemas.openxmlformats.org/officeDocument/2006/relationships/externalLinkPath" Target="&#272;i&#7875;m%20QT%203%20l&#7899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1"/>
      <sheetName val="ca 2"/>
      <sheetName val="ca3"/>
      <sheetName val="Ca 3- Nhóm"/>
      <sheetName val="Ca 2- Nhóm"/>
      <sheetName val="Ca 1- Nhóm"/>
    </sheetNames>
    <sheetDataSet>
      <sheetData sheetId="0">
        <row r="2">
          <cell r="D2">
            <v>24000731</v>
          </cell>
          <cell r="E2" t="str">
            <v>Bùi Hoàng Anh</v>
          </cell>
          <cell r="H2">
            <v>3</v>
          </cell>
          <cell r="J2">
            <v>5</v>
          </cell>
          <cell r="L2">
            <v>7</v>
          </cell>
          <cell r="M2">
            <v>10</v>
          </cell>
          <cell r="O2">
            <v>4.822222222222222</v>
          </cell>
          <cell r="P2">
            <v>5</v>
          </cell>
          <cell r="U2">
            <v>5.583333333333333</v>
          </cell>
          <cell r="V2">
            <v>8.5</v>
          </cell>
        </row>
        <row r="3">
          <cell r="D3">
            <v>24001421</v>
          </cell>
          <cell r="E3" t="str">
            <v>Đinh Ngọc Anh</v>
          </cell>
          <cell r="G3" t="str">
            <v>vm</v>
          </cell>
          <cell r="H3">
            <v>5.5</v>
          </cell>
          <cell r="J3">
            <v>5.5</v>
          </cell>
          <cell r="L3">
            <v>7</v>
          </cell>
          <cell r="M3">
            <v>8</v>
          </cell>
          <cell r="O3">
            <v>7.166666666666667</v>
          </cell>
          <cell r="P3">
            <v>7.166666666666667</v>
          </cell>
          <cell r="U3">
            <v>6.5277777777777786</v>
          </cell>
          <cell r="V3">
            <v>8</v>
          </cell>
        </row>
        <row r="4">
          <cell r="D4">
            <v>24001154</v>
          </cell>
          <cell r="E4" t="str">
            <v>Nguyễn Ngọc Anh</v>
          </cell>
          <cell r="H4">
            <v>7.3000000000000007</v>
          </cell>
          <cell r="J4">
            <v>7.3000000000000007</v>
          </cell>
          <cell r="L4">
            <v>5.5172413793103452</v>
          </cell>
          <cell r="M4">
            <v>9</v>
          </cell>
          <cell r="O4">
            <v>7.8</v>
          </cell>
          <cell r="P4">
            <v>7.8</v>
          </cell>
          <cell r="U4">
            <v>7.501436781609196</v>
          </cell>
          <cell r="V4">
            <v>8.5</v>
          </cell>
        </row>
        <row r="5">
          <cell r="D5">
            <v>24000006</v>
          </cell>
          <cell r="E5" t="str">
            <v>Nguyễn Thị Ngọc Anh</v>
          </cell>
          <cell r="H5">
            <v>8.5</v>
          </cell>
          <cell r="J5">
            <v>8.5</v>
          </cell>
          <cell r="L5">
            <v>5</v>
          </cell>
          <cell r="M5">
            <v>9</v>
          </cell>
          <cell r="O5">
            <v>8.8666666666666671</v>
          </cell>
          <cell r="P5">
            <v>8.8666666666666671</v>
          </cell>
          <cell r="U5">
            <v>8.4027777777777786</v>
          </cell>
          <cell r="V5">
            <v>9</v>
          </cell>
        </row>
        <row r="6">
          <cell r="D6">
            <v>24000466</v>
          </cell>
          <cell r="E6" t="str">
            <v>Nguyễn Tuấn Anh</v>
          </cell>
          <cell r="H6">
            <v>5.5</v>
          </cell>
          <cell r="J6">
            <v>5.5</v>
          </cell>
          <cell r="L6">
            <v>7</v>
          </cell>
          <cell r="M6">
            <v>8</v>
          </cell>
          <cell r="O6">
            <v>7.166666666666667</v>
          </cell>
          <cell r="P6">
            <v>7.166666666666667</v>
          </cell>
          <cell r="U6">
            <v>6.5277777777777786</v>
          </cell>
          <cell r="V6">
            <v>5</v>
          </cell>
        </row>
        <row r="7">
          <cell r="D7">
            <v>24003585</v>
          </cell>
          <cell r="E7" t="str">
            <v>Trần Thị Lan Anh</v>
          </cell>
          <cell r="H7">
            <v>7.5</v>
          </cell>
          <cell r="I7">
            <v>1</v>
          </cell>
          <cell r="J7">
            <v>8.5</v>
          </cell>
          <cell r="L7">
            <v>8</v>
          </cell>
          <cell r="M7">
            <v>8</v>
          </cell>
          <cell r="N7">
            <v>1</v>
          </cell>
          <cell r="O7">
            <v>8.9</v>
          </cell>
          <cell r="P7">
            <v>9.9</v>
          </cell>
          <cell r="U7">
            <v>9</v>
          </cell>
          <cell r="V7">
            <v>10</v>
          </cell>
        </row>
        <row r="8">
          <cell r="D8">
            <v>24001198</v>
          </cell>
          <cell r="E8" t="str">
            <v>Nguyễn Thị Ngọc Ánh</v>
          </cell>
          <cell r="H8">
            <v>7</v>
          </cell>
          <cell r="J8">
            <v>7</v>
          </cell>
          <cell r="L8">
            <v>2.4137931034482758</v>
          </cell>
          <cell r="M8">
            <v>5</v>
          </cell>
          <cell r="O8">
            <v>7.25</v>
          </cell>
          <cell r="P8">
            <v>7.25</v>
          </cell>
          <cell r="U8">
            <v>6.5553160919540225</v>
          </cell>
          <cell r="V8">
            <v>9</v>
          </cell>
        </row>
        <row r="9">
          <cell r="D9">
            <v>24001320</v>
          </cell>
          <cell r="E9" t="str">
            <v>Cấn Gia Bảo</v>
          </cell>
          <cell r="G9" t="str">
            <v>-1, vm</v>
          </cell>
          <cell r="H9">
            <v>5.5</v>
          </cell>
          <cell r="J9">
            <v>5.5</v>
          </cell>
          <cell r="L9">
            <v>8</v>
          </cell>
          <cell r="M9">
            <v>8</v>
          </cell>
          <cell r="O9">
            <v>7.166666666666667</v>
          </cell>
          <cell r="P9">
            <v>7.166666666666667</v>
          </cell>
          <cell r="U9">
            <v>6.6111111111111116</v>
          </cell>
          <cell r="V9">
            <v>9.5</v>
          </cell>
        </row>
        <row r="10">
          <cell r="D10">
            <v>24001179</v>
          </cell>
          <cell r="E10" t="str">
            <v>Nguyễn Quốc Bảo</v>
          </cell>
          <cell r="H10">
            <v>7.3000000000000007</v>
          </cell>
          <cell r="J10">
            <v>7.3000000000000007</v>
          </cell>
          <cell r="L10">
            <v>5.5172413793103452</v>
          </cell>
          <cell r="M10">
            <v>9</v>
          </cell>
          <cell r="O10">
            <v>7.8</v>
          </cell>
          <cell r="P10">
            <v>7.8</v>
          </cell>
          <cell r="U10">
            <v>7.501436781609196</v>
          </cell>
          <cell r="V10">
            <v>7.5</v>
          </cell>
        </row>
        <row r="11">
          <cell r="D11">
            <v>24000301</v>
          </cell>
          <cell r="E11" t="str">
            <v>Nguyễn Văn Bính</v>
          </cell>
          <cell r="H11">
            <v>3</v>
          </cell>
          <cell r="J11">
            <v>3</v>
          </cell>
          <cell r="L11">
            <v>5.5172413793103452</v>
          </cell>
          <cell r="M11">
            <v>10</v>
          </cell>
          <cell r="O11">
            <v>7.2333333333333334</v>
          </cell>
          <cell r="P11">
            <v>7.2333333333333334</v>
          </cell>
          <cell r="U11">
            <v>5.5569923371647505</v>
          </cell>
          <cell r="V11">
            <v>8.5</v>
          </cell>
        </row>
        <row r="12">
          <cell r="D12">
            <v>24000917</v>
          </cell>
          <cell r="E12" t="str">
            <v>Đào Hà Chi</v>
          </cell>
          <cell r="F12" t="str">
            <v>nghỉ hẳn</v>
          </cell>
          <cell r="H12" t="e">
            <v>#N/A</v>
          </cell>
          <cell r="J12">
            <v>0</v>
          </cell>
          <cell r="L12">
            <v>0</v>
          </cell>
          <cell r="M12">
            <v>0</v>
          </cell>
          <cell r="O12" t="e">
            <v>#N/A</v>
          </cell>
          <cell r="P12">
            <v>0</v>
          </cell>
          <cell r="U12">
            <v>0</v>
          </cell>
          <cell r="V12">
            <v>0</v>
          </cell>
        </row>
        <row r="13">
          <cell r="D13">
            <v>24000367</v>
          </cell>
          <cell r="E13" t="str">
            <v>Dương Thành Công</v>
          </cell>
          <cell r="H13">
            <v>7.3000000000000007</v>
          </cell>
          <cell r="J13">
            <v>7.3000000000000007</v>
          </cell>
          <cell r="L13">
            <v>5.5172413793103452</v>
          </cell>
          <cell r="M13">
            <v>9</v>
          </cell>
          <cell r="O13">
            <v>7.8</v>
          </cell>
          <cell r="P13">
            <v>7.8</v>
          </cell>
          <cell r="U13">
            <v>7.501436781609196</v>
          </cell>
          <cell r="V13">
            <v>9</v>
          </cell>
        </row>
        <row r="14">
          <cell r="D14">
            <v>24000079</v>
          </cell>
          <cell r="E14" t="str">
            <v>Lương Thị Thùy Dung</v>
          </cell>
          <cell r="F14" t="str">
            <v>xem xét</v>
          </cell>
          <cell r="H14">
            <v>3</v>
          </cell>
          <cell r="J14">
            <v>3</v>
          </cell>
          <cell r="L14">
            <v>7</v>
          </cell>
          <cell r="M14">
            <v>10</v>
          </cell>
          <cell r="O14">
            <v>6.4296296296296296</v>
          </cell>
          <cell r="P14">
            <v>6.4296296296296296</v>
          </cell>
          <cell r="U14">
            <v>5.3456790123456797</v>
          </cell>
          <cell r="V14">
            <v>7</v>
          </cell>
        </row>
        <row r="15">
          <cell r="D15">
            <v>24000058</v>
          </cell>
          <cell r="E15" t="str">
            <v>Nguyễn Thùy Dung</v>
          </cell>
          <cell r="H15">
            <v>7</v>
          </cell>
          <cell r="J15">
            <v>7</v>
          </cell>
          <cell r="L15">
            <v>5.5172413793103452</v>
          </cell>
          <cell r="M15">
            <v>8</v>
          </cell>
          <cell r="O15">
            <v>7.166666666666667</v>
          </cell>
          <cell r="P15">
            <v>7.166666666666667</v>
          </cell>
          <cell r="U15">
            <v>7.0292145593869746</v>
          </cell>
          <cell r="V15">
            <v>7.5</v>
          </cell>
        </row>
        <row r="16">
          <cell r="D16">
            <v>24003821</v>
          </cell>
          <cell r="E16" t="str">
            <v>Đỗ Ngọc Duy</v>
          </cell>
          <cell r="H16">
            <v>7.5</v>
          </cell>
          <cell r="J16">
            <v>7.5</v>
          </cell>
          <cell r="L16">
            <v>7.5862068965517242</v>
          </cell>
          <cell r="M16">
            <v>8</v>
          </cell>
          <cell r="O16">
            <v>8.9</v>
          </cell>
          <cell r="P16">
            <v>8.9</v>
          </cell>
          <cell r="U16">
            <v>8.1321839080459775</v>
          </cell>
          <cell r="V16">
            <v>9.5</v>
          </cell>
        </row>
        <row r="17">
          <cell r="D17">
            <v>24000232</v>
          </cell>
          <cell r="E17" t="str">
            <v>Nguyễn Thị Thùy Dương</v>
          </cell>
          <cell r="H17">
            <v>8.5</v>
          </cell>
          <cell r="J17">
            <v>8.5</v>
          </cell>
          <cell r="L17">
            <v>5</v>
          </cell>
          <cell r="M17">
            <v>9</v>
          </cell>
          <cell r="O17">
            <v>8.8666666666666671</v>
          </cell>
          <cell r="P17">
            <v>8.8666666666666671</v>
          </cell>
          <cell r="U17">
            <v>8.4027777777777786</v>
          </cell>
          <cell r="V17">
            <v>10</v>
          </cell>
        </row>
        <row r="18">
          <cell r="D18">
            <v>24000500</v>
          </cell>
          <cell r="E18" t="str">
            <v>Trương Hải Dương</v>
          </cell>
          <cell r="H18">
            <v>7.3000000000000007</v>
          </cell>
          <cell r="J18">
            <v>7.3000000000000007</v>
          </cell>
          <cell r="L18">
            <v>5.5172413793103452</v>
          </cell>
          <cell r="M18">
            <v>9</v>
          </cell>
          <cell r="O18">
            <v>7.8</v>
          </cell>
          <cell r="P18">
            <v>7.8</v>
          </cell>
          <cell r="U18">
            <v>7.501436781609196</v>
          </cell>
          <cell r="V18">
            <v>10</v>
          </cell>
        </row>
        <row r="19">
          <cell r="D19">
            <v>24001253</v>
          </cell>
          <cell r="E19" t="str">
            <v>Phan Minh Đức</v>
          </cell>
          <cell r="H19">
            <v>4.8888888888888893</v>
          </cell>
          <cell r="J19">
            <v>4.8888888888888893</v>
          </cell>
          <cell r="L19">
            <v>7</v>
          </cell>
          <cell r="M19">
            <v>8</v>
          </cell>
          <cell r="O19">
            <v>6.3703703703703702</v>
          </cell>
          <cell r="P19">
            <v>6.3703703703703702</v>
          </cell>
          <cell r="U19">
            <v>5.9413580246913584</v>
          </cell>
          <cell r="V19">
            <v>7.5</v>
          </cell>
        </row>
        <row r="20">
          <cell r="D20">
            <v>24003407</v>
          </cell>
          <cell r="E20" t="str">
            <v>Đinh Hương Giang</v>
          </cell>
          <cell r="H20">
            <v>7.5</v>
          </cell>
          <cell r="J20">
            <v>7.5</v>
          </cell>
          <cell r="L20">
            <v>8</v>
          </cell>
          <cell r="M20">
            <v>8</v>
          </cell>
          <cell r="O20">
            <v>8.9</v>
          </cell>
          <cell r="P20">
            <v>8.9</v>
          </cell>
          <cell r="U20">
            <v>8.1666666666666661</v>
          </cell>
          <cell r="V20">
            <v>9</v>
          </cell>
        </row>
        <row r="21">
          <cell r="D21">
            <v>24000627</v>
          </cell>
          <cell r="E21" t="str">
            <v>Vũ Thu Hà</v>
          </cell>
          <cell r="H21">
            <v>8.5</v>
          </cell>
          <cell r="J21">
            <v>8.5</v>
          </cell>
          <cell r="L21">
            <v>2.7586206896551726</v>
          </cell>
          <cell r="M21">
            <v>9</v>
          </cell>
          <cell r="O21">
            <v>6.8962962962962964</v>
          </cell>
          <cell r="P21">
            <v>6.8962962962962964</v>
          </cell>
          <cell r="U21">
            <v>7.3950085142613879</v>
          </cell>
          <cell r="V21">
            <v>7</v>
          </cell>
        </row>
        <row r="22">
          <cell r="D22">
            <v>24003235</v>
          </cell>
          <cell r="E22" t="str">
            <v>Đinh Xuân Hiếu</v>
          </cell>
          <cell r="G22" t="str">
            <v>nhóm 4</v>
          </cell>
          <cell r="H22">
            <v>5.5</v>
          </cell>
          <cell r="J22">
            <v>5.5</v>
          </cell>
          <cell r="L22">
            <v>5.5172413793103452</v>
          </cell>
          <cell r="M22">
            <v>8</v>
          </cell>
          <cell r="O22">
            <v>0</v>
          </cell>
          <cell r="P22">
            <v>0</v>
          </cell>
          <cell r="U22">
            <v>3.4181034482758625</v>
          </cell>
          <cell r="V22">
            <v>6.5</v>
          </cell>
        </row>
        <row r="23">
          <cell r="D23">
            <v>24000723</v>
          </cell>
          <cell r="E23" t="str">
            <v>Đoàn Văn Hùng</v>
          </cell>
          <cell r="F23" t="str">
            <v>xem xét</v>
          </cell>
          <cell r="H23">
            <v>3</v>
          </cell>
          <cell r="J23">
            <v>3</v>
          </cell>
          <cell r="L23">
            <v>5.5172413793103452</v>
          </cell>
          <cell r="M23">
            <v>10</v>
          </cell>
          <cell r="O23">
            <v>7.2333333333333334</v>
          </cell>
          <cell r="P23">
            <v>7.2333333333333334</v>
          </cell>
          <cell r="U23">
            <v>5.5569923371647505</v>
          </cell>
          <cell r="V23">
            <v>6</v>
          </cell>
        </row>
        <row r="24">
          <cell r="D24">
            <v>24001347</v>
          </cell>
          <cell r="E24" t="str">
            <v>Nguyễn Kim Huy</v>
          </cell>
          <cell r="G24" t="str">
            <v>vm</v>
          </cell>
          <cell r="H24">
            <v>7</v>
          </cell>
          <cell r="J24">
            <v>7</v>
          </cell>
          <cell r="L24">
            <v>2.4137931034482758</v>
          </cell>
          <cell r="M24">
            <v>5</v>
          </cell>
          <cell r="O24">
            <v>7.25</v>
          </cell>
          <cell r="P24">
            <v>7.25</v>
          </cell>
          <cell r="U24">
            <v>6.5553160919540225</v>
          </cell>
          <cell r="V24">
            <v>10</v>
          </cell>
        </row>
        <row r="25">
          <cell r="D25">
            <v>24003358</v>
          </cell>
          <cell r="E25" t="str">
            <v>Nguyễn Mai Huyền</v>
          </cell>
          <cell r="F25" t="str">
            <v>nghỉ hẳn</v>
          </cell>
          <cell r="G25" t="str">
            <v>nghỉ hẳn</v>
          </cell>
          <cell r="H25">
            <v>0</v>
          </cell>
          <cell r="J25">
            <v>0</v>
          </cell>
          <cell r="L25">
            <v>7.5862068965517242</v>
          </cell>
          <cell r="M25">
            <v>8</v>
          </cell>
          <cell r="O25">
            <v>0</v>
          </cell>
          <cell r="P25">
            <v>0</v>
          </cell>
          <cell r="U25">
            <v>0</v>
          </cell>
          <cell r="V25">
            <v>0</v>
          </cell>
        </row>
        <row r="26">
          <cell r="D26">
            <v>24000684</v>
          </cell>
          <cell r="E26" t="str">
            <v>Nguyễn Ngọc Huyền</v>
          </cell>
          <cell r="H26">
            <v>7</v>
          </cell>
          <cell r="J26">
            <v>7</v>
          </cell>
          <cell r="L26">
            <v>2.4137931034482758</v>
          </cell>
          <cell r="M26">
            <v>5</v>
          </cell>
          <cell r="O26">
            <v>7.25</v>
          </cell>
          <cell r="P26">
            <v>7.25</v>
          </cell>
          <cell r="U26">
            <v>6.5553160919540225</v>
          </cell>
          <cell r="V26">
            <v>10</v>
          </cell>
        </row>
        <row r="27">
          <cell r="D27">
            <v>24000117</v>
          </cell>
          <cell r="E27" t="str">
            <v>Nguyễn Thu Huyền</v>
          </cell>
          <cell r="H27">
            <v>7</v>
          </cell>
          <cell r="J27">
            <v>7</v>
          </cell>
          <cell r="L27">
            <v>2.4137931034482758</v>
          </cell>
          <cell r="M27">
            <v>5</v>
          </cell>
          <cell r="O27">
            <v>7.25</v>
          </cell>
          <cell r="P27">
            <v>7.25</v>
          </cell>
          <cell r="U27">
            <v>6.5553160919540225</v>
          </cell>
          <cell r="V27">
            <v>10</v>
          </cell>
        </row>
        <row r="28">
          <cell r="D28">
            <v>24000313</v>
          </cell>
          <cell r="E28" t="str">
            <v>Nguyễn Thị Thu Hương</v>
          </cell>
          <cell r="H28">
            <v>3</v>
          </cell>
          <cell r="J28">
            <v>3</v>
          </cell>
          <cell r="L28">
            <v>5.5172413793103452</v>
          </cell>
          <cell r="M28">
            <v>10</v>
          </cell>
          <cell r="O28">
            <v>6.4296296296296296</v>
          </cell>
          <cell r="P28">
            <v>6.4296296296296296</v>
          </cell>
          <cell r="U28">
            <v>5.2221157939548739</v>
          </cell>
          <cell r="V28">
            <v>7</v>
          </cell>
        </row>
        <row r="29">
          <cell r="D29">
            <v>24003865</v>
          </cell>
          <cell r="E29" t="str">
            <v>Trương Trung Kiên</v>
          </cell>
          <cell r="F29" t="str">
            <v>nghỉ hẳn</v>
          </cell>
          <cell r="G29" t="str">
            <v>nhóm 3</v>
          </cell>
          <cell r="H29">
            <v>3</v>
          </cell>
          <cell r="J29">
            <v>3</v>
          </cell>
          <cell r="L29">
            <v>5.5172413793103452</v>
          </cell>
          <cell r="M29">
            <v>10</v>
          </cell>
          <cell r="O29">
            <v>4.822222222222222</v>
          </cell>
          <cell r="P29">
            <v>4.822222222222222</v>
          </cell>
          <cell r="U29">
            <v>0</v>
          </cell>
          <cell r="V29">
            <v>0</v>
          </cell>
        </row>
        <row r="30">
          <cell r="D30">
            <v>24001806</v>
          </cell>
          <cell r="E30" t="str">
            <v>Nguyễn Tuấn Kiệt</v>
          </cell>
          <cell r="H30">
            <v>6.4888888888888889</v>
          </cell>
          <cell r="J30">
            <v>6.4888888888888889</v>
          </cell>
          <cell r="L30">
            <v>5.5172413793103452</v>
          </cell>
          <cell r="M30">
            <v>9</v>
          </cell>
          <cell r="O30">
            <v>6.9333333333333327</v>
          </cell>
          <cell r="P30">
            <v>6.9333333333333327</v>
          </cell>
          <cell r="U30">
            <v>6.8023627075351216</v>
          </cell>
          <cell r="V30">
            <v>9.5</v>
          </cell>
        </row>
        <row r="31">
          <cell r="D31">
            <v>24000608</v>
          </cell>
          <cell r="E31" t="str">
            <v>Nguyễn Ngọc Lan</v>
          </cell>
          <cell r="H31">
            <v>7.3000000000000007</v>
          </cell>
          <cell r="J31">
            <v>7.3000000000000007</v>
          </cell>
          <cell r="L31">
            <v>5.5172413793103452</v>
          </cell>
          <cell r="M31">
            <v>9</v>
          </cell>
          <cell r="O31">
            <v>7.8</v>
          </cell>
          <cell r="P31">
            <v>7.8</v>
          </cell>
          <cell r="U31">
            <v>7.501436781609196</v>
          </cell>
          <cell r="V31">
            <v>8</v>
          </cell>
        </row>
        <row r="32">
          <cell r="D32">
            <v>24000012</v>
          </cell>
          <cell r="E32" t="str">
            <v>Hoàng Khánh Linh</v>
          </cell>
          <cell r="H32">
            <v>7</v>
          </cell>
          <cell r="J32">
            <v>7</v>
          </cell>
          <cell r="L32">
            <v>2.4137931034482758</v>
          </cell>
          <cell r="M32">
            <v>5</v>
          </cell>
          <cell r="O32">
            <v>7.25</v>
          </cell>
          <cell r="P32">
            <v>7.25</v>
          </cell>
          <cell r="U32">
            <v>6.5553160919540225</v>
          </cell>
          <cell r="V32">
            <v>10</v>
          </cell>
        </row>
        <row r="33">
          <cell r="D33">
            <v>24000011</v>
          </cell>
          <cell r="E33" t="str">
            <v>Lê Thị Linh</v>
          </cell>
          <cell r="H33">
            <v>7.3000000000000007</v>
          </cell>
          <cell r="J33">
            <v>7.3000000000000007</v>
          </cell>
          <cell r="L33">
            <v>5.5172413793103452</v>
          </cell>
          <cell r="M33">
            <v>9</v>
          </cell>
          <cell r="O33">
            <v>7.8</v>
          </cell>
          <cell r="P33">
            <v>7.8</v>
          </cell>
          <cell r="U33">
            <v>7.501436781609196</v>
          </cell>
          <cell r="V33">
            <v>9</v>
          </cell>
        </row>
        <row r="34">
          <cell r="D34">
            <v>24001351</v>
          </cell>
          <cell r="E34" t="str">
            <v>Nguyễn Thị Phương Linh</v>
          </cell>
          <cell r="H34">
            <v>7</v>
          </cell>
          <cell r="J34">
            <v>7</v>
          </cell>
          <cell r="L34">
            <v>5</v>
          </cell>
          <cell r="M34">
            <v>5</v>
          </cell>
          <cell r="O34">
            <v>7.25</v>
          </cell>
          <cell r="P34">
            <v>7.25</v>
          </cell>
          <cell r="U34">
            <v>6.770833333333333</v>
          </cell>
          <cell r="V34">
            <v>7.5</v>
          </cell>
        </row>
        <row r="35">
          <cell r="D35">
            <v>24001366</v>
          </cell>
          <cell r="E35" t="str">
            <v>Nguyễn Thúy Linh</v>
          </cell>
          <cell r="H35">
            <v>7.3000000000000007</v>
          </cell>
          <cell r="J35">
            <v>7.3000000000000007</v>
          </cell>
          <cell r="K35">
            <v>1</v>
          </cell>
          <cell r="L35">
            <v>6.5172413793103452</v>
          </cell>
          <cell r="M35">
            <v>9</v>
          </cell>
          <cell r="O35">
            <v>7.8</v>
          </cell>
          <cell r="P35">
            <v>7.8</v>
          </cell>
          <cell r="U35">
            <v>7.5847701149425291</v>
          </cell>
          <cell r="V35">
            <v>9</v>
          </cell>
        </row>
        <row r="36">
          <cell r="D36">
            <v>24001426</v>
          </cell>
          <cell r="E36" t="str">
            <v>Phạm Thùy Linh</v>
          </cell>
          <cell r="H36">
            <v>8.5</v>
          </cell>
          <cell r="J36">
            <v>8.5</v>
          </cell>
          <cell r="L36">
            <v>7</v>
          </cell>
          <cell r="M36">
            <v>9</v>
          </cell>
          <cell r="O36">
            <v>8.8666666666666671</v>
          </cell>
          <cell r="P36">
            <v>8.8666666666666671</v>
          </cell>
          <cell r="U36">
            <v>8.5694444444444446</v>
          </cell>
          <cell r="V36">
            <v>10</v>
          </cell>
        </row>
        <row r="37">
          <cell r="D37">
            <v>24001498</v>
          </cell>
          <cell r="E37" t="str">
            <v>Phùng Thị Diệu Linh</v>
          </cell>
          <cell r="H37">
            <v>7</v>
          </cell>
          <cell r="J37">
            <v>7</v>
          </cell>
          <cell r="K37">
            <v>1</v>
          </cell>
          <cell r="L37">
            <v>5</v>
          </cell>
          <cell r="M37">
            <v>6</v>
          </cell>
          <cell r="O37">
            <v>7.25</v>
          </cell>
          <cell r="P37">
            <v>7.25</v>
          </cell>
          <cell r="U37">
            <v>6.854166666666667</v>
          </cell>
          <cell r="V37">
            <v>10</v>
          </cell>
        </row>
        <row r="38">
          <cell r="D38">
            <v>24000683</v>
          </cell>
          <cell r="E38" t="str">
            <v>Nguyễn Đức Long</v>
          </cell>
          <cell r="H38">
            <v>3</v>
          </cell>
          <cell r="J38">
            <v>3</v>
          </cell>
          <cell r="L38">
            <v>5.5172413793103452</v>
          </cell>
          <cell r="M38">
            <v>10</v>
          </cell>
          <cell r="O38">
            <v>4.822222222222222</v>
          </cell>
          <cell r="P38">
            <v>4.822222222222222</v>
          </cell>
          <cell r="U38">
            <v>4.5523627075351216</v>
          </cell>
          <cell r="V38">
            <v>8</v>
          </cell>
        </row>
        <row r="39">
          <cell r="D39">
            <v>24003806</v>
          </cell>
          <cell r="E39" t="str">
            <v>Trần Đức Lương</v>
          </cell>
          <cell r="G39" t="str">
            <v>vm</v>
          </cell>
          <cell r="H39">
            <v>4.2777777777777777</v>
          </cell>
          <cell r="I39">
            <v>1.5</v>
          </cell>
          <cell r="J39">
            <v>6.5</v>
          </cell>
          <cell r="L39">
            <v>8</v>
          </cell>
          <cell r="M39">
            <v>8</v>
          </cell>
          <cell r="O39">
            <v>7.166666666666667</v>
          </cell>
          <cell r="P39">
            <v>7.166666666666667</v>
          </cell>
          <cell r="U39">
            <v>7.0277777777777786</v>
          </cell>
          <cell r="V39">
            <v>8.5</v>
          </cell>
        </row>
        <row r="40">
          <cell r="D40">
            <v>24000749</v>
          </cell>
          <cell r="E40" t="str">
            <v>Vũ Quang Lưu</v>
          </cell>
          <cell r="H40">
            <v>3</v>
          </cell>
          <cell r="J40">
            <v>3</v>
          </cell>
          <cell r="L40">
            <v>5.5172413793103452</v>
          </cell>
          <cell r="M40">
            <v>10</v>
          </cell>
          <cell r="O40">
            <v>7.2333333333333334</v>
          </cell>
          <cell r="P40">
            <v>7.2333333333333334</v>
          </cell>
          <cell r="U40">
            <v>5.5569923371647505</v>
          </cell>
          <cell r="V40">
            <v>8.5</v>
          </cell>
        </row>
        <row r="41">
          <cell r="D41">
            <v>24000328</v>
          </cell>
          <cell r="E41" t="str">
            <v>Tô Thị Mai</v>
          </cell>
          <cell r="H41">
            <v>7</v>
          </cell>
          <cell r="J41">
            <v>7</v>
          </cell>
          <cell r="L41">
            <v>2.4137931034482758</v>
          </cell>
          <cell r="M41">
            <v>5</v>
          </cell>
          <cell r="O41">
            <v>7.25</v>
          </cell>
          <cell r="P41">
            <v>7.25</v>
          </cell>
          <cell r="U41">
            <v>6.5553160919540225</v>
          </cell>
          <cell r="V41">
            <v>8</v>
          </cell>
        </row>
        <row r="42">
          <cell r="D42">
            <v>24003529</v>
          </cell>
          <cell r="E42" t="str">
            <v>Nguyễn Tiến Mạnh</v>
          </cell>
          <cell r="G42">
            <v>1</v>
          </cell>
          <cell r="H42">
            <v>3</v>
          </cell>
          <cell r="J42">
            <v>3</v>
          </cell>
          <cell r="L42">
            <v>5.5172413793103452</v>
          </cell>
          <cell r="M42">
            <v>10</v>
          </cell>
          <cell r="O42">
            <v>7.2333333333333334</v>
          </cell>
          <cell r="P42">
            <v>7.2333333333333334</v>
          </cell>
          <cell r="U42">
            <v>5.5569923371647505</v>
          </cell>
          <cell r="V42">
            <v>9</v>
          </cell>
        </row>
        <row r="43">
          <cell r="D43">
            <v>24003572</v>
          </cell>
          <cell r="E43" t="str">
            <v>Bế Ngọc Minh</v>
          </cell>
          <cell r="H43">
            <v>7.5</v>
          </cell>
          <cell r="J43">
            <v>7.5</v>
          </cell>
          <cell r="L43">
            <v>7.5862068965517242</v>
          </cell>
          <cell r="M43">
            <v>8</v>
          </cell>
          <cell r="O43">
            <v>8.9</v>
          </cell>
          <cell r="P43">
            <v>8.9</v>
          </cell>
          <cell r="U43">
            <v>8.1321839080459775</v>
          </cell>
          <cell r="V43">
            <v>8</v>
          </cell>
        </row>
        <row r="44">
          <cell r="D44">
            <v>24001480</v>
          </cell>
          <cell r="E44" t="str">
            <v>Vũ Thành Nam</v>
          </cell>
          <cell r="H44">
            <v>8.5</v>
          </cell>
          <cell r="J44">
            <v>8.5</v>
          </cell>
          <cell r="L44">
            <v>4</v>
          </cell>
          <cell r="M44">
            <v>9</v>
          </cell>
          <cell r="O44">
            <v>8.8666666666666671</v>
          </cell>
          <cell r="P44">
            <v>8.8666666666666671</v>
          </cell>
          <cell r="U44">
            <v>8.3194444444444446</v>
          </cell>
          <cell r="V44">
            <v>7</v>
          </cell>
        </row>
        <row r="45">
          <cell r="D45">
            <v>24003935</v>
          </cell>
          <cell r="E45" t="str">
            <v>Hà Thị Mai Ngọc</v>
          </cell>
          <cell r="H45">
            <v>7.5</v>
          </cell>
          <cell r="I45">
            <v>1</v>
          </cell>
          <cell r="J45">
            <v>8.5</v>
          </cell>
          <cell r="L45">
            <v>8</v>
          </cell>
          <cell r="M45">
            <v>8</v>
          </cell>
          <cell r="O45">
            <v>8.9</v>
          </cell>
          <cell r="P45">
            <v>8.9</v>
          </cell>
          <cell r="U45">
            <v>8.5833333333333339</v>
          </cell>
          <cell r="V45">
            <v>9.5</v>
          </cell>
        </row>
        <row r="46">
          <cell r="D46">
            <v>24000536</v>
          </cell>
          <cell r="E46" t="str">
            <v>Nguyễn Hồng Ngọc</v>
          </cell>
          <cell r="H46">
            <v>7.3000000000000007</v>
          </cell>
          <cell r="J46">
            <v>7.3000000000000007</v>
          </cell>
          <cell r="L46">
            <v>5.5172413793103452</v>
          </cell>
          <cell r="M46">
            <v>9</v>
          </cell>
          <cell r="O46">
            <v>7.8</v>
          </cell>
          <cell r="P46">
            <v>7.8</v>
          </cell>
          <cell r="U46">
            <v>7.501436781609196</v>
          </cell>
          <cell r="V46">
            <v>7.5</v>
          </cell>
        </row>
        <row r="47">
          <cell r="D47">
            <v>24003721</v>
          </cell>
          <cell r="E47" t="str">
            <v>Nguyễn Bá Nhật</v>
          </cell>
          <cell r="H47">
            <v>7.5</v>
          </cell>
          <cell r="J47">
            <v>7.5</v>
          </cell>
          <cell r="L47">
            <v>8</v>
          </cell>
          <cell r="M47">
            <v>8</v>
          </cell>
          <cell r="O47">
            <v>8.9</v>
          </cell>
          <cell r="P47">
            <v>8.9</v>
          </cell>
          <cell r="U47">
            <v>8.1666666666666661</v>
          </cell>
          <cell r="V47">
            <v>7.5</v>
          </cell>
        </row>
        <row r="48">
          <cell r="D48">
            <v>24003854</v>
          </cell>
          <cell r="E48" t="str">
            <v>Bùi Thị Oanh</v>
          </cell>
          <cell r="H48">
            <v>7.5</v>
          </cell>
          <cell r="J48">
            <v>7.5</v>
          </cell>
          <cell r="L48">
            <v>7.5862068965517242</v>
          </cell>
          <cell r="M48">
            <v>8</v>
          </cell>
          <cell r="O48">
            <v>8.9</v>
          </cell>
          <cell r="P48">
            <v>8.9</v>
          </cell>
          <cell r="U48">
            <v>8.1321839080459775</v>
          </cell>
          <cell r="V48">
            <v>8.5</v>
          </cell>
        </row>
        <row r="49">
          <cell r="D49">
            <v>24001508</v>
          </cell>
          <cell r="E49" t="str">
            <v>Nguyễn Minh Phan</v>
          </cell>
          <cell r="H49">
            <v>4.8888888888888893</v>
          </cell>
          <cell r="J49">
            <v>4.8888888888888893</v>
          </cell>
          <cell r="L49">
            <v>5.5172413793103452</v>
          </cell>
          <cell r="M49">
            <v>8</v>
          </cell>
          <cell r="O49">
            <v>0</v>
          </cell>
          <cell r="P49">
            <v>3</v>
          </cell>
          <cell r="U49">
            <v>4.4134738186462323</v>
          </cell>
          <cell r="V49">
            <v>7.5</v>
          </cell>
        </row>
        <row r="50">
          <cell r="D50">
            <v>24001373</v>
          </cell>
          <cell r="E50" t="str">
            <v>Vũ Cao Phong</v>
          </cell>
          <cell r="G50" t="str">
            <v>vm</v>
          </cell>
          <cell r="H50">
            <v>5.5</v>
          </cell>
          <cell r="J50">
            <v>5.5</v>
          </cell>
          <cell r="L50">
            <v>5.5172413793103452</v>
          </cell>
          <cell r="M50">
            <v>8</v>
          </cell>
          <cell r="O50">
            <v>7.166666666666667</v>
          </cell>
          <cell r="P50">
            <v>7.166666666666667</v>
          </cell>
          <cell r="U50">
            <v>6.4042145593869728</v>
          </cell>
          <cell r="V50">
            <v>9.5</v>
          </cell>
        </row>
        <row r="51">
          <cell r="D51">
            <v>24000869</v>
          </cell>
          <cell r="E51" t="str">
            <v>Nguyễn Văn Phúc</v>
          </cell>
          <cell r="F51" t="str">
            <v>nghỉ hẳn</v>
          </cell>
          <cell r="H51" t="e">
            <v>#N/A</v>
          </cell>
          <cell r="J51" t="e">
            <v>#N/A</v>
          </cell>
          <cell r="L51" t="e">
            <v>#N/A</v>
          </cell>
          <cell r="M51" t="e">
            <v>#N/A</v>
          </cell>
          <cell r="O51" t="e">
            <v>#N/A</v>
          </cell>
          <cell r="P51" t="e">
            <v>#N/A</v>
          </cell>
          <cell r="U51">
            <v>0</v>
          </cell>
          <cell r="V51">
            <v>0</v>
          </cell>
        </row>
        <row r="52">
          <cell r="D52">
            <v>24001479</v>
          </cell>
          <cell r="E52" t="str">
            <v>Vũ Nhân Quang</v>
          </cell>
          <cell r="H52">
            <v>7.3000000000000007</v>
          </cell>
          <cell r="J52">
            <v>7.3000000000000007</v>
          </cell>
          <cell r="L52">
            <v>5.5172413793103452</v>
          </cell>
          <cell r="M52">
            <v>9</v>
          </cell>
          <cell r="O52">
            <v>7.8</v>
          </cell>
          <cell r="P52">
            <v>7.8</v>
          </cell>
          <cell r="U52">
            <v>7.501436781609196</v>
          </cell>
          <cell r="V52">
            <v>8</v>
          </cell>
        </row>
        <row r="53">
          <cell r="D53">
            <v>24003249</v>
          </cell>
          <cell r="E53" t="str">
            <v>Phan Thị Quyên</v>
          </cell>
          <cell r="H53">
            <v>3</v>
          </cell>
          <cell r="J53">
            <v>3</v>
          </cell>
          <cell r="L53">
            <v>5.5172413793103452</v>
          </cell>
          <cell r="M53">
            <v>10</v>
          </cell>
          <cell r="O53">
            <v>7.2333333333333334</v>
          </cell>
          <cell r="P53">
            <v>7.2333333333333334</v>
          </cell>
          <cell r="U53">
            <v>5.5569923371647505</v>
          </cell>
          <cell r="V53">
            <v>8</v>
          </cell>
        </row>
        <row r="54">
          <cell r="D54">
            <v>24001080</v>
          </cell>
          <cell r="E54" t="str">
            <v>Nguyễn Tự Quyền</v>
          </cell>
          <cell r="H54">
            <v>5.666666666666667</v>
          </cell>
          <cell r="J54">
            <v>5.666666666666667</v>
          </cell>
          <cell r="L54">
            <v>2.7586206896551726</v>
          </cell>
          <cell r="M54">
            <v>9</v>
          </cell>
          <cell r="O54">
            <v>8.8666666666666671</v>
          </cell>
          <cell r="P54">
            <v>8.8666666666666671</v>
          </cell>
          <cell r="U54">
            <v>7.0354406130268208</v>
          </cell>
          <cell r="V54">
            <v>7</v>
          </cell>
        </row>
        <row r="55">
          <cell r="D55">
            <v>24001304</v>
          </cell>
          <cell r="E55" t="str">
            <v>Phạm Ngọc Quỳnh</v>
          </cell>
          <cell r="H55">
            <v>7</v>
          </cell>
          <cell r="J55">
            <v>7</v>
          </cell>
          <cell r="L55">
            <v>2.4137931034482758</v>
          </cell>
          <cell r="M55">
            <v>5</v>
          </cell>
          <cell r="O55">
            <v>7.25</v>
          </cell>
          <cell r="P55">
            <v>7.25</v>
          </cell>
          <cell r="U55">
            <v>6.5553160919540225</v>
          </cell>
          <cell r="V55">
            <v>9</v>
          </cell>
        </row>
        <row r="56">
          <cell r="D56">
            <v>24000844</v>
          </cell>
          <cell r="E56" t="str">
            <v>Vũ Đức Tài</v>
          </cell>
          <cell r="H56">
            <v>4.8888888888888893</v>
          </cell>
          <cell r="J56">
            <v>4.8888888888888893</v>
          </cell>
          <cell r="L56">
            <v>5.5172413793103452</v>
          </cell>
          <cell r="M56">
            <v>8</v>
          </cell>
          <cell r="O56">
            <v>6.3703703703703702</v>
          </cell>
          <cell r="P56">
            <v>6.3703703703703702</v>
          </cell>
          <cell r="U56">
            <v>5.8177948063005536</v>
          </cell>
          <cell r="V56">
            <v>7</v>
          </cell>
        </row>
        <row r="57">
          <cell r="D57">
            <v>24000628</v>
          </cell>
          <cell r="E57" t="str">
            <v>Nguyễn Thị Mỹ Tâm</v>
          </cell>
          <cell r="H57">
            <v>8.5</v>
          </cell>
          <cell r="J57">
            <v>8.5</v>
          </cell>
          <cell r="L57">
            <v>7</v>
          </cell>
          <cell r="M57">
            <v>9</v>
          </cell>
          <cell r="O57">
            <v>6.8962962962962964</v>
          </cell>
          <cell r="P57">
            <v>6.8962962962962964</v>
          </cell>
          <cell r="U57">
            <v>7.7484567901234565</v>
          </cell>
          <cell r="V57">
            <v>8</v>
          </cell>
        </row>
        <row r="58">
          <cell r="D58">
            <v>24001397</v>
          </cell>
          <cell r="E58" t="str">
            <v>Đặng Thị Thảo</v>
          </cell>
          <cell r="H58">
            <v>3</v>
          </cell>
          <cell r="J58">
            <v>3</v>
          </cell>
          <cell r="L58">
            <v>5.5172413793103452</v>
          </cell>
          <cell r="M58">
            <v>10</v>
          </cell>
          <cell r="O58">
            <v>7.2333333333333334</v>
          </cell>
          <cell r="P58">
            <v>7.2333333333333334</v>
          </cell>
          <cell r="U58">
            <v>5.5569923371647505</v>
          </cell>
          <cell r="V58">
            <v>10</v>
          </cell>
        </row>
        <row r="59">
          <cell r="D59">
            <v>24003941</v>
          </cell>
          <cell r="E59" t="str">
            <v>Lò Hương Thảo</v>
          </cell>
          <cell r="H59">
            <v>7.5</v>
          </cell>
          <cell r="J59">
            <v>7.5</v>
          </cell>
          <cell r="L59">
            <v>8</v>
          </cell>
          <cell r="M59">
            <v>8</v>
          </cell>
          <cell r="O59">
            <v>8.9</v>
          </cell>
          <cell r="P59">
            <v>8.9</v>
          </cell>
          <cell r="U59">
            <v>8.1666666666666661</v>
          </cell>
          <cell r="V59">
            <v>8</v>
          </cell>
        </row>
        <row r="60">
          <cell r="D60">
            <v>24003564</v>
          </cell>
          <cell r="E60" t="str">
            <v>Lê Thịnh</v>
          </cell>
          <cell r="H60">
            <v>5.5</v>
          </cell>
          <cell r="J60">
            <v>6.5</v>
          </cell>
          <cell r="L60">
            <v>5.5172413793103452</v>
          </cell>
          <cell r="M60">
            <v>8</v>
          </cell>
          <cell r="O60">
            <v>7.166666666666667</v>
          </cell>
          <cell r="P60">
            <v>7.166666666666667</v>
          </cell>
          <cell r="U60">
            <v>6.8208812260536407</v>
          </cell>
          <cell r="V60">
            <v>6</v>
          </cell>
        </row>
        <row r="61">
          <cell r="D61">
            <v>24001481</v>
          </cell>
          <cell r="E61" t="str">
            <v>Đỗ Thị Thanh Thủy</v>
          </cell>
          <cell r="H61">
            <v>8.5</v>
          </cell>
          <cell r="J61">
            <v>8.5</v>
          </cell>
          <cell r="L61">
            <v>7</v>
          </cell>
          <cell r="M61">
            <v>9</v>
          </cell>
          <cell r="O61">
            <v>8.8666666666666671</v>
          </cell>
          <cell r="P61">
            <v>8.8666666666666671</v>
          </cell>
          <cell r="U61">
            <v>8.5694444444444446</v>
          </cell>
          <cell r="V61">
            <v>10</v>
          </cell>
        </row>
        <row r="62">
          <cell r="D62">
            <v>24000788</v>
          </cell>
          <cell r="E62" t="str">
            <v>Nguyễn Anh Thư</v>
          </cell>
          <cell r="H62">
            <v>8.5</v>
          </cell>
          <cell r="J62">
            <v>8.5</v>
          </cell>
          <cell r="L62">
            <v>2.7586206896551726</v>
          </cell>
          <cell r="M62">
            <v>9</v>
          </cell>
          <cell r="O62">
            <v>8.8666666666666671</v>
          </cell>
          <cell r="P62">
            <v>8.8666666666666671</v>
          </cell>
          <cell r="U62">
            <v>8.215996168582377</v>
          </cell>
          <cell r="V62">
            <v>8</v>
          </cell>
        </row>
        <row r="63">
          <cell r="D63">
            <v>24000394</v>
          </cell>
          <cell r="E63" t="str">
            <v>Nguyễn Thị Thư</v>
          </cell>
          <cell r="H63">
            <v>5.666666666666667</v>
          </cell>
          <cell r="J63">
            <v>5.666666666666667</v>
          </cell>
          <cell r="L63">
            <v>5</v>
          </cell>
          <cell r="M63">
            <v>9</v>
          </cell>
          <cell r="O63">
            <v>8.8666666666666671</v>
          </cell>
          <cell r="P63">
            <v>8.8666666666666671</v>
          </cell>
          <cell r="U63">
            <v>7.2222222222222223</v>
          </cell>
          <cell r="V63">
            <v>7.5</v>
          </cell>
        </row>
        <row r="64">
          <cell r="D64">
            <v>24000103</v>
          </cell>
          <cell r="E64" t="str">
            <v>Đặng Huyền Trang</v>
          </cell>
          <cell r="H64">
            <v>7</v>
          </cell>
          <cell r="J64">
            <v>7</v>
          </cell>
          <cell r="L64">
            <v>2.4137931034482798</v>
          </cell>
          <cell r="M64">
            <v>5</v>
          </cell>
          <cell r="O64">
            <v>7.25</v>
          </cell>
          <cell r="P64">
            <v>7.25</v>
          </cell>
          <cell r="U64">
            <v>6.5553160919540234</v>
          </cell>
          <cell r="V64">
            <v>8</v>
          </cell>
        </row>
        <row r="65">
          <cell r="D65">
            <v>24003655</v>
          </cell>
          <cell r="E65" t="str">
            <v>Linh Tiểu Vy</v>
          </cell>
          <cell r="H65">
            <v>7.5</v>
          </cell>
          <cell r="J65">
            <v>7.5</v>
          </cell>
          <cell r="L65">
            <v>8</v>
          </cell>
          <cell r="M65">
            <v>8</v>
          </cell>
          <cell r="P65">
            <v>8.9</v>
          </cell>
          <cell r="U65">
            <v>8.1666666666666661</v>
          </cell>
          <cell r="V65">
            <v>9</v>
          </cell>
        </row>
        <row r="66">
          <cell r="D66">
            <v>24003409</v>
          </cell>
          <cell r="E66" t="str">
            <v>Trần Hải Yến</v>
          </cell>
          <cell r="H66">
            <v>7.5</v>
          </cell>
          <cell r="J66">
            <v>7.5</v>
          </cell>
          <cell r="L66">
            <v>8</v>
          </cell>
          <cell r="M66">
            <v>8</v>
          </cell>
          <cell r="P66">
            <v>8.9</v>
          </cell>
          <cell r="U66">
            <v>8.1666666666666661</v>
          </cell>
          <cell r="V66">
            <v>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="160" zoomScaleNormal="160" workbookViewId="0">
      <selection activeCell="J1" sqref="J1:K1"/>
    </sheetView>
  </sheetViews>
  <sheetFormatPr defaultRowHeight="14.5" x14ac:dyDescent="0.35"/>
  <cols>
    <col min="1" max="1" width="6" customWidth="1"/>
    <col min="2" max="2" width="10.90625" customWidth="1"/>
    <col min="3" max="3" width="14.08984375" customWidth="1"/>
  </cols>
  <sheetData>
    <row r="1" spans="1:19" ht="14.5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5" t="s">
        <v>9</v>
      </c>
      <c r="K1" s="6"/>
      <c r="L1" s="7"/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</row>
    <row r="2" spans="1:19" x14ac:dyDescent="0.35">
      <c r="A2" s="9"/>
      <c r="B2" s="9"/>
      <c r="C2" s="9"/>
      <c r="D2" s="9"/>
      <c r="E2" s="9"/>
      <c r="F2" s="9"/>
      <c r="G2" s="9"/>
      <c r="H2" s="9"/>
      <c r="I2" s="9"/>
      <c r="J2" s="1" t="s">
        <v>17</v>
      </c>
      <c r="K2" s="1" t="s">
        <v>18</v>
      </c>
      <c r="L2" s="1" t="s">
        <v>19</v>
      </c>
      <c r="M2" s="9"/>
      <c r="N2" s="9"/>
      <c r="O2" s="9"/>
      <c r="P2" s="9"/>
      <c r="Q2" s="9"/>
      <c r="R2" s="9"/>
      <c r="S2" s="9"/>
    </row>
    <row r="3" spans="1:19" ht="29" x14ac:dyDescent="0.35">
      <c r="A3" s="2" t="s">
        <v>20</v>
      </c>
      <c r="B3" s="2">
        <v>24000731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>
        <f>VLOOKUP(B3,'[1]ca 1'!$D$2:$V$66,19,FALSE)</f>
        <v>8.5</v>
      </c>
      <c r="K3" s="3">
        <f>ROUND(VLOOKUP(B3,'[1]ca 1'!$D$2:$V$66,18,FALSE),1)</f>
        <v>5.6</v>
      </c>
      <c r="L3" s="4"/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9" x14ac:dyDescent="0.35">
      <c r="A4" s="2" t="s">
        <v>26</v>
      </c>
      <c r="B4" s="2">
        <v>24001421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3">
        <f>VLOOKUP(B4,'[1]ca 1'!$D$2:$V$66,19,FALSE)</f>
        <v>8</v>
      </c>
      <c r="K4" s="3">
        <f>ROUND(VLOOKUP(B4,'[1]ca 1'!$D$2:$V$66,18,FALSE),1)</f>
        <v>6.5</v>
      </c>
      <c r="L4" s="4"/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9" x14ac:dyDescent="0.35">
      <c r="A5" s="2" t="s">
        <v>29</v>
      </c>
      <c r="B5" s="2">
        <v>24001154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3">
        <f>VLOOKUP(B5,'[1]ca 1'!$D$2:$V$66,19,FALSE)</f>
        <v>8.5</v>
      </c>
      <c r="K5" s="3">
        <f>ROUND(VLOOKUP(B5,'[1]ca 1'!$D$2:$V$66,18,FALSE),1)</f>
        <v>7.5</v>
      </c>
      <c r="L5" s="4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9" x14ac:dyDescent="0.35">
      <c r="A6" s="2" t="s">
        <v>32</v>
      </c>
      <c r="B6" s="2">
        <v>24000006</v>
      </c>
      <c r="C6" s="2" t="s">
        <v>33</v>
      </c>
      <c r="D6" s="2" t="s">
        <v>22</v>
      </c>
      <c r="E6" s="2" t="s">
        <v>34</v>
      </c>
      <c r="F6" s="2" t="s">
        <v>24</v>
      </c>
      <c r="G6" s="2" t="s">
        <v>25</v>
      </c>
      <c r="H6" s="2" t="s">
        <v>20</v>
      </c>
      <c r="I6" s="2" t="s">
        <v>20</v>
      </c>
      <c r="J6" s="3">
        <f>VLOOKUP(B6,'[1]ca 1'!$D$2:$V$66,19,FALSE)</f>
        <v>9</v>
      </c>
      <c r="K6" s="3">
        <f>ROUND(VLOOKUP(B6,'[1]ca 1'!$D$2:$V$66,18,FALSE),1)</f>
        <v>8.4</v>
      </c>
      <c r="L6" s="4"/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9" x14ac:dyDescent="0.35">
      <c r="A7" s="2" t="s">
        <v>35</v>
      </c>
      <c r="B7" s="2">
        <v>24000466</v>
      </c>
      <c r="C7" s="2" t="s">
        <v>36</v>
      </c>
      <c r="D7" s="2" t="s">
        <v>22</v>
      </c>
      <c r="E7" s="2" t="s">
        <v>37</v>
      </c>
      <c r="F7" s="2" t="s">
        <v>24</v>
      </c>
      <c r="G7" s="2" t="s">
        <v>25</v>
      </c>
      <c r="H7" s="2" t="s">
        <v>20</v>
      </c>
      <c r="I7" s="2" t="s">
        <v>20</v>
      </c>
      <c r="J7" s="3">
        <f>VLOOKUP(B7,'[1]ca 1'!$D$2:$V$66,19,FALSE)</f>
        <v>5</v>
      </c>
      <c r="K7" s="3">
        <f>ROUND(VLOOKUP(B7,'[1]ca 1'!$D$2:$V$66,18,FALSE),1)</f>
        <v>6.5</v>
      </c>
      <c r="L7" s="4"/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9" x14ac:dyDescent="0.35">
      <c r="A8" s="2" t="s">
        <v>38</v>
      </c>
      <c r="B8" s="2">
        <v>24003585</v>
      </c>
      <c r="C8" s="2" t="s">
        <v>39</v>
      </c>
      <c r="D8" s="2" t="s">
        <v>22</v>
      </c>
      <c r="E8" s="2" t="s">
        <v>40</v>
      </c>
      <c r="F8" s="2" t="s">
        <v>41</v>
      </c>
      <c r="G8" s="2" t="s">
        <v>25</v>
      </c>
      <c r="H8" s="2" t="s">
        <v>20</v>
      </c>
      <c r="I8" s="2" t="s">
        <v>20</v>
      </c>
      <c r="J8" s="3">
        <f>VLOOKUP(B8,'[1]ca 1'!$D$2:$V$66,19,FALSE)</f>
        <v>10</v>
      </c>
      <c r="K8" s="3">
        <f>ROUND(VLOOKUP(B8,'[1]ca 1'!$D$2:$V$66,18,FALSE),1)</f>
        <v>9</v>
      </c>
      <c r="L8" s="4"/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9" x14ac:dyDescent="0.35">
      <c r="A9" s="2" t="s">
        <v>42</v>
      </c>
      <c r="B9" s="2">
        <v>24001198</v>
      </c>
      <c r="C9" s="2" t="s">
        <v>33</v>
      </c>
      <c r="D9" s="2" t="s">
        <v>43</v>
      </c>
      <c r="E9" s="2" t="s">
        <v>44</v>
      </c>
      <c r="F9" s="2" t="s">
        <v>24</v>
      </c>
      <c r="G9" s="2" t="s">
        <v>25</v>
      </c>
      <c r="H9" s="2" t="s">
        <v>20</v>
      </c>
      <c r="I9" s="2" t="s">
        <v>20</v>
      </c>
      <c r="J9" s="3">
        <f>VLOOKUP(B9,'[1]ca 1'!$D$2:$V$66,19,FALSE)</f>
        <v>9</v>
      </c>
      <c r="K9" s="3">
        <f>ROUND(VLOOKUP(B9,'[1]ca 1'!$D$2:$V$66,18,FALSE),1)</f>
        <v>6.6</v>
      </c>
      <c r="L9" s="4"/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9" x14ac:dyDescent="0.35">
      <c r="A10" s="2" t="s">
        <v>45</v>
      </c>
      <c r="B10" s="2">
        <v>24001320</v>
      </c>
      <c r="C10" s="2" t="s">
        <v>46</v>
      </c>
      <c r="D10" s="2" t="s">
        <v>47</v>
      </c>
      <c r="E10" s="2" t="s">
        <v>48</v>
      </c>
      <c r="F10" s="2" t="s">
        <v>24</v>
      </c>
      <c r="G10" s="2" t="s">
        <v>25</v>
      </c>
      <c r="H10" s="2" t="s">
        <v>20</v>
      </c>
      <c r="I10" s="2" t="s">
        <v>20</v>
      </c>
      <c r="J10" s="3">
        <f>VLOOKUP(B10,'[1]ca 1'!$D$2:$V$66,19,FALSE)</f>
        <v>9.5</v>
      </c>
      <c r="K10" s="3">
        <f>ROUND(VLOOKUP(B10,'[1]ca 1'!$D$2:$V$66,18,FALSE),1)</f>
        <v>6.6</v>
      </c>
      <c r="L10" s="4"/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9" x14ac:dyDescent="0.35">
      <c r="A11" s="2" t="s">
        <v>49</v>
      </c>
      <c r="B11" s="2">
        <v>24001179</v>
      </c>
      <c r="C11" s="2" t="s">
        <v>50</v>
      </c>
      <c r="D11" s="2" t="s">
        <v>47</v>
      </c>
      <c r="E11" s="2" t="s">
        <v>51</v>
      </c>
      <c r="F11" s="2" t="s">
        <v>24</v>
      </c>
      <c r="G11" s="2" t="s">
        <v>25</v>
      </c>
      <c r="H11" s="2" t="s">
        <v>20</v>
      </c>
      <c r="I11" s="2" t="s">
        <v>20</v>
      </c>
      <c r="J11" s="3">
        <f>VLOOKUP(B11,'[1]ca 1'!$D$2:$V$66,19,FALSE)</f>
        <v>7.5</v>
      </c>
      <c r="K11" s="3">
        <f>ROUND(VLOOKUP(B11,'[1]ca 1'!$D$2:$V$66,18,FALSE),1)</f>
        <v>7.5</v>
      </c>
      <c r="L11" s="4"/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9" x14ac:dyDescent="0.35">
      <c r="A12" s="2" t="s">
        <v>52</v>
      </c>
      <c r="B12" s="2">
        <v>24000301</v>
      </c>
      <c r="C12" s="2" t="s">
        <v>53</v>
      </c>
      <c r="D12" s="2" t="s">
        <v>54</v>
      </c>
      <c r="E12" s="2" t="s">
        <v>55</v>
      </c>
      <c r="F12" s="2" t="s">
        <v>24</v>
      </c>
      <c r="G12" s="2" t="s">
        <v>25</v>
      </c>
      <c r="H12" s="2" t="s">
        <v>20</v>
      </c>
      <c r="I12" s="2" t="s">
        <v>20</v>
      </c>
      <c r="J12" s="3">
        <f>VLOOKUP(B12,'[1]ca 1'!$D$2:$V$66,19,FALSE)</f>
        <v>8.5</v>
      </c>
      <c r="K12" s="3">
        <f>ROUND(VLOOKUP(B12,'[1]ca 1'!$D$2:$V$66,18,FALSE),1)</f>
        <v>5.6</v>
      </c>
      <c r="L12" s="4"/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9" x14ac:dyDescent="0.35">
      <c r="A13" s="2" t="s">
        <v>56</v>
      </c>
      <c r="B13" s="2">
        <v>24000917</v>
      </c>
      <c r="C13" s="2" t="s">
        <v>57</v>
      </c>
      <c r="D13" s="2" t="s">
        <v>58</v>
      </c>
      <c r="E13" s="2" t="s">
        <v>59</v>
      </c>
      <c r="F13" s="2" t="s">
        <v>24</v>
      </c>
      <c r="G13" s="2" t="s">
        <v>25</v>
      </c>
      <c r="H13" s="2" t="s">
        <v>20</v>
      </c>
      <c r="I13" s="2" t="s">
        <v>20</v>
      </c>
      <c r="J13" s="3">
        <f>VLOOKUP(B13,'[1]ca 1'!$D$2:$V$66,19,FALSE)</f>
        <v>0</v>
      </c>
      <c r="K13" s="3">
        <f>ROUND(VLOOKUP(B13,'[1]ca 1'!$D$2:$V$66,18,FALSE),1)</f>
        <v>0</v>
      </c>
      <c r="L13" s="4"/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9" x14ac:dyDescent="0.35">
      <c r="A14" s="2" t="s">
        <v>60</v>
      </c>
      <c r="B14" s="2">
        <v>24000367</v>
      </c>
      <c r="C14" s="2" t="s">
        <v>61</v>
      </c>
      <c r="D14" s="2" t="s">
        <v>62</v>
      </c>
      <c r="E14" s="2" t="s">
        <v>63</v>
      </c>
      <c r="F14" s="2" t="s">
        <v>24</v>
      </c>
      <c r="G14" s="2" t="s">
        <v>25</v>
      </c>
      <c r="H14" s="2" t="s">
        <v>20</v>
      </c>
      <c r="I14" s="2" t="s">
        <v>20</v>
      </c>
      <c r="J14" s="3">
        <f>VLOOKUP(B14,'[1]ca 1'!$D$2:$V$66,19,FALSE)</f>
        <v>9</v>
      </c>
      <c r="K14" s="3">
        <f>ROUND(VLOOKUP(B14,'[1]ca 1'!$D$2:$V$66,18,FALSE),1)</f>
        <v>7.5</v>
      </c>
      <c r="L14" s="4"/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9" x14ac:dyDescent="0.35">
      <c r="A15" s="2" t="s">
        <v>64</v>
      </c>
      <c r="B15" s="2">
        <v>24000079</v>
      </c>
      <c r="C15" s="2" t="s">
        <v>65</v>
      </c>
      <c r="D15" s="2" t="s">
        <v>66</v>
      </c>
      <c r="E15" s="2" t="s">
        <v>67</v>
      </c>
      <c r="F15" s="2" t="s">
        <v>24</v>
      </c>
      <c r="G15" s="2" t="s">
        <v>25</v>
      </c>
      <c r="H15" s="2" t="s">
        <v>20</v>
      </c>
      <c r="I15" s="2" t="s">
        <v>20</v>
      </c>
      <c r="J15" s="3">
        <f>VLOOKUP(B15,'[1]ca 1'!$D$2:$V$66,19,FALSE)</f>
        <v>7</v>
      </c>
      <c r="K15" s="3">
        <f>ROUND(VLOOKUP(B15,'[1]ca 1'!$D$2:$V$66,18,FALSE),1)</f>
        <v>5.3</v>
      </c>
      <c r="L15" s="4"/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9" x14ac:dyDescent="0.35">
      <c r="A16" s="2" t="s">
        <v>68</v>
      </c>
      <c r="B16" s="2">
        <v>24000058</v>
      </c>
      <c r="C16" s="2" t="s">
        <v>69</v>
      </c>
      <c r="D16" s="2" t="s">
        <v>66</v>
      </c>
      <c r="E16" s="2" t="s">
        <v>70</v>
      </c>
      <c r="F16" s="2" t="s">
        <v>24</v>
      </c>
      <c r="G16" s="2" t="s">
        <v>25</v>
      </c>
      <c r="H16" s="2" t="s">
        <v>20</v>
      </c>
      <c r="I16" s="2" t="s">
        <v>20</v>
      </c>
      <c r="J16" s="3">
        <f>VLOOKUP(B16,'[1]ca 1'!$D$2:$V$66,19,FALSE)</f>
        <v>7.5</v>
      </c>
      <c r="K16" s="3">
        <f>ROUND(VLOOKUP(B16,'[1]ca 1'!$D$2:$V$66,18,FALSE),1)</f>
        <v>7</v>
      </c>
      <c r="L16" s="4"/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9" x14ac:dyDescent="0.35">
      <c r="A17" s="2" t="s">
        <v>71</v>
      </c>
      <c r="B17" s="2">
        <v>24003821</v>
      </c>
      <c r="C17" s="2" t="s">
        <v>72</v>
      </c>
      <c r="D17" s="2" t="s">
        <v>73</v>
      </c>
      <c r="E17" s="2" t="s">
        <v>74</v>
      </c>
      <c r="F17" s="2" t="s">
        <v>41</v>
      </c>
      <c r="G17" s="2" t="s">
        <v>25</v>
      </c>
      <c r="H17" s="2" t="s">
        <v>20</v>
      </c>
      <c r="I17" s="2" t="s">
        <v>20</v>
      </c>
      <c r="J17" s="3">
        <f>VLOOKUP(B17,'[1]ca 1'!$D$2:$V$66,19,FALSE)</f>
        <v>9.5</v>
      </c>
      <c r="K17" s="3">
        <f>ROUND(VLOOKUP(B17,'[1]ca 1'!$D$2:$V$66,18,FALSE),1)</f>
        <v>8.1</v>
      </c>
      <c r="L17" s="4"/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9" x14ac:dyDescent="0.35">
      <c r="A18" s="2" t="s">
        <v>75</v>
      </c>
      <c r="B18" s="2">
        <v>24000232</v>
      </c>
      <c r="C18" s="2" t="s">
        <v>76</v>
      </c>
      <c r="D18" s="2" t="s">
        <v>77</v>
      </c>
      <c r="E18" s="2" t="s">
        <v>78</v>
      </c>
      <c r="F18" s="2" t="s">
        <v>24</v>
      </c>
      <c r="G18" s="2" t="s">
        <v>25</v>
      </c>
      <c r="H18" s="2" t="s">
        <v>20</v>
      </c>
      <c r="I18" s="2" t="s">
        <v>20</v>
      </c>
      <c r="J18" s="3">
        <f>VLOOKUP(B18,'[1]ca 1'!$D$2:$V$66,19,FALSE)</f>
        <v>10</v>
      </c>
      <c r="K18" s="3">
        <f>ROUND(VLOOKUP(B18,'[1]ca 1'!$D$2:$V$66,18,FALSE),1)</f>
        <v>8.4</v>
      </c>
      <c r="L18" s="4"/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9" x14ac:dyDescent="0.35">
      <c r="A19" s="2" t="s">
        <v>79</v>
      </c>
      <c r="B19" s="2">
        <v>24000500</v>
      </c>
      <c r="C19" s="2" t="s">
        <v>80</v>
      </c>
      <c r="D19" s="2" t="s">
        <v>77</v>
      </c>
      <c r="E19" s="2" t="s">
        <v>81</v>
      </c>
      <c r="F19" s="2" t="s">
        <v>24</v>
      </c>
      <c r="G19" s="2" t="s">
        <v>25</v>
      </c>
      <c r="H19" s="2" t="s">
        <v>20</v>
      </c>
      <c r="I19" s="2" t="s">
        <v>20</v>
      </c>
      <c r="J19" s="3">
        <f>VLOOKUP(B19,'[1]ca 1'!$D$2:$V$66,19,FALSE)</f>
        <v>10</v>
      </c>
      <c r="K19" s="3">
        <f>ROUND(VLOOKUP(B19,'[1]ca 1'!$D$2:$V$66,18,FALSE),1)</f>
        <v>7.5</v>
      </c>
      <c r="L19" s="4"/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9" x14ac:dyDescent="0.35">
      <c r="A20" s="2" t="s">
        <v>82</v>
      </c>
      <c r="B20" s="2">
        <v>24001253</v>
      </c>
      <c r="C20" s="2" t="s">
        <v>83</v>
      </c>
      <c r="D20" s="2" t="s">
        <v>84</v>
      </c>
      <c r="E20" s="2" t="s">
        <v>85</v>
      </c>
      <c r="F20" s="2" t="s">
        <v>24</v>
      </c>
      <c r="G20" s="2" t="s">
        <v>25</v>
      </c>
      <c r="H20" s="2" t="s">
        <v>20</v>
      </c>
      <c r="I20" s="2" t="s">
        <v>20</v>
      </c>
      <c r="J20" s="3">
        <f>VLOOKUP(B20,'[1]ca 1'!$D$2:$V$66,19,FALSE)</f>
        <v>7.5</v>
      </c>
      <c r="K20" s="3">
        <f>ROUND(VLOOKUP(B20,'[1]ca 1'!$D$2:$V$66,18,FALSE),1)</f>
        <v>5.9</v>
      </c>
      <c r="L20" s="4"/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9" x14ac:dyDescent="0.35">
      <c r="A21" s="2" t="s">
        <v>86</v>
      </c>
      <c r="B21" s="2">
        <v>24003407</v>
      </c>
      <c r="C21" s="2" t="s">
        <v>87</v>
      </c>
      <c r="D21" s="2" t="s">
        <v>88</v>
      </c>
      <c r="E21" s="2" t="s">
        <v>89</v>
      </c>
      <c r="F21" s="2" t="s">
        <v>41</v>
      </c>
      <c r="G21" s="2" t="s">
        <v>25</v>
      </c>
      <c r="H21" s="2" t="s">
        <v>20</v>
      </c>
      <c r="I21" s="2" t="s">
        <v>20</v>
      </c>
      <c r="J21" s="3">
        <f>VLOOKUP(B21,'[1]ca 1'!$D$2:$V$66,19,FALSE)</f>
        <v>9</v>
      </c>
      <c r="K21" s="3">
        <f>ROUND(VLOOKUP(B21,'[1]ca 1'!$D$2:$V$66,18,FALSE),1)</f>
        <v>8.1999999999999993</v>
      </c>
      <c r="L21" s="4"/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9" x14ac:dyDescent="0.35">
      <c r="A22" s="2" t="s">
        <v>90</v>
      </c>
      <c r="B22" s="2">
        <v>24000627</v>
      </c>
      <c r="C22" s="2" t="s">
        <v>91</v>
      </c>
      <c r="D22" s="2" t="s">
        <v>92</v>
      </c>
      <c r="E22" s="2" t="s">
        <v>93</v>
      </c>
      <c r="F22" s="2" t="s">
        <v>24</v>
      </c>
      <c r="G22" s="2" t="s">
        <v>25</v>
      </c>
      <c r="H22" s="2" t="s">
        <v>20</v>
      </c>
      <c r="I22" s="2" t="s">
        <v>20</v>
      </c>
      <c r="J22" s="3">
        <f>VLOOKUP(B22,'[1]ca 1'!$D$2:$V$66,19,FALSE)</f>
        <v>7</v>
      </c>
      <c r="K22" s="3">
        <f>ROUND(VLOOKUP(B22,'[1]ca 1'!$D$2:$V$66,18,FALSE),1)</f>
        <v>7.4</v>
      </c>
      <c r="L22" s="4"/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9" x14ac:dyDescent="0.35">
      <c r="A23" s="2" t="s">
        <v>94</v>
      </c>
      <c r="B23" s="2">
        <v>24003235</v>
      </c>
      <c r="C23" s="2" t="s">
        <v>95</v>
      </c>
      <c r="D23" s="2" t="s">
        <v>96</v>
      </c>
      <c r="E23" s="2" t="s">
        <v>97</v>
      </c>
      <c r="F23" s="2" t="s">
        <v>24</v>
      </c>
      <c r="G23" s="2" t="s">
        <v>25</v>
      </c>
      <c r="H23" s="2" t="s">
        <v>20</v>
      </c>
      <c r="I23" s="2" t="s">
        <v>20</v>
      </c>
      <c r="J23" s="3">
        <f>VLOOKUP(B23,'[1]ca 1'!$D$2:$V$66,19,FALSE)</f>
        <v>6.5</v>
      </c>
      <c r="K23" s="3">
        <f>ROUND(VLOOKUP(B23,'[1]ca 1'!$D$2:$V$66,18,FALSE),1)</f>
        <v>3.4</v>
      </c>
      <c r="L23" s="4"/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9" x14ac:dyDescent="0.35">
      <c r="A24" s="2" t="s">
        <v>98</v>
      </c>
      <c r="B24" s="2">
        <v>24000723</v>
      </c>
      <c r="C24" s="2" t="s">
        <v>99</v>
      </c>
      <c r="D24" s="2" t="s">
        <v>100</v>
      </c>
      <c r="E24" s="2" t="s">
        <v>101</v>
      </c>
      <c r="F24" s="2" t="s">
        <v>24</v>
      </c>
      <c r="G24" s="2" t="s">
        <v>25</v>
      </c>
      <c r="H24" s="2" t="s">
        <v>20</v>
      </c>
      <c r="I24" s="2" t="s">
        <v>20</v>
      </c>
      <c r="J24" s="3">
        <f>VLOOKUP(B24,'[1]ca 1'!$D$2:$V$66,19,FALSE)</f>
        <v>6</v>
      </c>
      <c r="K24" s="3">
        <f>ROUND(VLOOKUP(B24,'[1]ca 1'!$D$2:$V$66,18,FALSE),1)</f>
        <v>5.6</v>
      </c>
      <c r="L24" s="4"/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9" x14ac:dyDescent="0.35">
      <c r="A25" s="2" t="s">
        <v>102</v>
      </c>
      <c r="B25" s="2">
        <v>24001347</v>
      </c>
      <c r="C25" s="2" t="s">
        <v>103</v>
      </c>
      <c r="D25" s="2" t="s">
        <v>104</v>
      </c>
      <c r="E25" s="2" t="s">
        <v>74</v>
      </c>
      <c r="F25" s="2" t="s">
        <v>24</v>
      </c>
      <c r="G25" s="2" t="s">
        <v>25</v>
      </c>
      <c r="H25" s="2" t="s">
        <v>20</v>
      </c>
      <c r="I25" s="2" t="s">
        <v>20</v>
      </c>
      <c r="J25" s="3">
        <f>VLOOKUP(B25,'[1]ca 1'!$D$2:$V$66,19,FALSE)</f>
        <v>10</v>
      </c>
      <c r="K25" s="3">
        <f>ROUND(VLOOKUP(B25,'[1]ca 1'!$D$2:$V$66,18,FALSE),1)</f>
        <v>6.6</v>
      </c>
      <c r="L25" s="4"/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9" x14ac:dyDescent="0.35">
      <c r="A26" s="2" t="s">
        <v>105</v>
      </c>
      <c r="B26" s="2">
        <v>24003358</v>
      </c>
      <c r="C26" s="2" t="s">
        <v>106</v>
      </c>
      <c r="D26" s="2" t="s">
        <v>107</v>
      </c>
      <c r="E26" s="2" t="s">
        <v>108</v>
      </c>
      <c r="F26" s="2" t="s">
        <v>41</v>
      </c>
      <c r="G26" s="2" t="s">
        <v>25</v>
      </c>
      <c r="H26" s="2" t="s">
        <v>20</v>
      </c>
      <c r="I26" s="2" t="s">
        <v>20</v>
      </c>
      <c r="J26" s="3">
        <f>VLOOKUP(B26,'[1]ca 1'!$D$2:$V$66,19,FALSE)</f>
        <v>0</v>
      </c>
      <c r="K26" s="3">
        <f>ROUND(VLOOKUP(B26,'[1]ca 1'!$D$2:$V$66,18,FALSE),1)</f>
        <v>0</v>
      </c>
      <c r="L26" s="4"/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9" x14ac:dyDescent="0.35">
      <c r="A27" s="2" t="s">
        <v>109</v>
      </c>
      <c r="B27" s="2">
        <v>24000684</v>
      </c>
      <c r="C27" s="2" t="s">
        <v>30</v>
      </c>
      <c r="D27" s="2" t="s">
        <v>107</v>
      </c>
      <c r="E27" s="2" t="s">
        <v>110</v>
      </c>
      <c r="F27" s="2" t="s">
        <v>24</v>
      </c>
      <c r="G27" s="2" t="s">
        <v>25</v>
      </c>
      <c r="H27" s="2" t="s">
        <v>20</v>
      </c>
      <c r="I27" s="2" t="s">
        <v>20</v>
      </c>
      <c r="J27" s="3">
        <f>VLOOKUP(B27,'[1]ca 1'!$D$2:$V$66,19,FALSE)</f>
        <v>10</v>
      </c>
      <c r="K27" s="3">
        <f>ROUND(VLOOKUP(B27,'[1]ca 1'!$D$2:$V$66,18,FALSE),1)</f>
        <v>6.6</v>
      </c>
      <c r="L27" s="4"/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9" x14ac:dyDescent="0.35">
      <c r="A28" s="2" t="s">
        <v>111</v>
      </c>
      <c r="B28" s="2">
        <v>24000117</v>
      </c>
      <c r="C28" s="2" t="s">
        <v>112</v>
      </c>
      <c r="D28" s="2" t="s">
        <v>107</v>
      </c>
      <c r="E28" s="2" t="s">
        <v>113</v>
      </c>
      <c r="F28" s="2" t="s">
        <v>24</v>
      </c>
      <c r="G28" s="2" t="s">
        <v>25</v>
      </c>
      <c r="H28" s="2" t="s">
        <v>20</v>
      </c>
      <c r="I28" s="2" t="s">
        <v>20</v>
      </c>
      <c r="J28" s="3">
        <f>VLOOKUP(B28,'[1]ca 1'!$D$2:$V$66,19,FALSE)</f>
        <v>10</v>
      </c>
      <c r="K28" s="3">
        <f>ROUND(VLOOKUP(B28,'[1]ca 1'!$D$2:$V$66,18,FALSE),1)</f>
        <v>6.6</v>
      </c>
      <c r="L28" s="4"/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9" x14ac:dyDescent="0.35">
      <c r="A29" s="2" t="s">
        <v>114</v>
      </c>
      <c r="B29" s="2">
        <v>24000313</v>
      </c>
      <c r="C29" s="2" t="s">
        <v>115</v>
      </c>
      <c r="D29" s="2" t="s">
        <v>116</v>
      </c>
      <c r="E29" s="2" t="s">
        <v>117</v>
      </c>
      <c r="F29" s="2" t="s">
        <v>24</v>
      </c>
      <c r="G29" s="2" t="s">
        <v>25</v>
      </c>
      <c r="H29" s="2" t="s">
        <v>20</v>
      </c>
      <c r="I29" s="2" t="s">
        <v>20</v>
      </c>
      <c r="J29" s="3">
        <f>VLOOKUP(B29,'[1]ca 1'!$D$2:$V$66,19,FALSE)</f>
        <v>7</v>
      </c>
      <c r="K29" s="3">
        <f>ROUND(VLOOKUP(B29,'[1]ca 1'!$D$2:$V$66,18,FALSE),1)</f>
        <v>5.2</v>
      </c>
      <c r="L29" s="4"/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9" x14ac:dyDescent="0.35">
      <c r="A30" s="2" t="s">
        <v>118</v>
      </c>
      <c r="B30" s="2">
        <v>24003865</v>
      </c>
      <c r="C30" s="2" t="s">
        <v>119</v>
      </c>
      <c r="D30" s="2" t="s">
        <v>120</v>
      </c>
      <c r="E30" s="2" t="s">
        <v>121</v>
      </c>
      <c r="F30" s="2" t="s">
        <v>41</v>
      </c>
      <c r="G30" s="2" t="s">
        <v>25</v>
      </c>
      <c r="H30" s="2" t="s">
        <v>20</v>
      </c>
      <c r="I30" s="2" t="s">
        <v>20</v>
      </c>
      <c r="J30" s="3">
        <f>VLOOKUP(B30,'[1]ca 1'!$D$2:$V$66,19,FALSE)</f>
        <v>0</v>
      </c>
      <c r="K30" s="3">
        <f>ROUND(VLOOKUP(B30,'[1]ca 1'!$D$2:$V$66,18,FALSE),1)</f>
        <v>0</v>
      </c>
      <c r="L30" s="4"/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9" x14ac:dyDescent="0.35">
      <c r="A31" s="2" t="s">
        <v>122</v>
      </c>
      <c r="B31" s="2">
        <v>24001806</v>
      </c>
      <c r="C31" s="2" t="s">
        <v>36</v>
      </c>
      <c r="D31" s="2" t="s">
        <v>123</v>
      </c>
      <c r="E31" s="2" t="s">
        <v>124</v>
      </c>
      <c r="F31" s="2" t="s">
        <v>24</v>
      </c>
      <c r="G31" s="2" t="s">
        <v>25</v>
      </c>
      <c r="H31" s="2" t="s">
        <v>20</v>
      </c>
      <c r="I31" s="2" t="s">
        <v>20</v>
      </c>
      <c r="J31" s="3">
        <f>VLOOKUP(B31,'[1]ca 1'!$D$2:$V$66,19,FALSE)</f>
        <v>9.5</v>
      </c>
      <c r="K31" s="3">
        <f>ROUND(VLOOKUP(B31,'[1]ca 1'!$D$2:$V$66,18,FALSE),1)</f>
        <v>6.8</v>
      </c>
      <c r="L31" s="4"/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9" x14ac:dyDescent="0.35">
      <c r="A32" s="2" t="s">
        <v>125</v>
      </c>
      <c r="B32" s="2">
        <v>24000608</v>
      </c>
      <c r="C32" s="2" t="s">
        <v>30</v>
      </c>
      <c r="D32" s="2" t="s">
        <v>126</v>
      </c>
      <c r="E32" s="2" t="s">
        <v>127</v>
      </c>
      <c r="F32" s="2" t="s">
        <v>24</v>
      </c>
      <c r="G32" s="2" t="s">
        <v>25</v>
      </c>
      <c r="H32" s="2" t="s">
        <v>20</v>
      </c>
      <c r="I32" s="2" t="s">
        <v>20</v>
      </c>
      <c r="J32" s="3">
        <f>VLOOKUP(B32,'[1]ca 1'!$D$2:$V$66,19,FALSE)</f>
        <v>8</v>
      </c>
      <c r="K32" s="3">
        <f>ROUND(VLOOKUP(B32,'[1]ca 1'!$D$2:$V$66,18,FALSE),1)</f>
        <v>7.5</v>
      </c>
      <c r="L32" s="4"/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9" x14ac:dyDescent="0.35">
      <c r="A33" s="2" t="s">
        <v>128</v>
      </c>
      <c r="B33" s="2">
        <v>24000012</v>
      </c>
      <c r="C33" s="2" t="s">
        <v>129</v>
      </c>
      <c r="D33" s="2" t="s">
        <v>130</v>
      </c>
      <c r="E33" s="2" t="s">
        <v>113</v>
      </c>
      <c r="F33" s="2" t="s">
        <v>24</v>
      </c>
      <c r="G33" s="2" t="s">
        <v>25</v>
      </c>
      <c r="H33" s="2" t="s">
        <v>20</v>
      </c>
      <c r="I33" s="2" t="s">
        <v>20</v>
      </c>
      <c r="J33" s="3">
        <f>VLOOKUP(B33,'[1]ca 1'!$D$2:$V$66,19,FALSE)</f>
        <v>10</v>
      </c>
      <c r="K33" s="3">
        <f>ROUND(VLOOKUP(B33,'[1]ca 1'!$D$2:$V$66,18,FALSE),1)</f>
        <v>6.6</v>
      </c>
      <c r="L33" s="4"/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9" x14ac:dyDescent="0.35">
      <c r="A34" s="2" t="s">
        <v>131</v>
      </c>
      <c r="B34" s="2">
        <v>24000011</v>
      </c>
      <c r="C34" s="2" t="s">
        <v>132</v>
      </c>
      <c r="D34" s="2" t="s">
        <v>130</v>
      </c>
      <c r="E34" s="2" t="s">
        <v>133</v>
      </c>
      <c r="F34" s="2" t="s">
        <v>24</v>
      </c>
      <c r="G34" s="2" t="s">
        <v>25</v>
      </c>
      <c r="H34" s="2" t="s">
        <v>20</v>
      </c>
      <c r="I34" s="2" t="s">
        <v>20</v>
      </c>
      <c r="J34" s="3">
        <f>VLOOKUP(B34,'[1]ca 1'!$D$2:$V$66,19,FALSE)</f>
        <v>9</v>
      </c>
      <c r="K34" s="3">
        <f>ROUND(VLOOKUP(B34,'[1]ca 1'!$D$2:$V$66,18,FALSE),1)</f>
        <v>7.5</v>
      </c>
      <c r="L34" s="4"/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9" x14ac:dyDescent="0.35">
      <c r="A35" s="2" t="s">
        <v>134</v>
      </c>
      <c r="B35" s="2">
        <v>24001351</v>
      </c>
      <c r="C35" s="2" t="s">
        <v>135</v>
      </c>
      <c r="D35" s="2" t="s">
        <v>130</v>
      </c>
      <c r="E35" s="2" t="s">
        <v>136</v>
      </c>
      <c r="F35" s="2" t="s">
        <v>24</v>
      </c>
      <c r="G35" s="2" t="s">
        <v>25</v>
      </c>
      <c r="H35" s="2" t="s">
        <v>20</v>
      </c>
      <c r="I35" s="2" t="s">
        <v>20</v>
      </c>
      <c r="J35" s="3">
        <f>VLOOKUP(B35,'[1]ca 1'!$D$2:$V$66,19,FALSE)</f>
        <v>7.5</v>
      </c>
      <c r="K35" s="3">
        <f>ROUND(VLOOKUP(B35,'[1]ca 1'!$D$2:$V$66,18,FALSE),1)</f>
        <v>6.8</v>
      </c>
      <c r="L35" s="4"/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9" x14ac:dyDescent="0.35">
      <c r="A36" s="2" t="s">
        <v>137</v>
      </c>
      <c r="B36" s="2">
        <v>24001366</v>
      </c>
      <c r="C36" s="2" t="s">
        <v>138</v>
      </c>
      <c r="D36" s="2" t="s">
        <v>130</v>
      </c>
      <c r="E36" s="2" t="s">
        <v>139</v>
      </c>
      <c r="F36" s="2" t="s">
        <v>24</v>
      </c>
      <c r="G36" s="2" t="s">
        <v>25</v>
      </c>
      <c r="H36" s="2" t="s">
        <v>20</v>
      </c>
      <c r="I36" s="2" t="s">
        <v>20</v>
      </c>
      <c r="J36" s="3">
        <f>VLOOKUP(B36,'[1]ca 1'!$D$2:$V$66,19,FALSE)</f>
        <v>9</v>
      </c>
      <c r="K36" s="3">
        <f>ROUND(VLOOKUP(B36,'[1]ca 1'!$D$2:$V$66,18,FALSE),1)</f>
        <v>7.6</v>
      </c>
      <c r="L36" s="4"/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9" x14ac:dyDescent="0.35">
      <c r="A37" s="2" t="s">
        <v>140</v>
      </c>
      <c r="B37" s="2">
        <v>24001426</v>
      </c>
      <c r="C37" s="2" t="s">
        <v>141</v>
      </c>
      <c r="D37" s="2" t="s">
        <v>130</v>
      </c>
      <c r="E37" s="2" t="s">
        <v>142</v>
      </c>
      <c r="F37" s="2" t="s">
        <v>24</v>
      </c>
      <c r="G37" s="2" t="s">
        <v>25</v>
      </c>
      <c r="H37" s="2" t="s">
        <v>20</v>
      </c>
      <c r="I37" s="2" t="s">
        <v>20</v>
      </c>
      <c r="J37" s="3">
        <f>VLOOKUP(B37,'[1]ca 1'!$D$2:$V$66,19,FALSE)</f>
        <v>10</v>
      </c>
      <c r="K37" s="3">
        <f>ROUND(VLOOKUP(B37,'[1]ca 1'!$D$2:$V$66,18,FALSE),1)</f>
        <v>8.6</v>
      </c>
      <c r="L37" s="4"/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9" x14ac:dyDescent="0.35">
      <c r="A38" s="2" t="s">
        <v>143</v>
      </c>
      <c r="B38" s="2">
        <v>24001498</v>
      </c>
      <c r="C38" s="2" t="s">
        <v>144</v>
      </c>
      <c r="D38" s="2" t="s">
        <v>130</v>
      </c>
      <c r="E38" s="2" t="s">
        <v>145</v>
      </c>
      <c r="F38" s="2" t="s">
        <v>24</v>
      </c>
      <c r="G38" s="2" t="s">
        <v>25</v>
      </c>
      <c r="H38" s="2" t="s">
        <v>20</v>
      </c>
      <c r="I38" s="2" t="s">
        <v>20</v>
      </c>
      <c r="J38" s="3">
        <f>VLOOKUP(B38,'[1]ca 1'!$D$2:$V$66,19,FALSE)</f>
        <v>10</v>
      </c>
      <c r="K38" s="3">
        <f>ROUND(VLOOKUP(B38,'[1]ca 1'!$D$2:$V$66,18,FALSE),1)</f>
        <v>6.9</v>
      </c>
      <c r="L38" s="4"/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9" x14ac:dyDescent="0.35">
      <c r="A39" s="2" t="s">
        <v>146</v>
      </c>
      <c r="B39" s="2">
        <v>24000683</v>
      </c>
      <c r="C39" s="2" t="s">
        <v>147</v>
      </c>
      <c r="D39" s="2" t="s">
        <v>148</v>
      </c>
      <c r="E39" s="2" t="s">
        <v>149</v>
      </c>
      <c r="F39" s="2" t="s">
        <v>24</v>
      </c>
      <c r="G39" s="2" t="s">
        <v>25</v>
      </c>
      <c r="H39" s="2" t="s">
        <v>20</v>
      </c>
      <c r="I39" s="2" t="s">
        <v>20</v>
      </c>
      <c r="J39" s="3">
        <f>VLOOKUP(B39,'[1]ca 1'!$D$2:$V$66,19,FALSE)</f>
        <v>8</v>
      </c>
      <c r="K39" s="3">
        <f>ROUND(VLOOKUP(B39,'[1]ca 1'!$D$2:$V$66,18,FALSE),1)</f>
        <v>4.5999999999999996</v>
      </c>
      <c r="L39" s="4"/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9" x14ac:dyDescent="0.35">
      <c r="A40" s="2" t="s">
        <v>150</v>
      </c>
      <c r="B40" s="2">
        <v>24003806</v>
      </c>
      <c r="C40" s="2" t="s">
        <v>151</v>
      </c>
      <c r="D40" s="2" t="s">
        <v>152</v>
      </c>
      <c r="E40" s="2" t="s">
        <v>153</v>
      </c>
      <c r="F40" s="2" t="s">
        <v>24</v>
      </c>
      <c r="G40" s="2" t="s">
        <v>25</v>
      </c>
      <c r="H40" s="2" t="s">
        <v>20</v>
      </c>
      <c r="I40" s="2" t="s">
        <v>20</v>
      </c>
      <c r="J40" s="3">
        <f>VLOOKUP(B40,'[1]ca 1'!$D$2:$V$66,19,FALSE)</f>
        <v>8.5</v>
      </c>
      <c r="K40" s="3">
        <f>ROUND(VLOOKUP(B40,'[1]ca 1'!$D$2:$V$66,18,FALSE),1)</f>
        <v>7</v>
      </c>
      <c r="L40" s="4"/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9" x14ac:dyDescent="0.35">
      <c r="A41" s="2" t="s">
        <v>154</v>
      </c>
      <c r="B41" s="2">
        <v>24000749</v>
      </c>
      <c r="C41" s="2" t="s">
        <v>155</v>
      </c>
      <c r="D41" s="2" t="s">
        <v>156</v>
      </c>
      <c r="E41" s="2" t="s">
        <v>157</v>
      </c>
      <c r="F41" s="2" t="s">
        <v>24</v>
      </c>
      <c r="G41" s="2" t="s">
        <v>25</v>
      </c>
      <c r="H41" s="2" t="s">
        <v>20</v>
      </c>
      <c r="I41" s="2" t="s">
        <v>20</v>
      </c>
      <c r="J41" s="3">
        <f>VLOOKUP(B41,'[1]ca 1'!$D$2:$V$66,19,FALSE)</f>
        <v>8.5</v>
      </c>
      <c r="K41" s="3">
        <f>ROUND(VLOOKUP(B41,'[1]ca 1'!$D$2:$V$66,18,FALSE),1)</f>
        <v>5.6</v>
      </c>
      <c r="L41" s="4"/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9" x14ac:dyDescent="0.35">
      <c r="A42" s="2" t="s">
        <v>158</v>
      </c>
      <c r="B42" s="2">
        <v>24000328</v>
      </c>
      <c r="C42" s="2" t="s">
        <v>159</v>
      </c>
      <c r="D42" s="2" t="s">
        <v>160</v>
      </c>
      <c r="E42" s="2" t="s">
        <v>93</v>
      </c>
      <c r="F42" s="2" t="s">
        <v>24</v>
      </c>
      <c r="G42" s="2" t="s">
        <v>25</v>
      </c>
      <c r="H42" s="2" t="s">
        <v>20</v>
      </c>
      <c r="I42" s="2" t="s">
        <v>20</v>
      </c>
      <c r="J42" s="3">
        <f>VLOOKUP(B42,'[1]ca 1'!$D$2:$V$66,19,FALSE)</f>
        <v>8</v>
      </c>
      <c r="K42" s="3">
        <f>ROUND(VLOOKUP(B42,'[1]ca 1'!$D$2:$V$66,18,FALSE),1)</f>
        <v>6.6</v>
      </c>
      <c r="L42" s="4"/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9" x14ac:dyDescent="0.35">
      <c r="A43" s="2" t="s">
        <v>161</v>
      </c>
      <c r="B43" s="2">
        <v>24003529</v>
      </c>
      <c r="C43" s="2" t="s">
        <v>162</v>
      </c>
      <c r="D43" s="2" t="s">
        <v>163</v>
      </c>
      <c r="E43" s="2" t="s">
        <v>164</v>
      </c>
      <c r="F43" s="2" t="s">
        <v>41</v>
      </c>
      <c r="G43" s="2" t="s">
        <v>25</v>
      </c>
      <c r="H43" s="2" t="s">
        <v>20</v>
      </c>
      <c r="I43" s="2" t="s">
        <v>20</v>
      </c>
      <c r="J43" s="3">
        <f>VLOOKUP(B43,'[1]ca 1'!$D$2:$V$66,19,FALSE)</f>
        <v>9</v>
      </c>
      <c r="K43" s="3">
        <f>ROUND(VLOOKUP(B43,'[1]ca 1'!$D$2:$V$66,18,FALSE),1)</f>
        <v>5.6</v>
      </c>
      <c r="L43" s="4"/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9" x14ac:dyDescent="0.35">
      <c r="A44" s="2" t="s">
        <v>165</v>
      </c>
      <c r="B44" s="2">
        <v>24003572</v>
      </c>
      <c r="C44" s="2" t="s">
        <v>166</v>
      </c>
      <c r="D44" s="2" t="s">
        <v>167</v>
      </c>
      <c r="E44" s="2" t="s">
        <v>168</v>
      </c>
      <c r="F44" s="2" t="s">
        <v>41</v>
      </c>
      <c r="G44" s="2" t="s">
        <v>25</v>
      </c>
      <c r="H44" s="2" t="s">
        <v>20</v>
      </c>
      <c r="I44" s="2" t="s">
        <v>20</v>
      </c>
      <c r="J44" s="3">
        <f>VLOOKUP(B44,'[1]ca 1'!$D$2:$V$66,19,FALSE)</f>
        <v>8</v>
      </c>
      <c r="K44" s="3">
        <f>ROUND(VLOOKUP(B44,'[1]ca 1'!$D$2:$V$66,18,FALSE),1)</f>
        <v>8.1</v>
      </c>
      <c r="L44" s="4"/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9" x14ac:dyDescent="0.35">
      <c r="A45" s="2" t="s">
        <v>169</v>
      </c>
      <c r="B45" s="2">
        <v>24001480</v>
      </c>
      <c r="C45" s="2" t="s">
        <v>170</v>
      </c>
      <c r="D45" s="2" t="s">
        <v>171</v>
      </c>
      <c r="E45" s="2" t="s">
        <v>172</v>
      </c>
      <c r="F45" s="2" t="s">
        <v>24</v>
      </c>
      <c r="G45" s="2" t="s">
        <v>25</v>
      </c>
      <c r="H45" s="2" t="s">
        <v>20</v>
      </c>
      <c r="I45" s="2" t="s">
        <v>20</v>
      </c>
      <c r="J45" s="3">
        <f>VLOOKUP(B45,'[1]ca 1'!$D$2:$V$66,19,FALSE)</f>
        <v>7</v>
      </c>
      <c r="K45" s="3">
        <f>ROUND(VLOOKUP(B45,'[1]ca 1'!$D$2:$V$66,18,FALSE),1)</f>
        <v>8.3000000000000007</v>
      </c>
      <c r="L45" s="4"/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9" x14ac:dyDescent="0.35">
      <c r="A46" s="2" t="s">
        <v>173</v>
      </c>
      <c r="B46" s="2">
        <v>24003935</v>
      </c>
      <c r="C46" s="2" t="s">
        <v>174</v>
      </c>
      <c r="D46" s="2" t="s">
        <v>175</v>
      </c>
      <c r="E46" s="2" t="s">
        <v>176</v>
      </c>
      <c r="F46" s="2" t="s">
        <v>41</v>
      </c>
      <c r="G46" s="2" t="s">
        <v>25</v>
      </c>
      <c r="H46" s="2" t="s">
        <v>20</v>
      </c>
      <c r="I46" s="2" t="s">
        <v>20</v>
      </c>
      <c r="J46" s="3">
        <f>VLOOKUP(B46,'[1]ca 1'!$D$2:$V$66,19,FALSE)</f>
        <v>9.5</v>
      </c>
      <c r="K46" s="3">
        <f>ROUND(VLOOKUP(B46,'[1]ca 1'!$D$2:$V$66,18,FALSE),1)</f>
        <v>8.6</v>
      </c>
      <c r="L46" s="4"/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9" x14ac:dyDescent="0.35">
      <c r="A47" s="2" t="s">
        <v>177</v>
      </c>
      <c r="B47" s="2">
        <v>24000536</v>
      </c>
      <c r="C47" s="2" t="s">
        <v>178</v>
      </c>
      <c r="D47" s="2" t="s">
        <v>175</v>
      </c>
      <c r="E47" s="2" t="s">
        <v>179</v>
      </c>
      <c r="F47" s="2" t="s">
        <v>24</v>
      </c>
      <c r="G47" s="2" t="s">
        <v>25</v>
      </c>
      <c r="H47" s="2" t="s">
        <v>20</v>
      </c>
      <c r="I47" s="2" t="s">
        <v>20</v>
      </c>
      <c r="J47" s="3">
        <f>VLOOKUP(B47,'[1]ca 1'!$D$2:$V$66,19,FALSE)</f>
        <v>7.5</v>
      </c>
      <c r="K47" s="3">
        <f>ROUND(VLOOKUP(B47,'[1]ca 1'!$D$2:$V$66,18,FALSE),1)</f>
        <v>7.5</v>
      </c>
      <c r="L47" s="4"/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9" x14ac:dyDescent="0.35">
      <c r="A48" s="2" t="s">
        <v>180</v>
      </c>
      <c r="B48" s="2">
        <v>24003721</v>
      </c>
      <c r="C48" s="2" t="s">
        <v>181</v>
      </c>
      <c r="D48" s="2" t="s">
        <v>182</v>
      </c>
      <c r="E48" s="2" t="s">
        <v>183</v>
      </c>
      <c r="F48" s="2" t="s">
        <v>41</v>
      </c>
      <c r="G48" s="2" t="s">
        <v>25</v>
      </c>
      <c r="H48" s="2" t="s">
        <v>20</v>
      </c>
      <c r="I48" s="2" t="s">
        <v>20</v>
      </c>
      <c r="J48" s="3">
        <f>VLOOKUP(B48,'[1]ca 1'!$D$2:$V$66,19,FALSE)</f>
        <v>7.5</v>
      </c>
      <c r="K48" s="3">
        <f>ROUND(VLOOKUP(B48,'[1]ca 1'!$D$2:$V$66,18,FALSE),1)</f>
        <v>8.1999999999999993</v>
      </c>
      <c r="L48" s="4"/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9" x14ac:dyDescent="0.35">
      <c r="A49" s="2" t="s">
        <v>184</v>
      </c>
      <c r="B49" s="2">
        <v>24003854</v>
      </c>
      <c r="C49" s="2" t="s">
        <v>185</v>
      </c>
      <c r="D49" s="2" t="s">
        <v>186</v>
      </c>
      <c r="E49" s="2" t="s">
        <v>187</v>
      </c>
      <c r="F49" s="2" t="s">
        <v>41</v>
      </c>
      <c r="G49" s="2" t="s">
        <v>25</v>
      </c>
      <c r="H49" s="2" t="s">
        <v>20</v>
      </c>
      <c r="I49" s="2" t="s">
        <v>20</v>
      </c>
      <c r="J49" s="3">
        <f>VLOOKUP(B49,'[1]ca 1'!$D$2:$V$66,19,FALSE)</f>
        <v>8.5</v>
      </c>
      <c r="K49" s="3">
        <f>ROUND(VLOOKUP(B49,'[1]ca 1'!$D$2:$V$66,18,FALSE),1)</f>
        <v>8.1</v>
      </c>
      <c r="L49" s="4"/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9" x14ac:dyDescent="0.35">
      <c r="A50" s="2" t="s">
        <v>188</v>
      </c>
      <c r="B50" s="2">
        <v>24001508</v>
      </c>
      <c r="C50" s="2" t="s">
        <v>189</v>
      </c>
      <c r="D50" s="2" t="s">
        <v>190</v>
      </c>
      <c r="E50" s="2" t="s">
        <v>191</v>
      </c>
      <c r="F50" s="2" t="s">
        <v>24</v>
      </c>
      <c r="G50" s="2" t="s">
        <v>25</v>
      </c>
      <c r="H50" s="2" t="s">
        <v>20</v>
      </c>
      <c r="I50" s="2" t="s">
        <v>20</v>
      </c>
      <c r="J50" s="3">
        <f>VLOOKUP(B50,'[1]ca 1'!$D$2:$V$66,19,FALSE)</f>
        <v>7.5</v>
      </c>
      <c r="K50" s="3">
        <f>ROUND(VLOOKUP(B50,'[1]ca 1'!$D$2:$V$66,18,FALSE),1)</f>
        <v>4.4000000000000004</v>
      </c>
      <c r="L50" s="4"/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9" x14ac:dyDescent="0.35">
      <c r="A51" s="2" t="s">
        <v>192</v>
      </c>
      <c r="B51" s="2">
        <v>24001373</v>
      </c>
      <c r="C51" s="2" t="s">
        <v>193</v>
      </c>
      <c r="D51" s="2" t="s">
        <v>194</v>
      </c>
      <c r="E51" s="2" t="s">
        <v>195</v>
      </c>
      <c r="F51" s="2" t="s">
        <v>24</v>
      </c>
      <c r="G51" s="2" t="s">
        <v>25</v>
      </c>
      <c r="H51" s="2" t="s">
        <v>20</v>
      </c>
      <c r="I51" s="2" t="s">
        <v>20</v>
      </c>
      <c r="J51" s="3">
        <f>VLOOKUP(B51,'[1]ca 1'!$D$2:$V$66,19,FALSE)</f>
        <v>9.5</v>
      </c>
      <c r="K51" s="3">
        <f>ROUND(VLOOKUP(B51,'[1]ca 1'!$D$2:$V$66,18,FALSE),1)</f>
        <v>6.4</v>
      </c>
      <c r="L51" s="4"/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9" x14ac:dyDescent="0.35">
      <c r="A52" s="2" t="s">
        <v>196</v>
      </c>
      <c r="B52" s="2">
        <v>24000869</v>
      </c>
      <c r="C52" s="2" t="s">
        <v>53</v>
      </c>
      <c r="D52" s="2" t="s">
        <v>197</v>
      </c>
      <c r="E52" s="2" t="s">
        <v>198</v>
      </c>
      <c r="F52" s="2" t="s">
        <v>24</v>
      </c>
      <c r="G52" s="2" t="s">
        <v>25</v>
      </c>
      <c r="H52" s="2" t="s">
        <v>20</v>
      </c>
      <c r="I52" s="2" t="s">
        <v>20</v>
      </c>
      <c r="J52" s="3">
        <f>VLOOKUP(B52,'[1]ca 1'!$D$2:$V$66,19,FALSE)</f>
        <v>0</v>
      </c>
      <c r="K52" s="3">
        <f>ROUND(VLOOKUP(B52,'[1]ca 1'!$D$2:$V$66,18,FALSE),1)</f>
        <v>0</v>
      </c>
      <c r="L52" s="4"/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9" x14ac:dyDescent="0.35">
      <c r="A53" s="2" t="s">
        <v>199</v>
      </c>
      <c r="B53" s="2">
        <v>24001479</v>
      </c>
      <c r="C53" s="2" t="s">
        <v>200</v>
      </c>
      <c r="D53" s="2" t="s">
        <v>201</v>
      </c>
      <c r="E53" s="2" t="s">
        <v>202</v>
      </c>
      <c r="F53" s="2" t="s">
        <v>24</v>
      </c>
      <c r="G53" s="2" t="s">
        <v>25</v>
      </c>
      <c r="H53" s="2" t="s">
        <v>20</v>
      </c>
      <c r="I53" s="2" t="s">
        <v>20</v>
      </c>
      <c r="J53" s="3">
        <f>VLOOKUP(B53,'[1]ca 1'!$D$2:$V$66,19,FALSE)</f>
        <v>8</v>
      </c>
      <c r="K53" s="3">
        <f>ROUND(VLOOKUP(B53,'[1]ca 1'!$D$2:$V$66,18,FALSE),1)</f>
        <v>7.5</v>
      </c>
      <c r="L53" s="4"/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9" x14ac:dyDescent="0.35">
      <c r="A54" s="2" t="s">
        <v>203</v>
      </c>
      <c r="B54" s="2">
        <v>24003249</v>
      </c>
      <c r="C54" s="2" t="s">
        <v>204</v>
      </c>
      <c r="D54" s="2" t="s">
        <v>205</v>
      </c>
      <c r="E54" s="2" t="s">
        <v>206</v>
      </c>
      <c r="F54" s="2" t="s">
        <v>41</v>
      </c>
      <c r="G54" s="2" t="s">
        <v>25</v>
      </c>
      <c r="H54" s="2" t="s">
        <v>20</v>
      </c>
      <c r="I54" s="2" t="s">
        <v>20</v>
      </c>
      <c r="J54" s="3">
        <f>VLOOKUP(B54,'[1]ca 1'!$D$2:$V$66,19,FALSE)</f>
        <v>8</v>
      </c>
      <c r="K54" s="3">
        <f>ROUND(VLOOKUP(B54,'[1]ca 1'!$D$2:$V$66,18,FALSE),1)</f>
        <v>5.6</v>
      </c>
      <c r="L54" s="4"/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9" x14ac:dyDescent="0.35">
      <c r="A55" s="2" t="s">
        <v>207</v>
      </c>
      <c r="B55" s="2">
        <v>24001080</v>
      </c>
      <c r="C55" s="2" t="s">
        <v>208</v>
      </c>
      <c r="D55" s="2" t="s">
        <v>209</v>
      </c>
      <c r="E55" s="2" t="s">
        <v>210</v>
      </c>
      <c r="F55" s="2" t="s">
        <v>24</v>
      </c>
      <c r="G55" s="2" t="s">
        <v>25</v>
      </c>
      <c r="H55" s="2" t="s">
        <v>20</v>
      </c>
      <c r="I55" s="2" t="s">
        <v>20</v>
      </c>
      <c r="J55" s="3">
        <f>VLOOKUP(B55,'[1]ca 1'!$D$2:$V$66,19,FALSE)</f>
        <v>7</v>
      </c>
      <c r="K55" s="3">
        <f>ROUND(VLOOKUP(B55,'[1]ca 1'!$D$2:$V$66,18,FALSE),1)</f>
        <v>7</v>
      </c>
      <c r="L55" s="4"/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9" x14ac:dyDescent="0.35">
      <c r="A56" s="2" t="s">
        <v>211</v>
      </c>
      <c r="B56" s="2">
        <v>24001304</v>
      </c>
      <c r="C56" s="2" t="s">
        <v>212</v>
      </c>
      <c r="D56" s="2" t="s">
        <v>213</v>
      </c>
      <c r="E56" s="2" t="s">
        <v>214</v>
      </c>
      <c r="F56" s="2" t="s">
        <v>24</v>
      </c>
      <c r="G56" s="2" t="s">
        <v>25</v>
      </c>
      <c r="H56" s="2" t="s">
        <v>20</v>
      </c>
      <c r="I56" s="2" t="s">
        <v>20</v>
      </c>
      <c r="J56" s="3">
        <f>VLOOKUP(B56,'[1]ca 1'!$D$2:$V$66,19,FALSE)</f>
        <v>9</v>
      </c>
      <c r="K56" s="3">
        <f>ROUND(VLOOKUP(B56,'[1]ca 1'!$D$2:$V$66,18,FALSE),1)</f>
        <v>6.6</v>
      </c>
      <c r="L56" s="4"/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9" x14ac:dyDescent="0.35">
      <c r="A57" s="2" t="s">
        <v>215</v>
      </c>
      <c r="B57" s="2">
        <v>24000844</v>
      </c>
      <c r="C57" s="2" t="s">
        <v>216</v>
      </c>
      <c r="D57" s="2" t="s">
        <v>217</v>
      </c>
      <c r="E57" s="2" t="s">
        <v>218</v>
      </c>
      <c r="F57" s="2" t="s">
        <v>24</v>
      </c>
      <c r="G57" s="2" t="s">
        <v>25</v>
      </c>
      <c r="H57" s="2" t="s">
        <v>20</v>
      </c>
      <c r="I57" s="2" t="s">
        <v>20</v>
      </c>
      <c r="J57" s="3">
        <f>VLOOKUP(B57,'[1]ca 1'!$D$2:$V$66,19,FALSE)</f>
        <v>7</v>
      </c>
      <c r="K57" s="3">
        <f>ROUND(VLOOKUP(B57,'[1]ca 1'!$D$2:$V$66,18,FALSE),1)</f>
        <v>5.8</v>
      </c>
      <c r="L57" s="4"/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9" x14ac:dyDescent="0.35">
      <c r="A58" s="2" t="s">
        <v>219</v>
      </c>
      <c r="B58" s="2">
        <v>24000628</v>
      </c>
      <c r="C58" s="2" t="s">
        <v>220</v>
      </c>
      <c r="D58" s="2" t="s">
        <v>221</v>
      </c>
      <c r="E58" s="2" t="s">
        <v>222</v>
      </c>
      <c r="F58" s="2" t="s">
        <v>24</v>
      </c>
      <c r="G58" s="2" t="s">
        <v>25</v>
      </c>
      <c r="H58" s="2" t="s">
        <v>20</v>
      </c>
      <c r="I58" s="2" t="s">
        <v>20</v>
      </c>
      <c r="J58" s="3">
        <f>VLOOKUP(B58,'[1]ca 1'!$D$2:$V$66,19,FALSE)</f>
        <v>8</v>
      </c>
      <c r="K58" s="3">
        <f>ROUND(VLOOKUP(B58,'[1]ca 1'!$D$2:$V$66,18,FALSE),1)</f>
        <v>7.7</v>
      </c>
      <c r="L58" s="4"/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9" x14ac:dyDescent="0.35">
      <c r="A59" s="2" t="s">
        <v>223</v>
      </c>
      <c r="B59" s="2">
        <v>24001397</v>
      </c>
      <c r="C59" s="2" t="s">
        <v>224</v>
      </c>
      <c r="D59" s="2" t="s">
        <v>225</v>
      </c>
      <c r="E59" s="2" t="s">
        <v>226</v>
      </c>
      <c r="F59" s="2" t="s">
        <v>41</v>
      </c>
      <c r="G59" s="2" t="s">
        <v>25</v>
      </c>
      <c r="H59" s="2" t="s">
        <v>20</v>
      </c>
      <c r="I59" s="2" t="s">
        <v>20</v>
      </c>
      <c r="J59" s="3">
        <f>VLOOKUP(B59,'[1]ca 1'!$D$2:$V$66,19,FALSE)</f>
        <v>10</v>
      </c>
      <c r="K59" s="3">
        <f>ROUND(VLOOKUP(B59,'[1]ca 1'!$D$2:$V$66,18,FALSE),1)</f>
        <v>5.6</v>
      </c>
      <c r="L59" s="4"/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9" x14ac:dyDescent="0.35">
      <c r="A60" s="2" t="s">
        <v>227</v>
      </c>
      <c r="B60" s="2">
        <v>24003941</v>
      </c>
      <c r="C60" s="2" t="s">
        <v>228</v>
      </c>
      <c r="D60" s="2" t="s">
        <v>225</v>
      </c>
      <c r="E60" s="2" t="s">
        <v>229</v>
      </c>
      <c r="F60" s="2" t="s">
        <v>41</v>
      </c>
      <c r="G60" s="2" t="s">
        <v>25</v>
      </c>
      <c r="H60" s="2" t="s">
        <v>20</v>
      </c>
      <c r="I60" s="2" t="s">
        <v>20</v>
      </c>
      <c r="J60" s="3">
        <f>VLOOKUP(B60,'[1]ca 1'!$D$2:$V$66,19,FALSE)</f>
        <v>8</v>
      </c>
      <c r="K60" s="3">
        <f>ROUND(VLOOKUP(B60,'[1]ca 1'!$D$2:$V$66,18,FALSE),1)</f>
        <v>8.1999999999999993</v>
      </c>
      <c r="L60" s="4"/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9" x14ac:dyDescent="0.35">
      <c r="A61" s="2" t="s">
        <v>230</v>
      </c>
      <c r="B61" s="2">
        <v>24003564</v>
      </c>
      <c r="C61" s="2" t="s">
        <v>231</v>
      </c>
      <c r="D61" s="2" t="s">
        <v>232</v>
      </c>
      <c r="E61" s="2" t="s">
        <v>233</v>
      </c>
      <c r="F61" s="2" t="s">
        <v>41</v>
      </c>
      <c r="G61" s="2" t="s">
        <v>25</v>
      </c>
      <c r="H61" s="2" t="s">
        <v>20</v>
      </c>
      <c r="I61" s="2" t="s">
        <v>20</v>
      </c>
      <c r="J61" s="3">
        <f>VLOOKUP(B61,'[1]ca 1'!$D$2:$V$66,19,FALSE)</f>
        <v>6</v>
      </c>
      <c r="K61" s="3">
        <f>ROUND(VLOOKUP(B61,'[1]ca 1'!$D$2:$V$66,18,FALSE),1)</f>
        <v>6.8</v>
      </c>
      <c r="L61" s="4"/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9" x14ac:dyDescent="0.35">
      <c r="A62" s="2" t="s">
        <v>234</v>
      </c>
      <c r="B62" s="2">
        <v>24001481</v>
      </c>
      <c r="C62" s="2" t="s">
        <v>235</v>
      </c>
      <c r="D62" s="2" t="s">
        <v>236</v>
      </c>
      <c r="E62" s="2" t="s">
        <v>191</v>
      </c>
      <c r="F62" s="2" t="s">
        <v>24</v>
      </c>
      <c r="G62" s="2" t="s">
        <v>25</v>
      </c>
      <c r="H62" s="2" t="s">
        <v>20</v>
      </c>
      <c r="I62" s="2" t="s">
        <v>20</v>
      </c>
      <c r="J62" s="3">
        <f>VLOOKUP(B62,'[1]ca 1'!$D$2:$V$66,19,FALSE)</f>
        <v>10</v>
      </c>
      <c r="K62" s="3">
        <f>ROUND(VLOOKUP(B62,'[1]ca 1'!$D$2:$V$66,18,FALSE),1)</f>
        <v>8.6</v>
      </c>
      <c r="L62" s="4"/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9" x14ac:dyDescent="0.35">
      <c r="A63" s="2" t="s">
        <v>237</v>
      </c>
      <c r="B63" s="2">
        <v>24000788</v>
      </c>
      <c r="C63" s="2" t="s">
        <v>238</v>
      </c>
      <c r="D63" s="2" t="s">
        <v>239</v>
      </c>
      <c r="E63" s="2" t="s">
        <v>240</v>
      </c>
      <c r="F63" s="2" t="s">
        <v>24</v>
      </c>
      <c r="G63" s="2" t="s">
        <v>25</v>
      </c>
      <c r="H63" s="2" t="s">
        <v>20</v>
      </c>
      <c r="I63" s="2" t="s">
        <v>20</v>
      </c>
      <c r="J63" s="3">
        <f>VLOOKUP(B63,'[1]ca 1'!$D$2:$V$66,19,FALSE)</f>
        <v>8</v>
      </c>
      <c r="K63" s="3">
        <f>ROUND(VLOOKUP(B63,'[1]ca 1'!$D$2:$V$66,18,FALSE),1)</f>
        <v>8.1999999999999993</v>
      </c>
      <c r="L63" s="4"/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9" x14ac:dyDescent="0.35">
      <c r="A64" s="2" t="s">
        <v>241</v>
      </c>
      <c r="B64" s="2">
        <v>24000394</v>
      </c>
      <c r="C64" s="2" t="s">
        <v>242</v>
      </c>
      <c r="D64" s="2" t="s">
        <v>239</v>
      </c>
      <c r="E64" s="2" t="s">
        <v>243</v>
      </c>
      <c r="F64" s="2" t="s">
        <v>24</v>
      </c>
      <c r="G64" s="2" t="s">
        <v>25</v>
      </c>
      <c r="H64" s="2" t="s">
        <v>20</v>
      </c>
      <c r="I64" s="2" t="s">
        <v>20</v>
      </c>
      <c r="J64" s="3">
        <f>VLOOKUP(B64,'[1]ca 1'!$D$2:$V$66,19,FALSE)</f>
        <v>7.5</v>
      </c>
      <c r="K64" s="3">
        <f>ROUND(VLOOKUP(B64,'[1]ca 1'!$D$2:$V$66,18,FALSE),1)</f>
        <v>7.2</v>
      </c>
      <c r="L64" s="4"/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9" x14ac:dyDescent="0.35">
      <c r="A65" s="2" t="s">
        <v>244</v>
      </c>
      <c r="B65" s="2">
        <v>24000103</v>
      </c>
      <c r="C65" s="2" t="s">
        <v>245</v>
      </c>
      <c r="D65" s="2" t="s">
        <v>246</v>
      </c>
      <c r="E65" s="2" t="s">
        <v>247</v>
      </c>
      <c r="F65" s="2" t="s">
        <v>24</v>
      </c>
      <c r="G65" s="2" t="s">
        <v>25</v>
      </c>
      <c r="H65" s="2" t="s">
        <v>20</v>
      </c>
      <c r="I65" s="2" t="s">
        <v>20</v>
      </c>
      <c r="J65" s="3">
        <f>VLOOKUP(B65,'[1]ca 1'!$D$2:$V$66,19,FALSE)</f>
        <v>8</v>
      </c>
      <c r="K65" s="3">
        <f>ROUND(VLOOKUP(B65,'[1]ca 1'!$D$2:$V$66,18,FALSE),1)</f>
        <v>6.6</v>
      </c>
      <c r="L65" s="4"/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9" x14ac:dyDescent="0.35">
      <c r="A66" s="2" t="s">
        <v>248</v>
      </c>
      <c r="B66" s="2">
        <v>24003655</v>
      </c>
      <c r="C66" s="2" t="s">
        <v>249</v>
      </c>
      <c r="D66" s="2" t="s">
        <v>250</v>
      </c>
      <c r="E66" s="2" t="s">
        <v>251</v>
      </c>
      <c r="F66" s="2" t="s">
        <v>41</v>
      </c>
      <c r="G66" s="2" t="s">
        <v>25</v>
      </c>
      <c r="H66" s="2" t="s">
        <v>20</v>
      </c>
      <c r="I66" s="2" t="s">
        <v>20</v>
      </c>
      <c r="J66" s="3">
        <f>VLOOKUP(B66,'[1]ca 1'!$D$2:$V$66,19,FALSE)</f>
        <v>9</v>
      </c>
      <c r="K66" s="3">
        <f>ROUND(VLOOKUP(B66,'[1]ca 1'!$D$2:$V$66,18,FALSE),1)</f>
        <v>8.1999999999999993</v>
      </c>
      <c r="L66" s="4"/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9" x14ac:dyDescent="0.35">
      <c r="A67" s="2" t="s">
        <v>252</v>
      </c>
      <c r="B67" s="2">
        <v>24003409</v>
      </c>
      <c r="C67" s="2" t="s">
        <v>253</v>
      </c>
      <c r="D67" s="2" t="s">
        <v>254</v>
      </c>
      <c r="E67" s="2" t="s">
        <v>255</v>
      </c>
      <c r="F67" s="2" t="s">
        <v>41</v>
      </c>
      <c r="G67" s="2" t="s">
        <v>25</v>
      </c>
      <c r="H67" s="2" t="s">
        <v>20</v>
      </c>
      <c r="I67" s="2" t="s">
        <v>20</v>
      </c>
      <c r="J67" s="3">
        <f>VLOOKUP(B67,'[1]ca 1'!$D$2:$V$66,19,FALSE)</f>
        <v>9</v>
      </c>
      <c r="K67" s="3">
        <f>ROUND(VLOOKUP(B67,'[1]ca 1'!$D$2:$V$66,18,FALSE),1)</f>
        <v>8.1999999999999993</v>
      </c>
      <c r="L67" s="4"/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autoFilter ref="J1:K67" xr:uid="{00000000-0001-0000-0000-000000000000}"/>
  <mergeCells count="16">
    <mergeCell ref="F1:F2"/>
    <mergeCell ref="G1:G2"/>
    <mergeCell ref="H1:H2"/>
    <mergeCell ref="M1:M2"/>
    <mergeCell ref="A1:A2"/>
    <mergeCell ref="B1:B2"/>
    <mergeCell ref="C1:C2"/>
    <mergeCell ref="D1:D2"/>
    <mergeCell ref="E1:E2"/>
    <mergeCell ref="P1:P2"/>
    <mergeCell ref="Q1:Q2"/>
    <mergeCell ref="I1:I2"/>
    <mergeCell ref="R1:R2"/>
    <mergeCell ref="S1:S2"/>
    <mergeCell ref="N1:N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Nhung Nguyen</cp:lastModifiedBy>
  <dcterms:created xsi:type="dcterms:W3CDTF">2026-04-23T04:06:24Z</dcterms:created>
  <dcterms:modified xsi:type="dcterms:W3CDTF">2026-04-28T01:40:48Z</dcterms:modified>
</cp:coreProperties>
</file>