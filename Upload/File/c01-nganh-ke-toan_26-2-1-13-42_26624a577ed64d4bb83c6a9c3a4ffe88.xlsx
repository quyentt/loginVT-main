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5BFCD8CB-F2F1-44DA-948A-54DE501F761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KETOAN_ApisK10" sheetId="1" r:id="rId1"/>
    <sheet name="KETOAN_ApisK11" sheetId="2" r:id="rId2"/>
    <sheet name="KETOAN_ApisK12" sheetId="3" r:id="rId3"/>
    <sheet name="KETOAN_ApisK13" sheetId="4" r:id="rId4"/>
    <sheet name="KETOAN_ApisK14" sheetId="5" r:id="rId5"/>
    <sheet name="KETOAN_ApisK15" sheetId="6" r:id="rId6"/>
    <sheet name="KETOAN_ApisK16" sheetId="7" r:id="rId7"/>
    <sheet name="Khóa 16" sheetId="8" state="hidden" r:id="rId8"/>
    <sheet name="Khóa 10" sheetId="9" state="hidden" r:id="rId9"/>
    <sheet name="Khóa 11" sheetId="10" state="hidden" r:id="rId10"/>
  </sheets>
  <definedNames>
    <definedName name="_xlnm._FilterDatabase" localSheetId="4" hidden="1">KETOAN_ApisK14!$F$1:$F$68</definedName>
    <definedName name="_xlnm._FilterDatabase" localSheetId="6" hidden="1">KETOAN_ApisK16!$G$1:$G$69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9" i="8" l="1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AB69" i="7"/>
  <c r="AA69" i="7"/>
  <c r="Z69" i="7"/>
  <c r="Y69" i="7"/>
  <c r="X69" i="7"/>
  <c r="W69" i="7"/>
  <c r="AB68" i="7"/>
  <c r="AA68" i="7"/>
  <c r="Z68" i="7"/>
  <c r="Y68" i="7"/>
  <c r="X68" i="7"/>
  <c r="W68" i="7"/>
  <c r="AB67" i="7"/>
  <c r="AA67" i="7"/>
  <c r="Z67" i="7"/>
  <c r="Y67" i="7"/>
  <c r="X67" i="7"/>
  <c r="W67" i="7"/>
  <c r="AB66" i="7"/>
  <c r="AA66" i="7"/>
  <c r="Z66" i="7"/>
  <c r="Y66" i="7"/>
  <c r="X66" i="7"/>
  <c r="W66" i="7"/>
  <c r="AB65" i="7"/>
  <c r="AA65" i="7"/>
  <c r="Z65" i="7"/>
  <c r="Y65" i="7"/>
  <c r="X65" i="7"/>
  <c r="W65" i="7"/>
  <c r="AB64" i="7"/>
  <c r="AA64" i="7"/>
  <c r="Z64" i="7"/>
  <c r="Y64" i="7"/>
  <c r="X64" i="7"/>
  <c r="W64" i="7"/>
  <c r="AB63" i="7"/>
  <c r="AA63" i="7"/>
  <c r="Z63" i="7"/>
  <c r="Y63" i="7"/>
  <c r="X63" i="7"/>
  <c r="W63" i="7"/>
  <c r="AB62" i="7"/>
  <c r="AA62" i="7"/>
  <c r="Z62" i="7"/>
  <c r="Y62" i="7"/>
  <c r="X62" i="7"/>
  <c r="W62" i="7"/>
  <c r="AB61" i="7"/>
  <c r="AA61" i="7"/>
  <c r="Z61" i="7"/>
  <c r="Y61" i="7"/>
  <c r="X61" i="7"/>
  <c r="W61" i="7"/>
  <c r="AB60" i="7"/>
  <c r="AA60" i="7"/>
  <c r="Z60" i="7"/>
  <c r="Y60" i="7"/>
  <c r="X60" i="7"/>
  <c r="W60" i="7"/>
  <c r="AB59" i="7"/>
  <c r="AA59" i="7"/>
  <c r="Z59" i="7"/>
  <c r="Y59" i="7"/>
  <c r="X59" i="7"/>
  <c r="W59" i="7"/>
  <c r="AB58" i="7"/>
  <c r="AA58" i="7"/>
  <c r="Z58" i="7"/>
  <c r="Y58" i="7"/>
  <c r="X58" i="7"/>
  <c r="W58" i="7"/>
  <c r="AB57" i="7"/>
  <c r="AA57" i="7"/>
  <c r="Z57" i="7"/>
  <c r="Y57" i="7"/>
  <c r="X57" i="7"/>
  <c r="W57" i="7"/>
  <c r="AB56" i="7"/>
  <c r="AA56" i="7"/>
  <c r="Z56" i="7"/>
  <c r="Y56" i="7"/>
  <c r="X56" i="7"/>
  <c r="W56" i="7"/>
  <c r="AB55" i="7"/>
  <c r="AA55" i="7"/>
  <c r="Z55" i="7"/>
  <c r="Y55" i="7"/>
  <c r="X55" i="7"/>
  <c r="W55" i="7"/>
  <c r="AB54" i="7"/>
  <c r="AA54" i="7"/>
  <c r="Z54" i="7"/>
  <c r="Y54" i="7"/>
  <c r="X54" i="7"/>
  <c r="W54" i="7"/>
  <c r="AB53" i="7"/>
  <c r="AA53" i="7"/>
  <c r="Z53" i="7"/>
  <c r="Y53" i="7"/>
  <c r="X53" i="7"/>
  <c r="W53" i="7"/>
  <c r="AB52" i="7"/>
  <c r="AA52" i="7"/>
  <c r="Z52" i="7"/>
  <c r="Y52" i="7"/>
  <c r="X52" i="7"/>
  <c r="W52" i="7"/>
  <c r="AB51" i="7"/>
  <c r="AA51" i="7"/>
  <c r="Z51" i="7"/>
  <c r="Y51" i="7"/>
  <c r="X51" i="7"/>
  <c r="W51" i="7"/>
  <c r="AB50" i="7"/>
  <c r="AA50" i="7"/>
  <c r="Z50" i="7"/>
  <c r="Y50" i="7"/>
  <c r="X50" i="7"/>
  <c r="W50" i="7"/>
  <c r="AB49" i="7"/>
  <c r="AA49" i="7"/>
  <c r="Z49" i="7"/>
  <c r="Y49" i="7"/>
  <c r="X49" i="7"/>
  <c r="W49" i="7"/>
  <c r="AB48" i="7"/>
  <c r="AA48" i="7"/>
  <c r="Z48" i="7"/>
  <c r="Y48" i="7"/>
  <c r="X48" i="7"/>
  <c r="W48" i="7"/>
  <c r="AB47" i="7"/>
  <c r="AA47" i="7"/>
  <c r="Z47" i="7"/>
  <c r="Y47" i="7"/>
  <c r="X47" i="7"/>
  <c r="W47" i="7"/>
  <c r="AB46" i="7"/>
  <c r="AA46" i="7"/>
  <c r="Z46" i="7"/>
  <c r="Y46" i="7"/>
  <c r="X46" i="7"/>
  <c r="W46" i="7"/>
  <c r="AB45" i="7"/>
  <c r="AA45" i="7"/>
  <c r="Z45" i="7"/>
  <c r="Y45" i="7"/>
  <c r="X45" i="7"/>
  <c r="W45" i="7"/>
  <c r="AB44" i="7"/>
  <c r="AA44" i="7"/>
  <c r="Z44" i="7"/>
  <c r="Y44" i="7"/>
  <c r="X44" i="7"/>
  <c r="W44" i="7"/>
  <c r="AB43" i="7"/>
  <c r="AA43" i="7"/>
  <c r="Z43" i="7"/>
  <c r="Y43" i="7"/>
  <c r="X43" i="7"/>
  <c r="W43" i="7"/>
  <c r="AB42" i="7"/>
  <c r="AA42" i="7"/>
  <c r="Z42" i="7"/>
  <c r="Y42" i="7"/>
  <c r="X42" i="7"/>
  <c r="W42" i="7"/>
  <c r="AB41" i="7"/>
  <c r="AA41" i="7"/>
  <c r="Z41" i="7"/>
  <c r="Y41" i="7"/>
  <c r="X41" i="7"/>
  <c r="W41" i="7"/>
  <c r="AB40" i="7"/>
  <c r="AA40" i="7"/>
  <c r="Z40" i="7"/>
  <c r="Y40" i="7"/>
  <c r="X40" i="7"/>
  <c r="W40" i="7"/>
  <c r="AB39" i="7"/>
  <c r="AA39" i="7"/>
  <c r="Z39" i="7"/>
  <c r="Y39" i="7"/>
  <c r="X39" i="7"/>
  <c r="W39" i="7"/>
  <c r="AB38" i="7"/>
  <c r="AA38" i="7"/>
  <c r="Z38" i="7"/>
  <c r="Y38" i="7"/>
  <c r="X38" i="7"/>
  <c r="W38" i="7"/>
  <c r="AB37" i="7"/>
  <c r="AA37" i="7"/>
  <c r="Z37" i="7"/>
  <c r="Y37" i="7"/>
  <c r="X37" i="7"/>
  <c r="W37" i="7"/>
  <c r="AB36" i="7"/>
  <c r="AA36" i="7"/>
  <c r="Z36" i="7"/>
  <c r="Y36" i="7"/>
  <c r="X36" i="7"/>
  <c r="W36" i="7"/>
  <c r="AB35" i="7"/>
  <c r="AA35" i="7"/>
  <c r="Z35" i="7"/>
  <c r="Y35" i="7"/>
  <c r="X35" i="7"/>
  <c r="W35" i="7"/>
  <c r="AB34" i="7"/>
  <c r="AA34" i="7"/>
  <c r="Z34" i="7"/>
  <c r="Y34" i="7"/>
  <c r="X34" i="7"/>
  <c r="W34" i="7"/>
  <c r="AB33" i="7"/>
  <c r="AA33" i="7"/>
  <c r="Z33" i="7"/>
  <c r="Y33" i="7"/>
  <c r="X33" i="7"/>
  <c r="W33" i="7"/>
  <c r="AB32" i="7"/>
  <c r="AA32" i="7"/>
  <c r="Z32" i="7"/>
  <c r="Y32" i="7"/>
  <c r="X32" i="7"/>
  <c r="W32" i="7"/>
  <c r="AB31" i="7"/>
  <c r="AA31" i="7"/>
  <c r="Z31" i="7"/>
  <c r="Y31" i="7"/>
  <c r="X31" i="7"/>
  <c r="W31" i="7"/>
  <c r="AB30" i="7"/>
  <c r="AA30" i="7"/>
  <c r="Z30" i="7"/>
  <c r="Y30" i="7"/>
  <c r="X30" i="7"/>
  <c r="W30" i="7"/>
  <c r="AB29" i="7"/>
  <c r="AA29" i="7"/>
  <c r="Z29" i="7"/>
  <c r="Y29" i="7"/>
  <c r="X29" i="7"/>
  <c r="W29" i="7"/>
  <c r="AB28" i="7"/>
  <c r="AA28" i="7"/>
  <c r="Z28" i="7"/>
  <c r="Y28" i="7"/>
  <c r="X28" i="7"/>
  <c r="W28" i="7"/>
  <c r="AB27" i="7"/>
  <c r="AA27" i="7"/>
  <c r="Z27" i="7"/>
  <c r="Y27" i="7"/>
  <c r="X27" i="7"/>
  <c r="W27" i="7"/>
  <c r="AB26" i="7"/>
  <c r="AA26" i="7"/>
  <c r="Z26" i="7"/>
  <c r="Y26" i="7"/>
  <c r="X26" i="7"/>
  <c r="W26" i="7"/>
  <c r="AB25" i="7"/>
  <c r="AA25" i="7"/>
  <c r="Z25" i="7"/>
  <c r="Y25" i="7"/>
  <c r="X25" i="7"/>
  <c r="W25" i="7"/>
  <c r="AB24" i="7"/>
  <c r="AA24" i="7"/>
  <c r="Z24" i="7"/>
  <c r="Y24" i="7"/>
  <c r="X24" i="7"/>
  <c r="W24" i="7"/>
  <c r="AB23" i="7"/>
  <c r="AA23" i="7"/>
  <c r="Z23" i="7"/>
  <c r="Y23" i="7"/>
  <c r="X23" i="7"/>
  <c r="W23" i="7"/>
  <c r="AB22" i="7"/>
  <c r="AA22" i="7"/>
  <c r="Z22" i="7"/>
  <c r="Y22" i="7"/>
  <c r="X22" i="7"/>
  <c r="W22" i="7"/>
  <c r="AB21" i="7"/>
  <c r="AA21" i="7"/>
  <c r="Z21" i="7"/>
  <c r="Y21" i="7"/>
  <c r="X21" i="7"/>
  <c r="W21" i="7"/>
  <c r="AB20" i="7"/>
  <c r="AA20" i="7"/>
  <c r="Z20" i="7"/>
  <c r="Y20" i="7"/>
  <c r="X20" i="7"/>
  <c r="W20" i="7"/>
  <c r="AB19" i="7"/>
  <c r="AA19" i="7"/>
  <c r="Z19" i="7"/>
  <c r="Y19" i="7"/>
  <c r="X19" i="7"/>
  <c r="W19" i="7"/>
  <c r="AB18" i="7"/>
  <c r="AA18" i="7"/>
  <c r="Z18" i="7"/>
  <c r="Y18" i="7"/>
  <c r="X18" i="7"/>
  <c r="W18" i="7"/>
  <c r="AB17" i="7"/>
  <c r="AA17" i="7"/>
  <c r="Z17" i="7"/>
  <c r="Y17" i="7"/>
  <c r="X17" i="7"/>
  <c r="W17" i="7"/>
  <c r="AB16" i="7"/>
  <c r="AA16" i="7"/>
  <c r="Z16" i="7"/>
  <c r="Y16" i="7"/>
  <c r="X16" i="7"/>
  <c r="W16" i="7"/>
  <c r="AB15" i="7"/>
  <c r="AA15" i="7"/>
  <c r="Z15" i="7"/>
  <c r="Y15" i="7"/>
  <c r="X15" i="7"/>
  <c r="W15" i="7"/>
  <c r="AB14" i="7"/>
  <c r="AA14" i="7"/>
  <c r="Z14" i="7"/>
  <c r="Y14" i="7"/>
  <c r="X14" i="7"/>
  <c r="W14" i="7"/>
  <c r="AB13" i="7"/>
  <c r="AA13" i="7"/>
  <c r="Z13" i="7"/>
  <c r="Y13" i="7"/>
  <c r="X13" i="7"/>
  <c r="W13" i="7"/>
  <c r="AB12" i="7"/>
  <c r="AA12" i="7"/>
  <c r="Z12" i="7"/>
  <c r="Y12" i="7"/>
  <c r="X12" i="7"/>
  <c r="W12" i="7"/>
  <c r="AB11" i="7"/>
  <c r="AA11" i="7"/>
  <c r="Z11" i="7"/>
  <c r="Y11" i="7"/>
  <c r="X11" i="7"/>
  <c r="W11" i="7"/>
  <c r="AB10" i="7"/>
  <c r="AA10" i="7"/>
  <c r="Z10" i="7"/>
  <c r="Y10" i="7"/>
  <c r="X10" i="7"/>
  <c r="W10" i="7"/>
  <c r="AB9" i="7"/>
  <c r="AA9" i="7"/>
  <c r="Z9" i="7"/>
  <c r="Y9" i="7"/>
  <c r="X9" i="7"/>
  <c r="W9" i="7"/>
  <c r="AB8" i="7"/>
  <c r="AA8" i="7"/>
  <c r="Z8" i="7"/>
  <c r="Y8" i="7"/>
  <c r="X8" i="7"/>
  <c r="W8" i="7"/>
  <c r="AB7" i="7"/>
  <c r="AA7" i="7"/>
  <c r="Z7" i="7"/>
  <c r="Y7" i="7"/>
  <c r="X7" i="7"/>
  <c r="W7" i="7"/>
  <c r="AB6" i="7"/>
  <c r="AA6" i="7"/>
  <c r="Z6" i="7"/>
  <c r="Y6" i="7"/>
  <c r="X6" i="7"/>
  <c r="W6" i="7"/>
  <c r="AB5" i="7"/>
  <c r="AA5" i="7"/>
  <c r="Z5" i="7"/>
  <c r="Y5" i="7"/>
  <c r="X5" i="7"/>
  <c r="W5" i="7"/>
  <c r="AB4" i="7"/>
  <c r="AA4" i="7"/>
  <c r="Z4" i="7"/>
  <c r="Y4" i="7"/>
  <c r="X4" i="7"/>
  <c r="W4" i="7"/>
  <c r="AB3" i="7"/>
  <c r="AA3" i="7"/>
  <c r="Z3" i="7"/>
  <c r="Y3" i="7"/>
  <c r="X3" i="7"/>
  <c r="W3" i="7"/>
  <c r="AB2" i="7"/>
  <c r="AA2" i="7"/>
  <c r="Z2" i="7"/>
  <c r="Y2" i="7"/>
  <c r="X2" i="7"/>
  <c r="W2" i="7"/>
  <c r="AA68" i="6"/>
  <c r="Z68" i="6"/>
  <c r="Y68" i="6"/>
  <c r="X68" i="6"/>
  <c r="W68" i="6"/>
  <c r="V68" i="6"/>
  <c r="AA67" i="6"/>
  <c r="Z67" i="6"/>
  <c r="Y67" i="6"/>
  <c r="X67" i="6"/>
  <c r="W67" i="6"/>
  <c r="V67" i="6"/>
  <c r="AA66" i="6"/>
  <c r="Z66" i="6"/>
  <c r="Y66" i="6"/>
  <c r="X66" i="6"/>
  <c r="W66" i="6"/>
  <c r="V66" i="6"/>
  <c r="AA65" i="6"/>
  <c r="Z65" i="6"/>
  <c r="Y65" i="6"/>
  <c r="X65" i="6"/>
  <c r="W65" i="6"/>
  <c r="V65" i="6"/>
  <c r="AA64" i="6"/>
  <c r="Z64" i="6"/>
  <c r="Y64" i="6"/>
  <c r="X64" i="6"/>
  <c r="W64" i="6"/>
  <c r="V64" i="6"/>
  <c r="AA63" i="6"/>
  <c r="Z63" i="6"/>
  <c r="Y63" i="6"/>
  <c r="X63" i="6"/>
  <c r="W63" i="6"/>
  <c r="V63" i="6"/>
  <c r="AA62" i="6"/>
  <c r="Z62" i="6"/>
  <c r="Y62" i="6"/>
  <c r="X62" i="6"/>
  <c r="W62" i="6"/>
  <c r="V62" i="6"/>
  <c r="AA61" i="6"/>
  <c r="Z61" i="6"/>
  <c r="Y61" i="6"/>
  <c r="X61" i="6"/>
  <c r="W61" i="6"/>
  <c r="V61" i="6"/>
  <c r="AA60" i="6"/>
  <c r="Z60" i="6"/>
  <c r="Y60" i="6"/>
  <c r="X60" i="6"/>
  <c r="W60" i="6"/>
  <c r="V60" i="6"/>
  <c r="AA59" i="6"/>
  <c r="Z59" i="6"/>
  <c r="Y59" i="6"/>
  <c r="X59" i="6"/>
  <c r="W59" i="6"/>
  <c r="V59" i="6"/>
  <c r="AA58" i="6"/>
  <c r="Z58" i="6"/>
  <c r="Y58" i="6"/>
  <c r="X58" i="6"/>
  <c r="W58" i="6"/>
  <c r="V58" i="6"/>
  <c r="AA57" i="6"/>
  <c r="Z57" i="6"/>
  <c r="Y57" i="6"/>
  <c r="X57" i="6"/>
  <c r="W57" i="6"/>
  <c r="V57" i="6"/>
  <c r="AA56" i="6"/>
  <c r="Z56" i="6"/>
  <c r="Y56" i="6"/>
  <c r="X56" i="6"/>
  <c r="W56" i="6"/>
  <c r="V56" i="6"/>
  <c r="AA55" i="6"/>
  <c r="Z55" i="6"/>
  <c r="Y55" i="6"/>
  <c r="X55" i="6"/>
  <c r="W55" i="6"/>
  <c r="V55" i="6"/>
  <c r="AA54" i="6"/>
  <c r="Z54" i="6"/>
  <c r="Y54" i="6"/>
  <c r="X54" i="6"/>
  <c r="W54" i="6"/>
  <c r="V54" i="6"/>
  <c r="AA53" i="6"/>
  <c r="Z53" i="6"/>
  <c r="Y53" i="6"/>
  <c r="X53" i="6"/>
  <c r="W53" i="6"/>
  <c r="V53" i="6"/>
  <c r="AA52" i="6"/>
  <c r="Z52" i="6"/>
  <c r="Y52" i="6"/>
  <c r="X52" i="6"/>
  <c r="W52" i="6"/>
  <c r="V52" i="6"/>
  <c r="AA51" i="6"/>
  <c r="Z51" i="6"/>
  <c r="Y51" i="6"/>
  <c r="X51" i="6"/>
  <c r="W51" i="6"/>
  <c r="V51" i="6"/>
  <c r="AA50" i="6"/>
  <c r="Z50" i="6"/>
  <c r="Y50" i="6"/>
  <c r="X50" i="6"/>
  <c r="W50" i="6"/>
  <c r="V50" i="6"/>
  <c r="AA49" i="6"/>
  <c r="Z49" i="6"/>
  <c r="Y49" i="6"/>
  <c r="X49" i="6"/>
  <c r="W49" i="6"/>
  <c r="V49" i="6"/>
  <c r="AA48" i="6"/>
  <c r="Z48" i="6"/>
  <c r="Y48" i="6"/>
  <c r="X48" i="6"/>
  <c r="W48" i="6"/>
  <c r="V48" i="6"/>
  <c r="AA47" i="6"/>
  <c r="Z47" i="6"/>
  <c r="Y47" i="6"/>
  <c r="X47" i="6"/>
  <c r="W47" i="6"/>
  <c r="V47" i="6"/>
  <c r="AA46" i="6"/>
  <c r="Z46" i="6"/>
  <c r="Y46" i="6"/>
  <c r="X46" i="6"/>
  <c r="W46" i="6"/>
  <c r="V46" i="6"/>
  <c r="AA45" i="6"/>
  <c r="Z45" i="6"/>
  <c r="Y45" i="6"/>
  <c r="X45" i="6"/>
  <c r="W45" i="6"/>
  <c r="V45" i="6"/>
  <c r="AA44" i="6"/>
  <c r="Z44" i="6"/>
  <c r="Y44" i="6"/>
  <c r="X44" i="6"/>
  <c r="W44" i="6"/>
  <c r="V44" i="6"/>
  <c r="AA43" i="6"/>
  <c r="Z43" i="6"/>
  <c r="Y43" i="6"/>
  <c r="X43" i="6"/>
  <c r="W43" i="6"/>
  <c r="V43" i="6"/>
  <c r="AA42" i="6"/>
  <c r="Z42" i="6"/>
  <c r="Y42" i="6"/>
  <c r="X42" i="6"/>
  <c r="W42" i="6"/>
  <c r="V42" i="6"/>
  <c r="AA41" i="6"/>
  <c r="Z41" i="6"/>
  <c r="Y41" i="6"/>
  <c r="X41" i="6"/>
  <c r="W41" i="6"/>
  <c r="V41" i="6"/>
  <c r="AA40" i="6"/>
  <c r="Z40" i="6"/>
  <c r="Y40" i="6"/>
  <c r="X40" i="6"/>
  <c r="W40" i="6"/>
  <c r="V40" i="6"/>
  <c r="AA39" i="6"/>
  <c r="Z39" i="6"/>
  <c r="Y39" i="6"/>
  <c r="X39" i="6"/>
  <c r="W39" i="6"/>
  <c r="V39" i="6"/>
  <c r="AA38" i="6"/>
  <c r="Z38" i="6"/>
  <c r="Y38" i="6"/>
  <c r="X38" i="6"/>
  <c r="W38" i="6"/>
  <c r="V38" i="6"/>
  <c r="AA37" i="6"/>
  <c r="Z37" i="6"/>
  <c r="Y37" i="6"/>
  <c r="X37" i="6"/>
  <c r="W37" i="6"/>
  <c r="V37" i="6"/>
  <c r="AA36" i="6"/>
  <c r="Z36" i="6"/>
  <c r="Y36" i="6"/>
  <c r="X36" i="6"/>
  <c r="W36" i="6"/>
  <c r="V36" i="6"/>
  <c r="AA35" i="6"/>
  <c r="Z35" i="6"/>
  <c r="Y35" i="6"/>
  <c r="X35" i="6"/>
  <c r="W35" i="6"/>
  <c r="V35" i="6"/>
  <c r="AA34" i="6"/>
  <c r="Z34" i="6"/>
  <c r="Y34" i="6"/>
  <c r="X34" i="6"/>
  <c r="W34" i="6"/>
  <c r="V34" i="6"/>
  <c r="AA33" i="6"/>
  <c r="Z33" i="6"/>
  <c r="Y33" i="6"/>
  <c r="X33" i="6"/>
  <c r="W33" i="6"/>
  <c r="V33" i="6"/>
  <c r="AA32" i="6"/>
  <c r="Z32" i="6"/>
  <c r="Y32" i="6"/>
  <c r="X32" i="6"/>
  <c r="W32" i="6"/>
  <c r="V32" i="6"/>
  <c r="AA31" i="6"/>
  <c r="Z31" i="6"/>
  <c r="Y31" i="6"/>
  <c r="X31" i="6"/>
  <c r="W31" i="6"/>
  <c r="V31" i="6"/>
  <c r="AA30" i="6"/>
  <c r="Z30" i="6"/>
  <c r="Y30" i="6"/>
  <c r="X30" i="6"/>
  <c r="W30" i="6"/>
  <c r="V30" i="6"/>
  <c r="AA29" i="6"/>
  <c r="Z29" i="6"/>
  <c r="Y29" i="6"/>
  <c r="X29" i="6"/>
  <c r="W29" i="6"/>
  <c r="V29" i="6"/>
  <c r="AA28" i="6"/>
  <c r="Z28" i="6"/>
  <c r="Y28" i="6"/>
  <c r="X28" i="6"/>
  <c r="W28" i="6"/>
  <c r="V28" i="6"/>
  <c r="AA27" i="6"/>
  <c r="Z27" i="6"/>
  <c r="Y27" i="6"/>
  <c r="X27" i="6"/>
  <c r="W27" i="6"/>
  <c r="V27" i="6"/>
  <c r="AA26" i="6"/>
  <c r="Z26" i="6"/>
  <c r="Y26" i="6"/>
  <c r="X26" i="6"/>
  <c r="W26" i="6"/>
  <c r="V26" i="6"/>
  <c r="AA25" i="6"/>
  <c r="Z25" i="6"/>
  <c r="Y25" i="6"/>
  <c r="X25" i="6"/>
  <c r="W25" i="6"/>
  <c r="V25" i="6"/>
  <c r="AA24" i="6"/>
  <c r="Z24" i="6"/>
  <c r="Y24" i="6"/>
  <c r="X24" i="6"/>
  <c r="W24" i="6"/>
  <c r="V24" i="6"/>
  <c r="AA23" i="6"/>
  <c r="Z23" i="6"/>
  <c r="Y23" i="6"/>
  <c r="X23" i="6"/>
  <c r="W23" i="6"/>
  <c r="V23" i="6"/>
  <c r="AA22" i="6"/>
  <c r="Z22" i="6"/>
  <c r="Y22" i="6"/>
  <c r="X22" i="6"/>
  <c r="W22" i="6"/>
  <c r="V22" i="6"/>
  <c r="AA21" i="6"/>
  <c r="Z21" i="6"/>
  <c r="Y21" i="6"/>
  <c r="X21" i="6"/>
  <c r="W21" i="6"/>
  <c r="V21" i="6"/>
  <c r="AA20" i="6"/>
  <c r="Z20" i="6"/>
  <c r="Y20" i="6"/>
  <c r="X20" i="6"/>
  <c r="W20" i="6"/>
  <c r="V20" i="6"/>
  <c r="AA19" i="6"/>
  <c r="Z19" i="6"/>
  <c r="Y19" i="6"/>
  <c r="X19" i="6"/>
  <c r="W19" i="6"/>
  <c r="V19" i="6"/>
  <c r="AA18" i="6"/>
  <c r="Z18" i="6"/>
  <c r="Y18" i="6"/>
  <c r="X18" i="6"/>
  <c r="W18" i="6"/>
  <c r="V18" i="6"/>
  <c r="AA17" i="6"/>
  <c r="Z17" i="6"/>
  <c r="Y17" i="6"/>
  <c r="X17" i="6"/>
  <c r="W17" i="6"/>
  <c r="V17" i="6"/>
  <c r="AA16" i="6"/>
  <c r="Z16" i="6"/>
  <c r="Y16" i="6"/>
  <c r="X16" i="6"/>
  <c r="W16" i="6"/>
  <c r="V16" i="6"/>
  <c r="AA15" i="6"/>
  <c r="Z15" i="6"/>
  <c r="Y15" i="6"/>
  <c r="X15" i="6"/>
  <c r="W15" i="6"/>
  <c r="V15" i="6"/>
  <c r="AA14" i="6"/>
  <c r="Z14" i="6"/>
  <c r="Y14" i="6"/>
  <c r="X14" i="6"/>
  <c r="W14" i="6"/>
  <c r="V14" i="6"/>
  <c r="AA13" i="6"/>
  <c r="Z13" i="6"/>
  <c r="Y13" i="6"/>
  <c r="X13" i="6"/>
  <c r="W13" i="6"/>
  <c r="V13" i="6"/>
  <c r="AA12" i="6"/>
  <c r="Z12" i="6"/>
  <c r="Y12" i="6"/>
  <c r="X12" i="6"/>
  <c r="W12" i="6"/>
  <c r="V12" i="6"/>
  <c r="AA11" i="6"/>
  <c r="Z11" i="6"/>
  <c r="Y11" i="6"/>
  <c r="X11" i="6"/>
  <c r="W11" i="6"/>
  <c r="V11" i="6"/>
  <c r="AA10" i="6"/>
  <c r="Z10" i="6"/>
  <c r="Y10" i="6"/>
  <c r="X10" i="6"/>
  <c r="W10" i="6"/>
  <c r="V10" i="6"/>
  <c r="AA9" i="6"/>
  <c r="Z9" i="6"/>
  <c r="Y9" i="6"/>
  <c r="X9" i="6"/>
  <c r="W9" i="6"/>
  <c r="V9" i="6"/>
  <c r="AA8" i="6"/>
  <c r="Z8" i="6"/>
  <c r="Y8" i="6"/>
  <c r="X8" i="6"/>
  <c r="W8" i="6"/>
  <c r="V8" i="6"/>
  <c r="AA7" i="6"/>
  <c r="Z7" i="6"/>
  <c r="Y7" i="6"/>
  <c r="X7" i="6"/>
  <c r="W7" i="6"/>
  <c r="V7" i="6"/>
  <c r="AA6" i="6"/>
  <c r="Z6" i="6"/>
  <c r="Y6" i="6"/>
  <c r="X6" i="6"/>
  <c r="W6" i="6"/>
  <c r="V6" i="6"/>
  <c r="AA5" i="6"/>
  <c r="Z5" i="6"/>
  <c r="Y5" i="6"/>
  <c r="X5" i="6"/>
  <c r="W5" i="6"/>
  <c r="V5" i="6"/>
  <c r="AA4" i="6"/>
  <c r="Z4" i="6"/>
  <c r="Y4" i="6"/>
  <c r="X4" i="6"/>
  <c r="W4" i="6"/>
  <c r="V4" i="6"/>
  <c r="AA3" i="6"/>
  <c r="Z3" i="6"/>
  <c r="Y3" i="6"/>
  <c r="X3" i="6"/>
  <c r="W3" i="6"/>
  <c r="V3" i="6"/>
  <c r="AA2" i="6"/>
  <c r="Z2" i="6"/>
  <c r="Y2" i="6"/>
  <c r="X2" i="6"/>
  <c r="W2" i="6"/>
  <c r="V2" i="6"/>
  <c r="AA68" i="5"/>
  <c r="Z68" i="5"/>
  <c r="Y68" i="5"/>
  <c r="X68" i="5"/>
  <c r="W68" i="5"/>
  <c r="V68" i="5"/>
  <c r="AA67" i="5"/>
  <c r="Z67" i="5"/>
  <c r="Y67" i="5"/>
  <c r="X67" i="5"/>
  <c r="W67" i="5"/>
  <c r="V67" i="5"/>
  <c r="AA66" i="5"/>
  <c r="Z66" i="5"/>
  <c r="Y66" i="5"/>
  <c r="X66" i="5"/>
  <c r="W66" i="5"/>
  <c r="V66" i="5"/>
  <c r="AA65" i="5"/>
  <c r="Z65" i="5"/>
  <c r="Y65" i="5"/>
  <c r="X65" i="5"/>
  <c r="W65" i="5"/>
  <c r="V65" i="5"/>
  <c r="AA64" i="5"/>
  <c r="Z64" i="5"/>
  <c r="Y64" i="5"/>
  <c r="X64" i="5"/>
  <c r="W64" i="5"/>
  <c r="V64" i="5"/>
  <c r="AA63" i="5"/>
  <c r="Z63" i="5"/>
  <c r="Y63" i="5"/>
  <c r="X63" i="5"/>
  <c r="W63" i="5"/>
  <c r="V63" i="5"/>
  <c r="AA62" i="5"/>
  <c r="Z62" i="5"/>
  <c r="Y62" i="5"/>
  <c r="X62" i="5"/>
  <c r="W62" i="5"/>
  <c r="V62" i="5"/>
  <c r="AA61" i="5"/>
  <c r="Z61" i="5"/>
  <c r="Y61" i="5"/>
  <c r="X61" i="5"/>
  <c r="W61" i="5"/>
  <c r="V61" i="5"/>
  <c r="AA60" i="5"/>
  <c r="Z60" i="5"/>
  <c r="Y60" i="5"/>
  <c r="X60" i="5"/>
  <c r="W60" i="5"/>
  <c r="V60" i="5"/>
  <c r="AA59" i="5"/>
  <c r="Z59" i="5"/>
  <c r="Y59" i="5"/>
  <c r="X59" i="5"/>
  <c r="W59" i="5"/>
  <c r="V59" i="5"/>
  <c r="AA58" i="5"/>
  <c r="Z58" i="5"/>
  <c r="Y58" i="5"/>
  <c r="X58" i="5"/>
  <c r="W58" i="5"/>
  <c r="V58" i="5"/>
  <c r="AA57" i="5"/>
  <c r="Z57" i="5"/>
  <c r="Y57" i="5"/>
  <c r="X57" i="5"/>
  <c r="W57" i="5"/>
  <c r="V57" i="5"/>
  <c r="AA56" i="5"/>
  <c r="Z56" i="5"/>
  <c r="Y56" i="5"/>
  <c r="X56" i="5"/>
  <c r="W56" i="5"/>
  <c r="V56" i="5"/>
  <c r="AA55" i="5"/>
  <c r="Z55" i="5"/>
  <c r="Y55" i="5"/>
  <c r="X55" i="5"/>
  <c r="W55" i="5"/>
  <c r="V55" i="5"/>
  <c r="AA54" i="5"/>
  <c r="Z54" i="5"/>
  <c r="Y54" i="5"/>
  <c r="X54" i="5"/>
  <c r="W54" i="5"/>
  <c r="V54" i="5"/>
  <c r="AA53" i="5"/>
  <c r="Z53" i="5"/>
  <c r="Y53" i="5"/>
  <c r="X53" i="5"/>
  <c r="W53" i="5"/>
  <c r="V53" i="5"/>
  <c r="AA52" i="5"/>
  <c r="Z52" i="5"/>
  <c r="Y52" i="5"/>
  <c r="X52" i="5"/>
  <c r="W52" i="5"/>
  <c r="V52" i="5"/>
  <c r="AA51" i="5"/>
  <c r="Z51" i="5"/>
  <c r="Y51" i="5"/>
  <c r="X51" i="5"/>
  <c r="W51" i="5"/>
  <c r="V51" i="5"/>
  <c r="AA50" i="5"/>
  <c r="Z50" i="5"/>
  <c r="Y50" i="5"/>
  <c r="X50" i="5"/>
  <c r="W50" i="5"/>
  <c r="V50" i="5"/>
  <c r="AA49" i="5"/>
  <c r="Z49" i="5"/>
  <c r="Y49" i="5"/>
  <c r="X49" i="5"/>
  <c r="W49" i="5"/>
  <c r="V49" i="5"/>
  <c r="AA48" i="5"/>
  <c r="Z48" i="5"/>
  <c r="Y48" i="5"/>
  <c r="X48" i="5"/>
  <c r="W48" i="5"/>
  <c r="V48" i="5"/>
  <c r="AA47" i="5"/>
  <c r="Z47" i="5"/>
  <c r="Y47" i="5"/>
  <c r="X47" i="5"/>
  <c r="W47" i="5"/>
  <c r="V47" i="5"/>
  <c r="AA46" i="5"/>
  <c r="Z46" i="5"/>
  <c r="Y46" i="5"/>
  <c r="X46" i="5"/>
  <c r="W46" i="5"/>
  <c r="V46" i="5"/>
  <c r="AA45" i="5"/>
  <c r="Z45" i="5"/>
  <c r="Y45" i="5"/>
  <c r="X45" i="5"/>
  <c r="W45" i="5"/>
  <c r="V45" i="5"/>
  <c r="AA44" i="5"/>
  <c r="Z44" i="5"/>
  <c r="Y44" i="5"/>
  <c r="X44" i="5"/>
  <c r="W44" i="5"/>
  <c r="V44" i="5"/>
  <c r="AA43" i="5"/>
  <c r="Z43" i="5"/>
  <c r="Y43" i="5"/>
  <c r="X43" i="5"/>
  <c r="W43" i="5"/>
  <c r="V43" i="5"/>
  <c r="AA42" i="5"/>
  <c r="Z42" i="5"/>
  <c r="Y42" i="5"/>
  <c r="X42" i="5"/>
  <c r="W42" i="5"/>
  <c r="V42" i="5"/>
  <c r="AA41" i="5"/>
  <c r="Z41" i="5"/>
  <c r="Y41" i="5"/>
  <c r="X41" i="5"/>
  <c r="W41" i="5"/>
  <c r="V41" i="5"/>
  <c r="AA40" i="5"/>
  <c r="Z40" i="5"/>
  <c r="Y40" i="5"/>
  <c r="X40" i="5"/>
  <c r="W40" i="5"/>
  <c r="V40" i="5"/>
  <c r="AA39" i="5"/>
  <c r="Z39" i="5"/>
  <c r="Y39" i="5"/>
  <c r="X39" i="5"/>
  <c r="W39" i="5"/>
  <c r="V39" i="5"/>
  <c r="AA38" i="5"/>
  <c r="Z38" i="5"/>
  <c r="Y38" i="5"/>
  <c r="X38" i="5"/>
  <c r="W38" i="5"/>
  <c r="V38" i="5"/>
  <c r="AA37" i="5"/>
  <c r="Z37" i="5"/>
  <c r="Y37" i="5"/>
  <c r="X37" i="5"/>
  <c r="W37" i="5"/>
  <c r="V37" i="5"/>
  <c r="AA36" i="5"/>
  <c r="Z36" i="5"/>
  <c r="Y36" i="5"/>
  <c r="X36" i="5"/>
  <c r="W36" i="5"/>
  <c r="V36" i="5"/>
  <c r="AA35" i="5"/>
  <c r="Z35" i="5"/>
  <c r="Y35" i="5"/>
  <c r="X35" i="5"/>
  <c r="W35" i="5"/>
  <c r="V35" i="5"/>
  <c r="AA34" i="5"/>
  <c r="Z34" i="5"/>
  <c r="Y34" i="5"/>
  <c r="X34" i="5"/>
  <c r="W34" i="5"/>
  <c r="V34" i="5"/>
  <c r="AA33" i="5"/>
  <c r="Z33" i="5"/>
  <c r="Y33" i="5"/>
  <c r="X33" i="5"/>
  <c r="W33" i="5"/>
  <c r="V33" i="5"/>
  <c r="AA32" i="5"/>
  <c r="Z32" i="5"/>
  <c r="Y32" i="5"/>
  <c r="X32" i="5"/>
  <c r="W32" i="5"/>
  <c r="V32" i="5"/>
  <c r="AA31" i="5"/>
  <c r="Z31" i="5"/>
  <c r="Y31" i="5"/>
  <c r="X31" i="5"/>
  <c r="W31" i="5"/>
  <c r="V31" i="5"/>
  <c r="AA30" i="5"/>
  <c r="Z30" i="5"/>
  <c r="Y30" i="5"/>
  <c r="X30" i="5"/>
  <c r="W30" i="5"/>
  <c r="V30" i="5"/>
  <c r="AA29" i="5"/>
  <c r="Z29" i="5"/>
  <c r="Y29" i="5"/>
  <c r="X29" i="5"/>
  <c r="W29" i="5"/>
  <c r="V29" i="5"/>
  <c r="AA28" i="5"/>
  <c r="Z28" i="5"/>
  <c r="Y28" i="5"/>
  <c r="X28" i="5"/>
  <c r="W28" i="5"/>
  <c r="V28" i="5"/>
  <c r="AA27" i="5"/>
  <c r="Z27" i="5"/>
  <c r="Y27" i="5"/>
  <c r="X27" i="5"/>
  <c r="W27" i="5"/>
  <c r="V27" i="5"/>
  <c r="AA26" i="5"/>
  <c r="Z26" i="5"/>
  <c r="Y26" i="5"/>
  <c r="X26" i="5"/>
  <c r="W26" i="5"/>
  <c r="V26" i="5"/>
  <c r="AA25" i="5"/>
  <c r="Z25" i="5"/>
  <c r="Y25" i="5"/>
  <c r="X25" i="5"/>
  <c r="W25" i="5"/>
  <c r="V25" i="5"/>
  <c r="AA24" i="5"/>
  <c r="Z24" i="5"/>
  <c r="Y24" i="5"/>
  <c r="X24" i="5"/>
  <c r="W24" i="5"/>
  <c r="V24" i="5"/>
  <c r="AA23" i="5"/>
  <c r="Z23" i="5"/>
  <c r="Y23" i="5"/>
  <c r="X23" i="5"/>
  <c r="W23" i="5"/>
  <c r="V23" i="5"/>
  <c r="AA22" i="5"/>
  <c r="Z22" i="5"/>
  <c r="Y22" i="5"/>
  <c r="X22" i="5"/>
  <c r="W22" i="5"/>
  <c r="V22" i="5"/>
  <c r="AA21" i="5"/>
  <c r="Z21" i="5"/>
  <c r="Y21" i="5"/>
  <c r="X21" i="5"/>
  <c r="W21" i="5"/>
  <c r="V21" i="5"/>
  <c r="AA20" i="5"/>
  <c r="Z20" i="5"/>
  <c r="Y20" i="5"/>
  <c r="X20" i="5"/>
  <c r="W20" i="5"/>
  <c r="V20" i="5"/>
  <c r="AA19" i="5"/>
  <c r="Z19" i="5"/>
  <c r="Y19" i="5"/>
  <c r="X19" i="5"/>
  <c r="W19" i="5"/>
  <c r="V19" i="5"/>
  <c r="AA18" i="5"/>
  <c r="Z18" i="5"/>
  <c r="Y18" i="5"/>
  <c r="X18" i="5"/>
  <c r="W18" i="5"/>
  <c r="V18" i="5"/>
  <c r="AA17" i="5"/>
  <c r="Z17" i="5"/>
  <c r="Y17" i="5"/>
  <c r="X17" i="5"/>
  <c r="W17" i="5"/>
  <c r="V17" i="5"/>
  <c r="AA16" i="5"/>
  <c r="Z16" i="5"/>
  <c r="Y16" i="5"/>
  <c r="X16" i="5"/>
  <c r="W16" i="5"/>
  <c r="V16" i="5"/>
  <c r="AA15" i="5"/>
  <c r="Z15" i="5"/>
  <c r="Y15" i="5"/>
  <c r="X15" i="5"/>
  <c r="W15" i="5"/>
  <c r="V15" i="5"/>
  <c r="AA14" i="5"/>
  <c r="Z14" i="5"/>
  <c r="Y14" i="5"/>
  <c r="X14" i="5"/>
  <c r="W14" i="5"/>
  <c r="V14" i="5"/>
  <c r="AA13" i="5"/>
  <c r="Z13" i="5"/>
  <c r="Y13" i="5"/>
  <c r="X13" i="5"/>
  <c r="W13" i="5"/>
  <c r="V13" i="5"/>
  <c r="AA12" i="5"/>
  <c r="Z12" i="5"/>
  <c r="Y12" i="5"/>
  <c r="X12" i="5"/>
  <c r="W12" i="5"/>
  <c r="V12" i="5"/>
  <c r="AA11" i="5"/>
  <c r="Z11" i="5"/>
  <c r="Y11" i="5"/>
  <c r="X11" i="5"/>
  <c r="W11" i="5"/>
  <c r="V11" i="5"/>
  <c r="AA10" i="5"/>
  <c r="Z10" i="5"/>
  <c r="Y10" i="5"/>
  <c r="X10" i="5"/>
  <c r="W10" i="5"/>
  <c r="V10" i="5"/>
  <c r="AA9" i="5"/>
  <c r="Z9" i="5"/>
  <c r="Y9" i="5"/>
  <c r="X9" i="5"/>
  <c r="W9" i="5"/>
  <c r="V9" i="5"/>
  <c r="AA8" i="5"/>
  <c r="Z8" i="5"/>
  <c r="Y8" i="5"/>
  <c r="X8" i="5"/>
  <c r="W8" i="5"/>
  <c r="V8" i="5"/>
  <c r="AA7" i="5"/>
  <c r="Z7" i="5"/>
  <c r="Y7" i="5"/>
  <c r="X7" i="5"/>
  <c r="W7" i="5"/>
  <c r="V7" i="5"/>
  <c r="AA6" i="5"/>
  <c r="Z6" i="5"/>
  <c r="Y6" i="5"/>
  <c r="X6" i="5"/>
  <c r="W6" i="5"/>
  <c r="V6" i="5"/>
  <c r="AA5" i="5"/>
  <c r="Z5" i="5"/>
  <c r="Y5" i="5"/>
  <c r="X5" i="5"/>
  <c r="W5" i="5"/>
  <c r="V5" i="5"/>
  <c r="AA4" i="5"/>
  <c r="Z4" i="5"/>
  <c r="Y4" i="5"/>
  <c r="X4" i="5"/>
  <c r="W4" i="5"/>
  <c r="V4" i="5"/>
  <c r="AA3" i="5"/>
  <c r="Z3" i="5"/>
  <c r="Y3" i="5"/>
  <c r="X3" i="5"/>
  <c r="W3" i="5"/>
  <c r="V3" i="5"/>
  <c r="AA2" i="5"/>
  <c r="Z2" i="5"/>
  <c r="Y2" i="5"/>
  <c r="X2" i="5"/>
  <c r="W2" i="5"/>
  <c r="V2" i="5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X62" i="2"/>
  <c r="W62" i="2"/>
  <c r="V62" i="2"/>
  <c r="U62" i="2"/>
  <c r="T62" i="2"/>
  <c r="S62" i="2"/>
  <c r="X61" i="2"/>
  <c r="W61" i="2"/>
  <c r="V61" i="2"/>
  <c r="U61" i="2"/>
  <c r="T61" i="2"/>
  <c r="S61" i="2"/>
  <c r="X60" i="2"/>
  <c r="W60" i="2"/>
  <c r="V60" i="2"/>
  <c r="U60" i="2"/>
  <c r="T60" i="2"/>
  <c r="S60" i="2"/>
  <c r="X59" i="2"/>
  <c r="W59" i="2"/>
  <c r="V59" i="2"/>
  <c r="U59" i="2"/>
  <c r="T59" i="2"/>
  <c r="S59" i="2"/>
  <c r="X58" i="2"/>
  <c r="W58" i="2"/>
  <c r="V58" i="2"/>
  <c r="U58" i="2"/>
  <c r="T58" i="2"/>
  <c r="S58" i="2"/>
  <c r="X57" i="2"/>
  <c r="W57" i="2"/>
  <c r="V57" i="2"/>
  <c r="U57" i="2"/>
  <c r="T57" i="2"/>
  <c r="S57" i="2"/>
  <c r="X56" i="2"/>
  <c r="W56" i="2"/>
  <c r="V56" i="2"/>
  <c r="U56" i="2"/>
  <c r="T56" i="2"/>
  <c r="S56" i="2"/>
  <c r="X55" i="2"/>
  <c r="W55" i="2"/>
  <c r="V55" i="2"/>
  <c r="U55" i="2"/>
  <c r="T55" i="2"/>
  <c r="S55" i="2"/>
  <c r="X54" i="2"/>
  <c r="W54" i="2"/>
  <c r="V54" i="2"/>
  <c r="U54" i="2"/>
  <c r="T54" i="2"/>
  <c r="S54" i="2"/>
  <c r="X53" i="2"/>
  <c r="W53" i="2"/>
  <c r="V53" i="2"/>
  <c r="U53" i="2"/>
  <c r="T53" i="2"/>
  <c r="S53" i="2"/>
  <c r="X52" i="2"/>
  <c r="W52" i="2"/>
  <c r="V52" i="2"/>
  <c r="U52" i="2"/>
  <c r="T52" i="2"/>
  <c r="S52" i="2"/>
  <c r="X51" i="2"/>
  <c r="W51" i="2"/>
  <c r="V51" i="2"/>
  <c r="U51" i="2"/>
  <c r="T51" i="2"/>
  <c r="S51" i="2"/>
  <c r="X50" i="2"/>
  <c r="W50" i="2"/>
  <c r="V50" i="2"/>
  <c r="U50" i="2"/>
  <c r="T50" i="2"/>
  <c r="S50" i="2"/>
  <c r="X49" i="2"/>
  <c r="W49" i="2"/>
  <c r="V49" i="2"/>
  <c r="U49" i="2"/>
  <c r="T49" i="2"/>
  <c r="S49" i="2"/>
  <c r="X48" i="2"/>
  <c r="W48" i="2"/>
  <c r="V48" i="2"/>
  <c r="U48" i="2"/>
  <c r="T48" i="2"/>
  <c r="S48" i="2"/>
  <c r="X47" i="2"/>
  <c r="W47" i="2"/>
  <c r="V47" i="2"/>
  <c r="U47" i="2"/>
  <c r="T47" i="2"/>
  <c r="S47" i="2"/>
  <c r="X46" i="2"/>
  <c r="W46" i="2"/>
  <c r="V46" i="2"/>
  <c r="U46" i="2"/>
  <c r="T46" i="2"/>
  <c r="S46" i="2"/>
  <c r="X45" i="2"/>
  <c r="W45" i="2"/>
  <c r="V45" i="2"/>
  <c r="U45" i="2"/>
  <c r="T45" i="2"/>
  <c r="S45" i="2"/>
  <c r="X44" i="2"/>
  <c r="W44" i="2"/>
  <c r="V44" i="2"/>
  <c r="U44" i="2"/>
  <c r="T44" i="2"/>
  <c r="S44" i="2"/>
  <c r="X43" i="2"/>
  <c r="W43" i="2"/>
  <c r="V43" i="2"/>
  <c r="U43" i="2"/>
  <c r="T43" i="2"/>
  <c r="S43" i="2"/>
  <c r="X42" i="2"/>
  <c r="W42" i="2"/>
  <c r="V42" i="2"/>
  <c r="U42" i="2"/>
  <c r="T42" i="2"/>
  <c r="S42" i="2"/>
  <c r="X41" i="2"/>
  <c r="W41" i="2"/>
  <c r="V41" i="2"/>
  <c r="U41" i="2"/>
  <c r="T41" i="2"/>
  <c r="S41" i="2"/>
  <c r="X40" i="2"/>
  <c r="W40" i="2"/>
  <c r="V40" i="2"/>
  <c r="U40" i="2"/>
  <c r="T40" i="2"/>
  <c r="S40" i="2"/>
  <c r="X39" i="2"/>
  <c r="W39" i="2"/>
  <c r="V39" i="2"/>
  <c r="U39" i="2"/>
  <c r="T39" i="2"/>
  <c r="S39" i="2"/>
  <c r="X38" i="2"/>
  <c r="W38" i="2"/>
  <c r="V38" i="2"/>
  <c r="U38" i="2"/>
  <c r="T38" i="2"/>
  <c r="S38" i="2"/>
  <c r="X37" i="2"/>
  <c r="W37" i="2"/>
  <c r="V37" i="2"/>
  <c r="U37" i="2"/>
  <c r="T37" i="2"/>
  <c r="S37" i="2"/>
  <c r="X36" i="2"/>
  <c r="W36" i="2"/>
  <c r="V36" i="2"/>
  <c r="U36" i="2"/>
  <c r="T36" i="2"/>
  <c r="S36" i="2"/>
  <c r="X35" i="2"/>
  <c r="W35" i="2"/>
  <c r="V35" i="2"/>
  <c r="U35" i="2"/>
  <c r="T35" i="2"/>
  <c r="S35" i="2"/>
  <c r="X34" i="2"/>
  <c r="W34" i="2"/>
  <c r="V34" i="2"/>
  <c r="U34" i="2"/>
  <c r="T34" i="2"/>
  <c r="S34" i="2"/>
  <c r="X33" i="2"/>
  <c r="W33" i="2"/>
  <c r="V33" i="2"/>
  <c r="U33" i="2"/>
  <c r="T33" i="2"/>
  <c r="S33" i="2"/>
  <c r="X32" i="2"/>
  <c r="W32" i="2"/>
  <c r="V32" i="2"/>
  <c r="U32" i="2"/>
  <c r="T32" i="2"/>
  <c r="S32" i="2"/>
  <c r="X31" i="2"/>
  <c r="W31" i="2"/>
  <c r="V31" i="2"/>
  <c r="U31" i="2"/>
  <c r="T31" i="2"/>
  <c r="S31" i="2"/>
  <c r="X30" i="2"/>
  <c r="W30" i="2"/>
  <c r="V30" i="2"/>
  <c r="U30" i="2"/>
  <c r="T30" i="2"/>
  <c r="S30" i="2"/>
  <c r="X29" i="2"/>
  <c r="W29" i="2"/>
  <c r="V29" i="2"/>
  <c r="U29" i="2"/>
  <c r="T29" i="2"/>
  <c r="S29" i="2"/>
  <c r="X28" i="2"/>
  <c r="W28" i="2"/>
  <c r="V28" i="2"/>
  <c r="U28" i="2"/>
  <c r="T28" i="2"/>
  <c r="S28" i="2"/>
  <c r="X27" i="2"/>
  <c r="W27" i="2"/>
  <c r="V27" i="2"/>
  <c r="U27" i="2"/>
  <c r="T27" i="2"/>
  <c r="S27" i="2"/>
  <c r="X26" i="2"/>
  <c r="W26" i="2"/>
  <c r="V26" i="2"/>
  <c r="U26" i="2"/>
  <c r="T26" i="2"/>
  <c r="S26" i="2"/>
  <c r="X25" i="2"/>
  <c r="W25" i="2"/>
  <c r="V25" i="2"/>
  <c r="U25" i="2"/>
  <c r="T25" i="2"/>
  <c r="S25" i="2"/>
  <c r="X24" i="2"/>
  <c r="W24" i="2"/>
  <c r="V24" i="2"/>
  <c r="U24" i="2"/>
  <c r="T24" i="2"/>
  <c r="S24" i="2"/>
  <c r="X23" i="2"/>
  <c r="W23" i="2"/>
  <c r="V23" i="2"/>
  <c r="U23" i="2"/>
  <c r="T23" i="2"/>
  <c r="S23" i="2"/>
  <c r="X22" i="2"/>
  <c r="W22" i="2"/>
  <c r="V22" i="2"/>
  <c r="U22" i="2"/>
  <c r="T22" i="2"/>
  <c r="S22" i="2"/>
  <c r="X21" i="2"/>
  <c r="W21" i="2"/>
  <c r="V21" i="2"/>
  <c r="U21" i="2"/>
  <c r="T21" i="2"/>
  <c r="S21" i="2"/>
  <c r="X20" i="2"/>
  <c r="W20" i="2"/>
  <c r="V20" i="2"/>
  <c r="U20" i="2"/>
  <c r="T20" i="2"/>
  <c r="S20" i="2"/>
  <c r="X19" i="2"/>
  <c r="W19" i="2"/>
  <c r="V19" i="2"/>
  <c r="U19" i="2"/>
  <c r="T19" i="2"/>
  <c r="S19" i="2"/>
  <c r="X18" i="2"/>
  <c r="W18" i="2"/>
  <c r="V18" i="2"/>
  <c r="U18" i="2"/>
  <c r="T18" i="2"/>
  <c r="S18" i="2"/>
  <c r="X17" i="2"/>
  <c r="W17" i="2"/>
  <c r="V17" i="2"/>
  <c r="U17" i="2"/>
  <c r="T17" i="2"/>
  <c r="S17" i="2"/>
  <c r="X16" i="2"/>
  <c r="W16" i="2"/>
  <c r="V16" i="2"/>
  <c r="U16" i="2"/>
  <c r="T16" i="2"/>
  <c r="S16" i="2"/>
  <c r="X15" i="2"/>
  <c r="W15" i="2"/>
  <c r="V15" i="2"/>
  <c r="U15" i="2"/>
  <c r="T15" i="2"/>
  <c r="S15" i="2"/>
  <c r="X14" i="2"/>
  <c r="W14" i="2"/>
  <c r="V14" i="2"/>
  <c r="U14" i="2"/>
  <c r="T14" i="2"/>
  <c r="S14" i="2"/>
  <c r="X13" i="2"/>
  <c r="W13" i="2"/>
  <c r="V13" i="2"/>
  <c r="U13" i="2"/>
  <c r="T13" i="2"/>
  <c r="S13" i="2"/>
  <c r="X12" i="2"/>
  <c r="W12" i="2"/>
  <c r="V12" i="2"/>
  <c r="U12" i="2"/>
  <c r="T12" i="2"/>
  <c r="S12" i="2"/>
  <c r="X11" i="2"/>
  <c r="W11" i="2"/>
  <c r="V11" i="2"/>
  <c r="U11" i="2"/>
  <c r="T11" i="2"/>
  <c r="S11" i="2"/>
  <c r="X10" i="2"/>
  <c r="W10" i="2"/>
  <c r="V10" i="2"/>
  <c r="U10" i="2"/>
  <c r="T10" i="2"/>
  <c r="S10" i="2"/>
  <c r="X9" i="2"/>
  <c r="W9" i="2"/>
  <c r="V9" i="2"/>
  <c r="U9" i="2"/>
  <c r="T9" i="2"/>
  <c r="S9" i="2"/>
  <c r="X8" i="2"/>
  <c r="W8" i="2"/>
  <c r="V8" i="2"/>
  <c r="U8" i="2"/>
  <c r="T8" i="2"/>
  <c r="S8" i="2"/>
  <c r="X7" i="2"/>
  <c r="W7" i="2"/>
  <c r="V7" i="2"/>
  <c r="U7" i="2"/>
  <c r="T7" i="2"/>
  <c r="S7" i="2"/>
  <c r="X6" i="2"/>
  <c r="W6" i="2"/>
  <c r="V6" i="2"/>
  <c r="U6" i="2"/>
  <c r="T6" i="2"/>
  <c r="S6" i="2"/>
  <c r="X5" i="2"/>
  <c r="W5" i="2"/>
  <c r="V5" i="2"/>
  <c r="U5" i="2"/>
  <c r="T5" i="2"/>
  <c r="S5" i="2"/>
  <c r="X4" i="2"/>
  <c r="W4" i="2"/>
  <c r="V4" i="2"/>
  <c r="U4" i="2"/>
  <c r="T4" i="2"/>
  <c r="S4" i="2"/>
  <c r="X3" i="2"/>
  <c r="W3" i="2"/>
  <c r="V3" i="2"/>
  <c r="U3" i="2"/>
  <c r="T3" i="2"/>
  <c r="S3" i="2"/>
  <c r="X2" i="2"/>
  <c r="W2" i="2"/>
  <c r="V2" i="2"/>
  <c r="U2" i="2"/>
  <c r="T2" i="2"/>
  <c r="S2" i="2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<sst xmlns="http://schemas.openxmlformats.org/spreadsheetml/2006/main" count="3561" uniqueCount="371">
  <si>
    <t>Khối kiến thức</t>
  </si>
  <si>
    <t>Mã học phần</t>
  </si>
  <si>
    <t>Tên học phần</t>
  </si>
  <si>
    <t>Kỳ thứ</t>
  </si>
  <si>
    <t>Nhóm tự chọn</t>
  </si>
  <si>
    <t>Tự học</t>
  </si>
  <si>
    <t>Thực hành</t>
  </si>
  <si>
    <t>KT1.1</t>
  </si>
  <si>
    <t>Khối kiến thức giáo dục đại cương</t>
  </si>
  <si>
    <t>SSH1201</t>
  </si>
  <si>
    <t>Triết học Mác - Lênin</t>
  </si>
  <si>
    <t>T</t>
  </si>
  <si>
    <t>SSH12030</t>
  </si>
  <si>
    <t>Chủ nghĩa xã hội khoa học</t>
  </si>
  <si>
    <t>SSH12020</t>
  </si>
  <si>
    <t>Kinh tế chính trị Mác Lênin</t>
  </si>
  <si>
    <t>PE1213</t>
  </si>
  <si>
    <t>Giáo dục thể chất</t>
  </si>
  <si>
    <t>MIL1225</t>
  </si>
  <si>
    <t>Giáo dục Quốc phòng - an ninh</t>
  </si>
  <si>
    <t>SSH1210</t>
  </si>
  <si>
    <t>Pháp luật đại cương</t>
  </si>
  <si>
    <t>IT1209</t>
  </si>
  <si>
    <t>Tin học đại cương</t>
  </si>
  <si>
    <t>SSH12051</t>
  </si>
  <si>
    <t>Lịch sử Đảng Cộng sản VN</t>
  </si>
  <si>
    <t>SSH1205</t>
  </si>
  <si>
    <t>Tư tưởng Hồ Chí Minh</t>
  </si>
  <si>
    <t>CEA2217</t>
  </si>
  <si>
    <t>Nhập môn ngành và Kỹ năng mềm</t>
  </si>
  <si>
    <t>FL1206</t>
  </si>
  <si>
    <t>Tiếng Anh 1</t>
  </si>
  <si>
    <t>FL1215</t>
  </si>
  <si>
    <t>Tiếng Anh 2</t>
  </si>
  <si>
    <t>FL1208</t>
  </si>
  <si>
    <t>Tiếng Anh 3</t>
  </si>
  <si>
    <t>KT1.0.6</t>
  </si>
  <si>
    <t>MI1218</t>
  </si>
  <si>
    <t>Lý thuyết xác suất và thống kê toán</t>
  </si>
  <si>
    <t>EM1211</t>
  </si>
  <si>
    <t>Lịch sử các học thuyết kinh tế</t>
  </si>
  <si>
    <t>EM1212</t>
  </si>
  <si>
    <t>Kinh tế lượng</t>
  </si>
  <si>
    <t>MI1204</t>
  </si>
  <si>
    <t>Toán A1 (Giải tích )</t>
  </si>
  <si>
    <t>KT2.1</t>
  </si>
  <si>
    <t>Khối kiến thức cơ sở ngành</t>
  </si>
  <si>
    <t>MGT2221</t>
  </si>
  <si>
    <t>Quản trị học</t>
  </si>
  <si>
    <t>MGT2219</t>
  </si>
  <si>
    <t xml:space="preserve">Kinh tế học vi mô </t>
  </si>
  <si>
    <t>MGT2220</t>
  </si>
  <si>
    <t>Kinh tế học vĩ mô</t>
  </si>
  <si>
    <t>BAF2225</t>
  </si>
  <si>
    <t>Lý thuyết Tài chính tiền tệ</t>
  </si>
  <si>
    <t>BAF2222</t>
  </si>
  <si>
    <t>Marketing căn bản</t>
  </si>
  <si>
    <t>MGT2224</t>
  </si>
  <si>
    <t>Pháp luật kinh tế</t>
  </si>
  <si>
    <t>MGT2223</t>
  </si>
  <si>
    <t>Nguyên lý kế toán</t>
  </si>
  <si>
    <t>MGT2226</t>
  </si>
  <si>
    <t>Nguyên lý thống kê</t>
  </si>
  <si>
    <t>ACC2227</t>
  </si>
  <si>
    <t>Kiểm toán căn bản</t>
  </si>
  <si>
    <t>MGT2228</t>
  </si>
  <si>
    <t>Tin học ứng dụng</t>
  </si>
  <si>
    <t>BAF2229</t>
  </si>
  <si>
    <t>Thực tập nhận thức</t>
  </si>
  <si>
    <t>FL1210</t>
  </si>
  <si>
    <t>Tiếng Anh 4</t>
  </si>
  <si>
    <t>FL1211</t>
  </si>
  <si>
    <t>Tiếng Anh 5</t>
  </si>
  <si>
    <t>KT3.1</t>
  </si>
  <si>
    <t>Khối kiến thức chuyên ngành</t>
  </si>
  <si>
    <t>ACC3230</t>
  </si>
  <si>
    <t>Thống kê doanh nghiệp</t>
  </si>
  <si>
    <t>BAF3231</t>
  </si>
  <si>
    <t>Tài chính doanh nghiệp</t>
  </si>
  <si>
    <t>BAF3233</t>
  </si>
  <si>
    <t>Thuế và Kế toán thuế</t>
  </si>
  <si>
    <t>MGT32340</t>
  </si>
  <si>
    <t>Phân tích hoạt động kinh doanh</t>
  </si>
  <si>
    <t>ACC3232</t>
  </si>
  <si>
    <t>Thị trường chứng khoán</t>
  </si>
  <si>
    <t>ACC3235</t>
  </si>
  <si>
    <t>Kế toán tài chính 1</t>
  </si>
  <si>
    <t>ACC3211</t>
  </si>
  <si>
    <t>Kế toán tài chính 2</t>
  </si>
  <si>
    <t>ACC3213</t>
  </si>
  <si>
    <t>Kế toán tài chính 3</t>
  </si>
  <si>
    <t>ACC3240</t>
  </si>
  <si>
    <t>Thực hành kế toán 1</t>
  </si>
  <si>
    <t>ACC3241</t>
  </si>
  <si>
    <t>Thực hành kế toán 2</t>
  </si>
  <si>
    <t>ACC3219</t>
  </si>
  <si>
    <t>Kiểm toán báo cáo tài chính</t>
  </si>
  <si>
    <t>ACC3212</t>
  </si>
  <si>
    <t>Kế toán quản trị</t>
  </si>
  <si>
    <t>ACC3242</t>
  </si>
  <si>
    <t>Thực hành kế toán máy</t>
  </si>
  <si>
    <t>ACC3226</t>
  </si>
  <si>
    <t>Kế toán ngân hàng thương mại</t>
  </si>
  <si>
    <t>KT3.0.6</t>
  </si>
  <si>
    <t>ACC3222</t>
  </si>
  <si>
    <t>Kế toán thương mại dịch vụ</t>
  </si>
  <si>
    <t>ACC3217</t>
  </si>
  <si>
    <t>Kế toán hành chính sự nghiệp</t>
  </si>
  <si>
    <t>MGT3251</t>
  </si>
  <si>
    <t>Kinh tế quốc tế</t>
  </si>
  <si>
    <t>ACC3247</t>
  </si>
  <si>
    <t>Logistic</t>
  </si>
  <si>
    <t>ACC3249</t>
  </si>
  <si>
    <t>Kế toán quốc tế</t>
  </si>
  <si>
    <t>BAF3235</t>
  </si>
  <si>
    <t>Tài chính công</t>
  </si>
  <si>
    <t>MGT2208</t>
  </si>
  <si>
    <t>Kinh tế học phát triển</t>
  </si>
  <si>
    <t>KT4.1</t>
  </si>
  <si>
    <t xml:space="preserve">Khóa luận/Đồ án tốt nghiệp </t>
  </si>
  <si>
    <t>ACC4229</t>
  </si>
  <si>
    <t>Thực tập cuối khóa</t>
  </si>
  <si>
    <t>ACC4230</t>
  </si>
  <si>
    <t>Khóa luận tốt nghiệp</t>
  </si>
  <si>
    <t>Tiên quyết (c)</t>
  </si>
  <si>
    <t>SSH1203</t>
  </si>
  <si>
    <t>SSH1204</t>
  </si>
  <si>
    <t>Lịch sử Đảng Cộng sản Việt Nam</t>
  </si>
  <si>
    <t>FL1214</t>
  </si>
  <si>
    <t>FL1216</t>
  </si>
  <si>
    <t>ACC2212</t>
  </si>
  <si>
    <t>Kỹ năng mềm</t>
  </si>
  <si>
    <t>IT1211</t>
  </si>
  <si>
    <t>MI1222</t>
  </si>
  <si>
    <t>Toán cao cấp A1</t>
  </si>
  <si>
    <t>MI1223</t>
  </si>
  <si>
    <t>LT xác suất và thống kê toán</t>
  </si>
  <si>
    <t>MI1215</t>
  </si>
  <si>
    <t>ACC2213</t>
  </si>
  <si>
    <t xml:space="preserve">Nhập môn ngành </t>
  </si>
  <si>
    <t>SSH1202</t>
  </si>
  <si>
    <t>SSH1206</t>
  </si>
  <si>
    <t>ACC2219</t>
  </si>
  <si>
    <t>ACC2220</t>
  </si>
  <si>
    <t>ACC2214</t>
  </si>
  <si>
    <t>ACC2221</t>
  </si>
  <si>
    <t>ACC2204</t>
  </si>
  <si>
    <t>Lý thuyết tài chính tiền tệ</t>
  </si>
  <si>
    <t>ACC2205</t>
  </si>
  <si>
    <t>Tiếng Anh chuyên ngành</t>
  </si>
  <si>
    <t>KT2.0</t>
  </si>
  <si>
    <t>MGT3249</t>
  </si>
  <si>
    <t>ACC2216</t>
  </si>
  <si>
    <t>ACC2226</t>
  </si>
  <si>
    <t>Logistics</t>
  </si>
  <si>
    <t>ACC2217</t>
  </si>
  <si>
    <t>ACC2206</t>
  </si>
  <si>
    <t>Pháp luật và chuẩn mực kế toán</t>
  </si>
  <si>
    <t>ACC2228</t>
  </si>
  <si>
    <t>Kinh tế công cộng</t>
  </si>
  <si>
    <t>MGT2213</t>
  </si>
  <si>
    <t>IT1213</t>
  </si>
  <si>
    <t>ACC3207</t>
  </si>
  <si>
    <t>Thực tập nhận thức ngành</t>
  </si>
  <si>
    <t>MGT3215</t>
  </si>
  <si>
    <t>ACC3208</t>
  </si>
  <si>
    <t>ACC2222</t>
  </si>
  <si>
    <t>ACC3209</t>
  </si>
  <si>
    <t>ACC3210</t>
  </si>
  <si>
    <t>Tổ chức công tác kế toán</t>
  </si>
  <si>
    <t>ACC3233</t>
  </si>
  <si>
    <t>ACC3214</t>
  </si>
  <si>
    <t>Thuế và kế toán thuế</t>
  </si>
  <si>
    <t>ACC3215</t>
  </si>
  <si>
    <t>ACC3216</t>
  </si>
  <si>
    <t xml:space="preserve">Thực hành kế toán </t>
  </si>
  <si>
    <t>ACC3239</t>
  </si>
  <si>
    <t>ACC3218</t>
  </si>
  <si>
    <t>Kế toán máy</t>
  </si>
  <si>
    <t>ACC3237</t>
  </si>
  <si>
    <t>ACC3221</t>
  </si>
  <si>
    <t>Thực tập chuyên ngành</t>
  </si>
  <si>
    <t>Phân tích tài chính doanh nghiệp</t>
  </si>
  <si>
    <t>KT3.0.12</t>
  </si>
  <si>
    <t>Kinh doanh quốc tế</t>
  </si>
  <si>
    <t>MGT3230</t>
  </si>
  <si>
    <t>Thương mại điện tử</t>
  </si>
  <si>
    <t>MGT3225</t>
  </si>
  <si>
    <t>ACC3251</t>
  </si>
  <si>
    <t>Định giá tài sản</t>
  </si>
  <si>
    <t>ACC3252</t>
  </si>
  <si>
    <t>Quản trị doanh nghiệp</t>
  </si>
  <si>
    <t>ACC3253</t>
  </si>
  <si>
    <t xml:space="preserve">Kế toán doanh nghiệp xây lắp </t>
  </si>
  <si>
    <t>ACC3227</t>
  </si>
  <si>
    <t>Đại cương kế toán tập đoàn</t>
  </si>
  <si>
    <t>ACC3228</t>
  </si>
  <si>
    <t>Kinh tế chính trị Mác - Lênin</t>
  </si>
  <si>
    <t>SSH1207</t>
  </si>
  <si>
    <t>IT1208</t>
  </si>
  <si>
    <t>Toán cao cấp</t>
  </si>
  <si>
    <t>MI1216</t>
  </si>
  <si>
    <t>Xác suất thống kê</t>
  </si>
  <si>
    <t>FL1219</t>
  </si>
  <si>
    <t>FL1220</t>
  </si>
  <si>
    <t>FL1221</t>
  </si>
  <si>
    <t>MPP2202</t>
  </si>
  <si>
    <t>MGT2202</t>
  </si>
  <si>
    <t>Kinh tế học vi mô</t>
  </si>
  <si>
    <t>MGT2203</t>
  </si>
  <si>
    <t>MGT2204</t>
  </si>
  <si>
    <t>MGT2205</t>
  </si>
  <si>
    <t>MGT2206</t>
  </si>
  <si>
    <t>ACC2201</t>
  </si>
  <si>
    <t>ACC2203</t>
  </si>
  <si>
    <t>KT2.0.8</t>
  </si>
  <si>
    <t>MGT2209</t>
  </si>
  <si>
    <t>MGT2210</t>
  </si>
  <si>
    <t>MGT2212</t>
  </si>
  <si>
    <t>ACC2202</t>
  </si>
  <si>
    <t>BAF3270</t>
  </si>
  <si>
    <t>BAF3210</t>
  </si>
  <si>
    <t>KT3.0.11</t>
  </si>
  <si>
    <t>MGT3223</t>
  </si>
  <si>
    <t>MGT3231</t>
  </si>
  <si>
    <t>MGT3229</t>
  </si>
  <si>
    <t>ACC3224</t>
  </si>
  <si>
    <t>ACC3225</t>
  </si>
  <si>
    <t>Thực tập tốt nghiệp</t>
  </si>
  <si>
    <t>ACC3220</t>
  </si>
  <si>
    <t>Ghi chú</t>
  </si>
  <si>
    <t>KT4.0.6</t>
  </si>
  <si>
    <t/>
  </si>
  <si>
    <t>Thực tập nghề nghiệp</t>
  </si>
  <si>
    <t xml:space="preserve">ACC2250 </t>
  </si>
  <si>
    <t>Pháp luật và chuẩn mực kế toán, kiểm toán</t>
  </si>
  <si>
    <t>BAF2202</t>
  </si>
  <si>
    <t>Quản lý năng suất chất lượng</t>
  </si>
  <si>
    <t>MGT2206
ACC2204</t>
  </si>
  <si>
    <t>KT2.0.10</t>
  </si>
  <si>
    <t>ACC2251</t>
  </si>
  <si>
    <t>Đạo đức nghề nghiệp Kế toán – Tài chính</t>
  </si>
  <si>
    <t>MGT2232</t>
  </si>
  <si>
    <t>Toán kinh tế</t>
  </si>
  <si>
    <t>MGT2203
MGT2232</t>
  </si>
  <si>
    <t>MGT2202
MGT2203</t>
  </si>
  <si>
    <t>MGT3264</t>
  </si>
  <si>
    <t>Khởi sự kinh doanh</t>
  </si>
  <si>
    <t>MGT2204
MPP2202</t>
  </si>
  <si>
    <t>MGT1204</t>
  </si>
  <si>
    <t>Phương pháp Nghiên cứu khoa học</t>
  </si>
  <si>
    <t>MGT1201</t>
  </si>
  <si>
    <t>Kỹ năng giao tiếp và thuyết trình</t>
  </si>
  <si>
    <t>BAF3205</t>
  </si>
  <si>
    <t>Các thị trường tài chính</t>
  </si>
  <si>
    <t>BAF3261</t>
  </si>
  <si>
    <t>Tiếng Anh tài chính - kế toán</t>
  </si>
  <si>
    <t>ACC2220
FL1221</t>
  </si>
  <si>
    <t>ACC3260</t>
  </si>
  <si>
    <t>Phân tích báo cáo tài chính</t>
  </si>
  <si>
    <t>ACC3208
ACC3211</t>
  </si>
  <si>
    <t>ACC2203
ACC3211</t>
  </si>
  <si>
    <t>ACC3211
ACC3207</t>
  </si>
  <si>
    <t>KT3.0.DH1.12</t>
  </si>
  <si>
    <t>DH1</t>
  </si>
  <si>
    <t>Chuyên sâu Kế toán doanh nghiệp</t>
  </si>
  <si>
    <t>ACC3262</t>
  </si>
  <si>
    <t>Kế toán chi phí</t>
  </si>
  <si>
    <t>ACC3263</t>
  </si>
  <si>
    <t>Phân tích kinh doanh</t>
  </si>
  <si>
    <t>ACC3264</t>
  </si>
  <si>
    <t>Hệ thống thông tin kế toán</t>
  </si>
  <si>
    <t>KT3.0.DH2.12</t>
  </si>
  <si>
    <t>DH2</t>
  </si>
  <si>
    <t>Chuyên sâu Kế toán - Kiểm toán</t>
  </si>
  <si>
    <t>ACC3271</t>
  </si>
  <si>
    <t>Thực hành kiểm toán báo cáo tài chính</t>
  </si>
  <si>
    <t>ACC3273</t>
  </si>
  <si>
    <t>Kiểm toán hoạt động</t>
  </si>
  <si>
    <t xml:space="preserve">ACC3274 </t>
  </si>
  <si>
    <t>Kiểm soát nội bộ</t>
  </si>
  <si>
    <t>BAF3267</t>
  </si>
  <si>
    <t>KT4_K1.0.6</t>
  </si>
  <si>
    <t>KTN</t>
  </si>
  <si>
    <t>KT4_K2.0.6</t>
  </si>
  <si>
    <t>ACC3265</t>
  </si>
  <si>
    <t>Kế toán doanh nghiệp xây dựng</t>
  </si>
  <si>
    <t>ACC3268</t>
  </si>
  <si>
    <t>Kế toán tập đoàn</t>
  </si>
  <si>
    <t>KT4_K3.0.6</t>
  </si>
  <si>
    <t>ACC3270</t>
  </si>
  <si>
    <t>Kiểm toán đầu tư xây dựng cơ bản</t>
  </si>
  <si>
    <t xml:space="preserve">ACC3272 </t>
  </si>
  <si>
    <t>Kiểm toán nội bộ</t>
  </si>
  <si>
    <t>MI1219</t>
  </si>
  <si>
    <t>Xác suất và thống kê</t>
  </si>
  <si>
    <t>Nhập môn ngành</t>
  </si>
  <si>
    <t>ACC2250</t>
  </si>
  <si>
    <t>MGT2202
MGT2206</t>
  </si>
  <si>
    <t>IT1208 </t>
  </si>
  <si>
    <t>Thực hành kế toán</t>
  </si>
  <si>
    <t>ACC3274</t>
  </si>
  <si>
    <t>ACC3272</t>
  </si>
  <si>
    <t>Học trước (d)</t>
  </si>
  <si>
    <t>Song hành (e)</t>
  </si>
  <si>
    <t>BAF3280</t>
  </si>
  <si>
    <t>Tiếng Anh Tài chính - Kế toán 1</t>
  </si>
  <si>
    <t>ACC3275</t>
  </si>
  <si>
    <t>BAF3281</t>
  </si>
  <si>
    <t>Tiếng Anh Tài chính - Kế toán 2</t>
  </si>
  <si>
    <t>Thi tốt nghiệp</t>
  </si>
  <si>
    <t>CHƯƠNG TRÌNH ĐÀO TẠO CHI TIẾT</t>
  </si>
  <si>
    <t>Hệ:Đại học - Từ 2023 - Khoa:Tài chính - Kế toán - Khóa học:16 - Chuyên ngành:Kế toán</t>
  </si>
  <si>
    <t>Số TT</t>
  </si>
  <si>
    <t>Tổng số tín chỉ</t>
  </si>
  <si>
    <t>Số tín chỉ thực hành</t>
  </si>
  <si>
    <t>Hệ số</t>
  </si>
  <si>
    <t>Lý thuyết</t>
  </si>
  <si>
    <t>Bài tập/ kiểm tra</t>
  </si>
  <si>
    <t>Bài tập lớn/ thảo luận</t>
  </si>
  <si>
    <t>Tổng số tiết</t>
  </si>
  <si>
    <t>Tự chọn</t>
  </si>
  <si>
    <t>Không tính TBCHT</t>
  </si>
  <si>
    <t>Môn LT và TH</t>
  </si>
  <si>
    <t>Tốt nghiệp</t>
  </si>
  <si>
    <t>Điều kiện TN</t>
  </si>
  <si>
    <t>Môn khóa luận</t>
  </si>
  <si>
    <t>Thang điểm</t>
  </si>
  <si>
    <t xml:space="preserve">Giáo dục Quốc phòng và An ninh </t>
  </si>
  <si>
    <t>Hệ:Đại học - Khoa:Kế toán - Khóa học:10 - Chuyên ngành:Kế toán</t>
  </si>
  <si>
    <t>MGT1216</t>
  </si>
  <si>
    <t xml:space="preserve">Kỹ năng mềm </t>
  </si>
  <si>
    <t xml:space="preserve">Giáo dục thể chất 1+2 </t>
  </si>
  <si>
    <t>Hệ:Đại học - Khoa:Kế toán - Khóa học:11 - Chuyên ngành:Kế toán</t>
  </si>
  <si>
    <t>MI12170</t>
  </si>
  <si>
    <t xml:space="preserve">Tài chính công </t>
  </si>
  <si>
    <t>MIL1221</t>
  </si>
  <si>
    <t>Giáo dục quốc phòng TH   (2tuần)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</si>
  <si>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</si>
  <si>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</si>
  <si>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</si>
  <si>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</si>
  <si>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</si>
  <si>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</si>
  <si>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</si>
  <si>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</si>
  <si>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</si>
  <si>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</si>
  <si>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</si>
  <si>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</si>
  <si>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</si>
  <si>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</si>
  <si>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</si>
  <si>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</si>
  <si>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</si>
  <si>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</si>
  <si>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</si>
  <si>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</si>
  <si>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</si>
  <si>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</si>
  <si>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</si>
  <si>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</si>
  <si>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</si>
  <si>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</si>
  <si>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</si>
  <si>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</si>
  <si>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</si>
  <si>
    <t>TuChonKhoi</t>
  </si>
  <si>
    <t>MaHP</t>
  </si>
  <si>
    <t>TenHP</t>
  </si>
  <si>
    <t>MonBBTrongKhoi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</si>
</sst>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b/>
      <sz val="14"/>
      <color theme="1"/>
      <name val="Times New Roman"/>
    </font>
    <font>
      <sz val="11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CFE2F3"/>
      </patternFill>
    </fill>
    <fill>
      <patternFill patternType="solid">
        <fgColor rgb="FFFFFF00"/>
        <bgColor rgb="FFEAD1D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6" tint="0.39997558519241921"/>
        <bgColor rgb="FFCFE2F3"/>
      </patternFill>
    </fill>
    <fill>
      <patternFill patternType="solid">
        <fgColor theme="6" tint="0.39997558519241921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4" fontId="2" fillId="7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3" fontId="2" fillId="10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/>
    </xf>
    <xf numFmtId="164" fontId="2" fillId="10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2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3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/>
    </xf>
    <xf numFmtId="164" fontId="2" fillId="1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C54"/>
  <sheetViews>
    <sheetView workbookViewId="0">
      <selection activeCell="A2" sqref="A2:A54"/>
    </sheetView>
  </sheetViews>
  <sheetFormatPr defaultColWidth="14.42578125" defaultRowHeight="15" customHeight="1" x14ac:dyDescent="0.25"/>
  <cols>
    <col min="1" max="1" width="9.28515625" customWidth="1"/>
    <col min="2" max="2" width="13.85546875" customWidth="1"/>
    <col min="3" max="3" width="26.140625" customWidth="1"/>
    <col min="5" max="5" width="26.5703125" customWidth="1"/>
    <col min="7" max="7" width="11.85546875" customWidth="1"/>
    <col min="9" max="9" width="10.7109375" customWidth="1"/>
    <col min="10" max="12" width="10" customWidth="1"/>
    <col min="13" max="13" width="30.140625" bestFit="1" customWidth="1"/>
    <col min="14" max="14" width="21.85546875" bestFit="1" customWidth="1"/>
    <col min="15" max="15" width="10.7109375" customWidth="1"/>
    <col min="18" max="18" width="19.140625" bestFit="1" customWidth="1"/>
    <col min="19" max="22" width="14.28515625" customWidth="1"/>
    <col min="25" max="25" width="15.140625" customWidth="1"/>
    <col min="26" max="26" width="25.140625" bestFit="1" customWidth="1"/>
    <col min="27" max="27" width="22.42578125" customWidth="1"/>
  </cols>
  <sheetData>
    <row r="1" spans="1:29" ht="15" customHeight="1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</row>
    <row r="2" spans="1:29" ht="31.5" x14ac:dyDescent="0.25">
      <c r="A2" s="2">
        <v>1</v>
      </c>
      <c r="B2" s="3" t="s">
        <v>7</v>
      </c>
      <c r="C2" s="3" t="s">
        <v>8</v>
      </c>
      <c r="D2" s="4" t="s">
        <v>9</v>
      </c>
      <c r="E2" s="5" t="s">
        <v>10</v>
      </c>
      <c r="F2" s="6"/>
      <c r="G2" s="3">
        <v>3</v>
      </c>
      <c r="H2" s="7">
        <v>3</v>
      </c>
      <c r="I2" s="8">
        <v>2</v>
      </c>
      <c r="J2" s="9">
        <v>1</v>
      </c>
      <c r="K2" s="10"/>
      <c r="L2" s="11"/>
      <c r="M2" s="2" t="s">
        <v>11</v>
      </c>
      <c r="N2" s="6"/>
      <c r="O2" s="3">
        <v>0</v>
      </c>
      <c r="P2" s="3">
        <v>0</v>
      </c>
      <c r="Q2" s="6"/>
      <c r="R2" s="6"/>
      <c r="S2" s="12">
        <f t="shared" ref="S2:S54" si="0">I2*15</f>
        <v>30</v>
      </c>
      <c r="T2" s="13">
        <f t="shared" ref="T2:T54" si="1">IF(J2="",0,IF(M2="T",J2*15*2,IF(M2="N",J2*15*3,"fail")))</f>
        <v>30</v>
      </c>
      <c r="U2" s="10">
        <f t="shared" ref="U2:U54" si="2">K2*15</f>
        <v>0</v>
      </c>
      <c r="V2" s="11">
        <f t="shared" ref="V2:V47" si="3">IF(L2="",0,IF(M2="T",L2*15*2,L2*15*3))</f>
        <v>0</v>
      </c>
      <c r="W2" s="2">
        <f t="shared" ref="W2:W54" si="4">(I2*2+J2+K2*3+L2*3)*15</f>
        <v>75</v>
      </c>
      <c r="X2" s="2">
        <f t="shared" ref="X2:X54" si="5">H2*5</f>
        <v>15</v>
      </c>
      <c r="Y2" s="6"/>
      <c r="Z2" s="2">
        <v>1</v>
      </c>
      <c r="AA2" s="6"/>
      <c r="AB2" s="1"/>
      <c r="AC2" s="1"/>
    </row>
    <row r="3" spans="1:29" ht="31.5" x14ac:dyDescent="0.25">
      <c r="A3" s="2">
        <v>2</v>
      </c>
      <c r="B3" s="3" t="s">
        <v>7</v>
      </c>
      <c r="C3" s="3" t="s">
        <v>8</v>
      </c>
      <c r="D3" s="4" t="s">
        <v>12</v>
      </c>
      <c r="E3" s="5" t="s">
        <v>13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2"/>
      <c r="N3" s="6"/>
      <c r="O3" s="3">
        <v>1</v>
      </c>
      <c r="P3" s="3">
        <v>6</v>
      </c>
      <c r="Q3" s="6"/>
      <c r="R3" s="6"/>
      <c r="S3" s="12">
        <f t="shared" si="0"/>
        <v>30</v>
      </c>
      <c r="T3" s="13">
        <f t="shared" si="1"/>
        <v>0</v>
      </c>
      <c r="U3" s="10">
        <f t="shared" si="2"/>
        <v>0</v>
      </c>
      <c r="V3" s="11">
        <f t="shared" si="3"/>
        <v>0</v>
      </c>
      <c r="W3" s="2">
        <f t="shared" si="4"/>
        <v>60</v>
      </c>
      <c r="X3" s="2">
        <f t="shared" si="5"/>
        <v>10</v>
      </c>
      <c r="Y3" s="6"/>
      <c r="Z3" s="2">
        <v>1</v>
      </c>
      <c r="AA3" s="6"/>
      <c r="AB3" s="1"/>
      <c r="AC3" s="1"/>
    </row>
    <row r="4" spans="1:29" ht="31.5" x14ac:dyDescent="0.25">
      <c r="A4" s="2">
        <v>3</v>
      </c>
      <c r="B4" s="3" t="s">
        <v>7</v>
      </c>
      <c r="C4" s="3" t="s">
        <v>8</v>
      </c>
      <c r="D4" s="4" t="s">
        <v>14</v>
      </c>
      <c r="E4" s="5" t="s">
        <v>15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2"/>
      <c r="N4" s="6"/>
      <c r="O4" s="3">
        <v>1</v>
      </c>
      <c r="P4" s="3">
        <v>7</v>
      </c>
      <c r="Q4" s="6"/>
      <c r="R4" s="6"/>
      <c r="S4" s="12">
        <f t="shared" si="0"/>
        <v>30</v>
      </c>
      <c r="T4" s="13">
        <f t="shared" si="1"/>
        <v>0</v>
      </c>
      <c r="U4" s="10">
        <f t="shared" si="2"/>
        <v>0</v>
      </c>
      <c r="V4" s="11">
        <f t="shared" si="3"/>
        <v>0</v>
      </c>
      <c r="W4" s="2">
        <f t="shared" si="4"/>
        <v>60</v>
      </c>
      <c r="X4" s="2">
        <f t="shared" si="5"/>
        <v>10</v>
      </c>
      <c r="Y4" s="6"/>
      <c r="Z4" s="2">
        <v>1</v>
      </c>
      <c r="AA4" s="6"/>
      <c r="AB4" s="1"/>
      <c r="AC4" s="1"/>
    </row>
    <row r="5" spans="1:29" ht="31.5" x14ac:dyDescent="0.25">
      <c r="A5" s="2">
        <v>4</v>
      </c>
      <c r="B5" s="3" t="s">
        <v>7</v>
      </c>
      <c r="C5" s="3" t="s">
        <v>8</v>
      </c>
      <c r="D5" s="4" t="s">
        <v>16</v>
      </c>
      <c r="E5" s="5" t="s">
        <v>17</v>
      </c>
      <c r="F5" s="6"/>
      <c r="G5" s="3">
        <v>6</v>
      </c>
      <c r="H5" s="7">
        <v>3</v>
      </c>
      <c r="I5" s="8">
        <v>1</v>
      </c>
      <c r="J5" s="9">
        <v>2</v>
      </c>
      <c r="K5" s="10"/>
      <c r="L5" s="11"/>
      <c r="M5" s="2" t="s">
        <v>11</v>
      </c>
      <c r="N5" s="6"/>
      <c r="O5" s="3">
        <v>0</v>
      </c>
      <c r="P5" s="3">
        <v>0</v>
      </c>
      <c r="Q5" s="6"/>
      <c r="R5" s="6"/>
      <c r="S5" s="12">
        <f t="shared" si="0"/>
        <v>15</v>
      </c>
      <c r="T5" s="13">
        <f t="shared" si="1"/>
        <v>60</v>
      </c>
      <c r="U5" s="10">
        <f t="shared" si="2"/>
        <v>0</v>
      </c>
      <c r="V5" s="11">
        <f t="shared" si="3"/>
        <v>0</v>
      </c>
      <c r="W5" s="2">
        <f t="shared" si="4"/>
        <v>60</v>
      </c>
      <c r="X5" s="2">
        <f t="shared" si="5"/>
        <v>15</v>
      </c>
      <c r="Y5" s="6"/>
      <c r="Z5" s="2">
        <v>0</v>
      </c>
      <c r="AA5" s="6"/>
      <c r="AB5" s="1"/>
      <c r="AC5" s="1"/>
    </row>
    <row r="6" spans="1:29" ht="31.5" x14ac:dyDescent="0.25">
      <c r="A6" s="2">
        <v>5</v>
      </c>
      <c r="B6" s="3" t="s">
        <v>7</v>
      </c>
      <c r="C6" s="3" t="s">
        <v>8</v>
      </c>
      <c r="D6" s="4" t="s">
        <v>18</v>
      </c>
      <c r="E6" s="14" t="s">
        <v>19</v>
      </c>
      <c r="F6" s="6"/>
      <c r="G6" s="3">
        <v>2</v>
      </c>
      <c r="H6" s="7">
        <v>0</v>
      </c>
      <c r="I6" s="8"/>
      <c r="J6" s="9"/>
      <c r="K6" s="10"/>
      <c r="L6" s="11"/>
      <c r="M6" s="2"/>
      <c r="N6" s="6"/>
      <c r="O6" s="3">
        <v>0</v>
      </c>
      <c r="P6" s="3">
        <v>0</v>
      </c>
      <c r="Q6" s="6"/>
      <c r="R6" s="6"/>
      <c r="S6" s="12">
        <f t="shared" si="0"/>
        <v>0</v>
      </c>
      <c r="T6" s="13">
        <f t="shared" si="1"/>
        <v>0</v>
      </c>
      <c r="U6" s="10">
        <f t="shared" si="2"/>
        <v>0</v>
      </c>
      <c r="V6" s="11">
        <f t="shared" si="3"/>
        <v>0</v>
      </c>
      <c r="W6" s="2">
        <f t="shared" si="4"/>
        <v>0</v>
      </c>
      <c r="X6" s="2">
        <f t="shared" si="5"/>
        <v>0</v>
      </c>
      <c r="Y6" s="6"/>
      <c r="Z6" s="2">
        <v>0</v>
      </c>
      <c r="AA6" s="6"/>
      <c r="AB6" s="1"/>
      <c r="AC6" s="1"/>
    </row>
    <row r="7" spans="1:29" ht="31.5" x14ac:dyDescent="0.25">
      <c r="A7" s="2">
        <v>6</v>
      </c>
      <c r="B7" s="3" t="s">
        <v>7</v>
      </c>
      <c r="C7" s="3" t="s">
        <v>8</v>
      </c>
      <c r="D7" s="4" t="s">
        <v>20</v>
      </c>
      <c r="E7" s="5" t="s">
        <v>21</v>
      </c>
      <c r="F7" s="6"/>
      <c r="G7" s="3">
        <v>2</v>
      </c>
      <c r="H7" s="7">
        <v>2</v>
      </c>
      <c r="I7" s="8">
        <v>2</v>
      </c>
      <c r="J7" s="9"/>
      <c r="K7" s="10"/>
      <c r="L7" s="11"/>
      <c r="M7" s="2"/>
      <c r="N7" s="6"/>
      <c r="O7" s="3">
        <v>0</v>
      </c>
      <c r="P7" s="3">
        <v>0</v>
      </c>
      <c r="Q7" s="6"/>
      <c r="R7" s="6"/>
      <c r="S7" s="12">
        <f t="shared" si="0"/>
        <v>30</v>
      </c>
      <c r="T7" s="13">
        <f t="shared" si="1"/>
        <v>0</v>
      </c>
      <c r="U7" s="10">
        <f t="shared" si="2"/>
        <v>0</v>
      </c>
      <c r="V7" s="11">
        <f t="shared" si="3"/>
        <v>0</v>
      </c>
      <c r="W7" s="2">
        <f t="shared" si="4"/>
        <v>60</v>
      </c>
      <c r="X7" s="2">
        <f t="shared" si="5"/>
        <v>10</v>
      </c>
      <c r="Y7" s="6"/>
      <c r="Z7" s="2">
        <v>1</v>
      </c>
      <c r="AA7" s="6"/>
      <c r="AB7" s="1"/>
      <c r="AC7" s="1"/>
    </row>
    <row r="8" spans="1:29" ht="31.5" x14ac:dyDescent="0.25">
      <c r="A8" s="2">
        <v>7</v>
      </c>
      <c r="B8" s="3" t="s">
        <v>7</v>
      </c>
      <c r="C8" s="3" t="s">
        <v>8</v>
      </c>
      <c r="D8" s="4" t="s">
        <v>22</v>
      </c>
      <c r="E8" s="5" t="s">
        <v>23</v>
      </c>
      <c r="F8" s="6"/>
      <c r="G8" s="3">
        <v>1</v>
      </c>
      <c r="H8" s="7">
        <v>2</v>
      </c>
      <c r="I8" s="8">
        <v>2</v>
      </c>
      <c r="J8" s="9"/>
      <c r="K8" s="10"/>
      <c r="L8" s="11"/>
      <c r="M8" s="2"/>
      <c r="N8" s="6"/>
      <c r="O8" s="3">
        <v>1</v>
      </c>
      <c r="P8" s="3">
        <v>1</v>
      </c>
      <c r="Q8" s="6"/>
      <c r="R8" s="6"/>
      <c r="S8" s="12">
        <f t="shared" si="0"/>
        <v>30</v>
      </c>
      <c r="T8" s="13">
        <f t="shared" si="1"/>
        <v>0</v>
      </c>
      <c r="U8" s="10">
        <f t="shared" si="2"/>
        <v>0</v>
      </c>
      <c r="V8" s="11">
        <f t="shared" si="3"/>
        <v>0</v>
      </c>
      <c r="W8" s="2">
        <f t="shared" si="4"/>
        <v>60</v>
      </c>
      <c r="X8" s="2">
        <f t="shared" si="5"/>
        <v>10</v>
      </c>
      <c r="Y8" s="6"/>
      <c r="Z8" s="2">
        <v>1</v>
      </c>
      <c r="AA8" s="6"/>
      <c r="AB8" s="1"/>
      <c r="AC8" s="1"/>
    </row>
    <row r="9" spans="1:29" ht="31.5" x14ac:dyDescent="0.25">
      <c r="A9" s="2">
        <v>8</v>
      </c>
      <c r="B9" s="3" t="s">
        <v>7</v>
      </c>
      <c r="C9" s="3" t="s">
        <v>8</v>
      </c>
      <c r="D9" s="4" t="s">
        <v>24</v>
      </c>
      <c r="E9" s="5" t="s">
        <v>25</v>
      </c>
      <c r="F9" s="6"/>
      <c r="G9" s="3">
        <v>3</v>
      </c>
      <c r="H9" s="7">
        <v>2</v>
      </c>
      <c r="I9" s="8">
        <v>2</v>
      </c>
      <c r="J9" s="9"/>
      <c r="K9" s="10"/>
      <c r="L9" s="11"/>
      <c r="M9" s="2"/>
      <c r="N9" s="6"/>
      <c r="O9" s="3">
        <v>0</v>
      </c>
      <c r="P9" s="3">
        <v>0</v>
      </c>
      <c r="Q9" s="6"/>
      <c r="R9" s="6"/>
      <c r="S9" s="12">
        <f t="shared" si="0"/>
        <v>30</v>
      </c>
      <c r="T9" s="13">
        <f t="shared" si="1"/>
        <v>0</v>
      </c>
      <c r="U9" s="10">
        <f t="shared" si="2"/>
        <v>0</v>
      </c>
      <c r="V9" s="11">
        <f t="shared" si="3"/>
        <v>0</v>
      </c>
      <c r="W9" s="2">
        <f t="shared" si="4"/>
        <v>60</v>
      </c>
      <c r="X9" s="2">
        <f t="shared" si="5"/>
        <v>10</v>
      </c>
      <c r="Y9" s="6"/>
      <c r="Z9" s="2">
        <v>1</v>
      </c>
      <c r="AA9" s="6"/>
      <c r="AB9" s="1"/>
      <c r="AC9" s="1"/>
    </row>
    <row r="10" spans="1:29" ht="31.5" x14ac:dyDescent="0.25">
      <c r="A10" s="2">
        <v>9</v>
      </c>
      <c r="B10" s="3" t="s">
        <v>7</v>
      </c>
      <c r="C10" s="3" t="s">
        <v>8</v>
      </c>
      <c r="D10" s="4" t="s">
        <v>26</v>
      </c>
      <c r="E10" s="5" t="s">
        <v>27</v>
      </c>
      <c r="F10" s="6"/>
      <c r="G10" s="3">
        <v>4</v>
      </c>
      <c r="H10" s="7">
        <v>2</v>
      </c>
      <c r="I10" s="8">
        <v>2</v>
      </c>
      <c r="J10" s="9"/>
      <c r="K10" s="10"/>
      <c r="L10" s="11"/>
      <c r="M10" s="2"/>
      <c r="N10" s="6"/>
      <c r="O10" s="3">
        <v>0</v>
      </c>
      <c r="P10" s="3">
        <v>0</v>
      </c>
      <c r="Q10" s="6"/>
      <c r="R10" s="6"/>
      <c r="S10" s="12">
        <f t="shared" si="0"/>
        <v>30</v>
      </c>
      <c r="T10" s="13">
        <f t="shared" si="1"/>
        <v>0</v>
      </c>
      <c r="U10" s="10">
        <f t="shared" si="2"/>
        <v>0</v>
      </c>
      <c r="V10" s="11">
        <f t="shared" si="3"/>
        <v>0</v>
      </c>
      <c r="W10" s="2">
        <f t="shared" si="4"/>
        <v>60</v>
      </c>
      <c r="X10" s="2">
        <f t="shared" si="5"/>
        <v>10</v>
      </c>
      <c r="Y10" s="6"/>
      <c r="Z10" s="2">
        <v>1</v>
      </c>
      <c r="AA10" s="6"/>
      <c r="AB10" s="1"/>
      <c r="AC10" s="1"/>
    </row>
    <row r="11" spans="1:29" ht="31.5" x14ac:dyDescent="0.25">
      <c r="A11" s="2">
        <v>10</v>
      </c>
      <c r="B11" s="3" t="s">
        <v>7</v>
      </c>
      <c r="C11" s="3" t="s">
        <v>8</v>
      </c>
      <c r="D11" s="4" t="s">
        <v>28</v>
      </c>
      <c r="E11" s="5" t="s">
        <v>29</v>
      </c>
      <c r="F11" s="6"/>
      <c r="G11" s="3">
        <v>4</v>
      </c>
      <c r="H11" s="7">
        <v>2</v>
      </c>
      <c r="I11" s="8">
        <v>2</v>
      </c>
      <c r="J11" s="9"/>
      <c r="K11" s="10"/>
      <c r="L11" s="11"/>
      <c r="M11" s="2"/>
      <c r="N11" s="6"/>
      <c r="O11" s="3">
        <v>0</v>
      </c>
      <c r="P11" s="3">
        <v>0</v>
      </c>
      <c r="Q11" s="6"/>
      <c r="R11" s="6"/>
      <c r="S11" s="12">
        <f t="shared" si="0"/>
        <v>30</v>
      </c>
      <c r="T11" s="13">
        <f t="shared" si="1"/>
        <v>0</v>
      </c>
      <c r="U11" s="10">
        <f t="shared" si="2"/>
        <v>0</v>
      </c>
      <c r="V11" s="11">
        <f t="shared" si="3"/>
        <v>0</v>
      </c>
      <c r="W11" s="2">
        <f t="shared" si="4"/>
        <v>60</v>
      </c>
      <c r="X11" s="2">
        <f t="shared" si="5"/>
        <v>10</v>
      </c>
      <c r="Y11" s="6"/>
      <c r="Z11" s="2">
        <v>1</v>
      </c>
      <c r="AA11" s="6"/>
      <c r="AB11" s="1"/>
      <c r="AC11" s="1"/>
    </row>
    <row r="12" spans="1:29" ht="31.5" x14ac:dyDescent="0.25">
      <c r="A12" s="2">
        <v>11</v>
      </c>
      <c r="B12" s="3" t="s">
        <v>7</v>
      </c>
      <c r="C12" s="3" t="s">
        <v>8</v>
      </c>
      <c r="D12" s="4" t="s">
        <v>30</v>
      </c>
      <c r="E12" s="5" t="s">
        <v>31</v>
      </c>
      <c r="F12" s="6"/>
      <c r="G12" s="3">
        <v>1</v>
      </c>
      <c r="H12" s="7">
        <v>3</v>
      </c>
      <c r="I12" s="8">
        <v>3</v>
      </c>
      <c r="J12" s="9"/>
      <c r="K12" s="10"/>
      <c r="L12" s="11"/>
      <c r="M12" s="2"/>
      <c r="N12" s="6"/>
      <c r="O12" s="3">
        <v>1</v>
      </c>
      <c r="P12" s="3">
        <v>4</v>
      </c>
      <c r="Q12" s="6"/>
      <c r="R12" s="6"/>
      <c r="S12" s="12">
        <f t="shared" si="0"/>
        <v>45</v>
      </c>
      <c r="T12" s="13">
        <f t="shared" si="1"/>
        <v>0</v>
      </c>
      <c r="U12" s="10">
        <f t="shared" si="2"/>
        <v>0</v>
      </c>
      <c r="V12" s="11">
        <f t="shared" si="3"/>
        <v>0</v>
      </c>
      <c r="W12" s="2">
        <f t="shared" si="4"/>
        <v>90</v>
      </c>
      <c r="X12" s="2">
        <f t="shared" si="5"/>
        <v>15</v>
      </c>
      <c r="Y12" s="6"/>
      <c r="Z12" s="2">
        <v>1</v>
      </c>
      <c r="AA12" s="6"/>
      <c r="AB12" s="1"/>
      <c r="AC12" s="1"/>
    </row>
    <row r="13" spans="1:29" ht="31.5" x14ac:dyDescent="0.25">
      <c r="A13" s="2">
        <v>12</v>
      </c>
      <c r="B13" s="3" t="s">
        <v>7</v>
      </c>
      <c r="C13" s="3" t="s">
        <v>8</v>
      </c>
      <c r="D13" s="4" t="s">
        <v>32</v>
      </c>
      <c r="E13" s="5" t="s">
        <v>33</v>
      </c>
      <c r="F13" s="6"/>
      <c r="G13" s="3">
        <v>2</v>
      </c>
      <c r="H13" s="7">
        <v>3</v>
      </c>
      <c r="I13" s="8">
        <v>2</v>
      </c>
      <c r="J13" s="9">
        <v>1</v>
      </c>
      <c r="K13" s="10"/>
      <c r="L13" s="11"/>
      <c r="M13" s="2" t="s">
        <v>11</v>
      </c>
      <c r="N13" s="6"/>
      <c r="O13" s="3">
        <v>1</v>
      </c>
      <c r="P13" s="3">
        <v>5</v>
      </c>
      <c r="Q13" s="6"/>
      <c r="R13" s="6"/>
      <c r="S13" s="12">
        <f t="shared" si="0"/>
        <v>30</v>
      </c>
      <c r="T13" s="13">
        <f t="shared" si="1"/>
        <v>30</v>
      </c>
      <c r="U13" s="10">
        <f t="shared" si="2"/>
        <v>0</v>
      </c>
      <c r="V13" s="11">
        <f t="shared" si="3"/>
        <v>0</v>
      </c>
      <c r="W13" s="2">
        <f t="shared" si="4"/>
        <v>75</v>
      </c>
      <c r="X13" s="2">
        <f t="shared" si="5"/>
        <v>15</v>
      </c>
      <c r="Y13" s="6"/>
      <c r="Z13" s="2">
        <v>1</v>
      </c>
      <c r="AA13" s="6"/>
      <c r="AB13" s="1"/>
      <c r="AC13" s="1"/>
    </row>
    <row r="14" spans="1:29" ht="31.5" x14ac:dyDescent="0.25">
      <c r="A14" s="2">
        <v>13</v>
      </c>
      <c r="B14" s="3" t="s">
        <v>7</v>
      </c>
      <c r="C14" s="3" t="s">
        <v>8</v>
      </c>
      <c r="D14" s="4" t="s">
        <v>34</v>
      </c>
      <c r="E14" s="5" t="s">
        <v>35</v>
      </c>
      <c r="F14" s="6"/>
      <c r="G14" s="3">
        <v>3</v>
      </c>
      <c r="H14" s="7">
        <v>3</v>
      </c>
      <c r="I14" s="8">
        <v>2</v>
      </c>
      <c r="J14" s="9">
        <v>1</v>
      </c>
      <c r="K14" s="10"/>
      <c r="L14" s="11"/>
      <c r="M14" s="2" t="s">
        <v>11</v>
      </c>
      <c r="N14" s="6"/>
      <c r="O14" s="3">
        <v>1</v>
      </c>
      <c r="P14" s="3">
        <v>3</v>
      </c>
      <c r="Q14" s="6"/>
      <c r="R14" s="6"/>
      <c r="S14" s="12">
        <f t="shared" si="0"/>
        <v>30</v>
      </c>
      <c r="T14" s="13">
        <f t="shared" si="1"/>
        <v>30</v>
      </c>
      <c r="U14" s="10">
        <f t="shared" si="2"/>
        <v>0</v>
      </c>
      <c r="V14" s="11">
        <f t="shared" si="3"/>
        <v>0</v>
      </c>
      <c r="W14" s="2">
        <f t="shared" si="4"/>
        <v>75</v>
      </c>
      <c r="X14" s="2">
        <f t="shared" si="5"/>
        <v>15</v>
      </c>
      <c r="Y14" s="6"/>
      <c r="Z14" s="2">
        <v>1</v>
      </c>
      <c r="AA14" s="6"/>
      <c r="AB14" s="1"/>
      <c r="AC14" s="1"/>
    </row>
    <row r="15" spans="1:29" ht="31.5" x14ac:dyDescent="0.25">
      <c r="A15" s="2">
        <v>14</v>
      </c>
      <c r="B15" s="3" t="s">
        <v>36</v>
      </c>
      <c r="C15" s="3" t="s">
        <v>8</v>
      </c>
      <c r="D15" s="4" t="s">
        <v>37</v>
      </c>
      <c r="E15" s="5" t="s">
        <v>38</v>
      </c>
      <c r="F15" s="6"/>
      <c r="G15" s="3">
        <v>2</v>
      </c>
      <c r="H15" s="7">
        <v>2</v>
      </c>
      <c r="I15" s="8">
        <v>2</v>
      </c>
      <c r="J15" s="9"/>
      <c r="K15" s="10"/>
      <c r="L15" s="11"/>
      <c r="M15" s="2"/>
      <c r="N15" s="6"/>
      <c r="O15" s="3">
        <v>1</v>
      </c>
      <c r="P15" s="3">
        <v>0</v>
      </c>
      <c r="Q15" s="6"/>
      <c r="R15" s="6"/>
      <c r="S15" s="12">
        <f t="shared" si="0"/>
        <v>30</v>
      </c>
      <c r="T15" s="13">
        <f t="shared" si="1"/>
        <v>0</v>
      </c>
      <c r="U15" s="10">
        <f t="shared" si="2"/>
        <v>0</v>
      </c>
      <c r="V15" s="11">
        <f t="shared" si="3"/>
        <v>0</v>
      </c>
      <c r="W15" s="2">
        <f t="shared" si="4"/>
        <v>60</v>
      </c>
      <c r="X15" s="2">
        <f t="shared" si="5"/>
        <v>10</v>
      </c>
      <c r="Y15" s="6"/>
      <c r="Z15" s="2">
        <v>1</v>
      </c>
      <c r="AA15" s="6"/>
      <c r="AB15" s="1"/>
      <c r="AC15" s="1"/>
    </row>
    <row r="16" spans="1:29" ht="31.5" x14ac:dyDescent="0.25">
      <c r="A16" s="2">
        <v>15</v>
      </c>
      <c r="B16" s="3" t="s">
        <v>36</v>
      </c>
      <c r="C16" s="3" t="s">
        <v>8</v>
      </c>
      <c r="D16" s="4" t="s">
        <v>39</v>
      </c>
      <c r="E16" s="5" t="s">
        <v>40</v>
      </c>
      <c r="F16" s="6"/>
      <c r="G16" s="3">
        <v>2</v>
      </c>
      <c r="H16" s="7">
        <v>2</v>
      </c>
      <c r="I16" s="8">
        <v>2</v>
      </c>
      <c r="J16" s="9"/>
      <c r="K16" s="10"/>
      <c r="L16" s="11"/>
      <c r="M16" s="2"/>
      <c r="N16" s="6"/>
      <c r="O16" s="3">
        <v>0</v>
      </c>
      <c r="P16" s="3">
        <v>0</v>
      </c>
      <c r="Q16" s="6"/>
      <c r="R16" s="6"/>
      <c r="S16" s="12">
        <f t="shared" si="0"/>
        <v>30</v>
      </c>
      <c r="T16" s="13">
        <f t="shared" si="1"/>
        <v>0</v>
      </c>
      <c r="U16" s="10">
        <f t="shared" si="2"/>
        <v>0</v>
      </c>
      <c r="V16" s="11">
        <f t="shared" si="3"/>
        <v>0</v>
      </c>
      <c r="W16" s="2">
        <f t="shared" si="4"/>
        <v>60</v>
      </c>
      <c r="X16" s="2">
        <f t="shared" si="5"/>
        <v>10</v>
      </c>
      <c r="Y16" s="6"/>
      <c r="Z16" s="2">
        <v>1</v>
      </c>
      <c r="AA16" s="6"/>
      <c r="AB16" s="1"/>
      <c r="AC16" s="1"/>
    </row>
    <row r="17" spans="1:29" ht="31.5" x14ac:dyDescent="0.25">
      <c r="A17" s="2">
        <v>16</v>
      </c>
      <c r="B17" s="3" t="s">
        <v>36</v>
      </c>
      <c r="C17" s="3" t="s">
        <v>8</v>
      </c>
      <c r="D17" s="4" t="s">
        <v>41</v>
      </c>
      <c r="E17" s="5" t="s">
        <v>42</v>
      </c>
      <c r="F17" s="6"/>
      <c r="G17" s="3">
        <v>3</v>
      </c>
      <c r="H17" s="7">
        <v>2</v>
      </c>
      <c r="I17" s="8">
        <v>2</v>
      </c>
      <c r="J17" s="9"/>
      <c r="K17" s="10"/>
      <c r="L17" s="11"/>
      <c r="M17" s="2"/>
      <c r="N17" s="6"/>
      <c r="O17" s="3">
        <v>0</v>
      </c>
      <c r="P17" s="3">
        <v>0</v>
      </c>
      <c r="Q17" s="6"/>
      <c r="R17" s="6"/>
      <c r="S17" s="12">
        <f t="shared" si="0"/>
        <v>30</v>
      </c>
      <c r="T17" s="13">
        <f t="shared" si="1"/>
        <v>0</v>
      </c>
      <c r="U17" s="10">
        <f t="shared" si="2"/>
        <v>0</v>
      </c>
      <c r="V17" s="11">
        <f t="shared" si="3"/>
        <v>0</v>
      </c>
      <c r="W17" s="2">
        <f t="shared" si="4"/>
        <v>60</v>
      </c>
      <c r="X17" s="2">
        <f t="shared" si="5"/>
        <v>10</v>
      </c>
      <c r="Y17" s="6"/>
      <c r="Z17" s="2">
        <v>1</v>
      </c>
      <c r="AA17" s="6"/>
      <c r="AB17" s="1"/>
      <c r="AC17" s="1"/>
    </row>
    <row r="18" spans="1:29" ht="31.5" x14ac:dyDescent="0.25">
      <c r="A18" s="2">
        <v>17</v>
      </c>
      <c r="B18" s="3" t="s">
        <v>36</v>
      </c>
      <c r="C18" s="3" t="s">
        <v>8</v>
      </c>
      <c r="D18" s="4" t="s">
        <v>43</v>
      </c>
      <c r="E18" s="5" t="s">
        <v>44</v>
      </c>
      <c r="F18" s="6"/>
      <c r="G18" s="3">
        <v>1</v>
      </c>
      <c r="H18" s="7">
        <v>2</v>
      </c>
      <c r="I18" s="8">
        <v>2</v>
      </c>
      <c r="J18" s="9"/>
      <c r="K18" s="10"/>
      <c r="L18" s="11"/>
      <c r="M18" s="2"/>
      <c r="N18" s="6"/>
      <c r="O18" s="3">
        <v>1</v>
      </c>
      <c r="P18" s="3">
        <v>0</v>
      </c>
      <c r="Q18" s="6"/>
      <c r="R18" s="6"/>
      <c r="S18" s="12">
        <f t="shared" si="0"/>
        <v>30</v>
      </c>
      <c r="T18" s="13">
        <f t="shared" si="1"/>
        <v>0</v>
      </c>
      <c r="U18" s="10">
        <f t="shared" si="2"/>
        <v>0</v>
      </c>
      <c r="V18" s="11">
        <f t="shared" si="3"/>
        <v>0</v>
      </c>
      <c r="W18" s="2">
        <f t="shared" si="4"/>
        <v>60</v>
      </c>
      <c r="X18" s="2">
        <f t="shared" si="5"/>
        <v>10</v>
      </c>
      <c r="Y18" s="6"/>
      <c r="Z18" s="2">
        <v>1</v>
      </c>
      <c r="AA18" s="6"/>
      <c r="AB18" s="1"/>
      <c r="AC18" s="1"/>
    </row>
    <row r="19" spans="1:29" ht="15.75" x14ac:dyDescent="0.25">
      <c r="A19" s="2">
        <v>18</v>
      </c>
      <c r="B19" s="3" t="s">
        <v>45</v>
      </c>
      <c r="C19" s="3" t="s">
        <v>46</v>
      </c>
      <c r="D19" s="4" t="s">
        <v>47</v>
      </c>
      <c r="E19" s="5" t="s">
        <v>48</v>
      </c>
      <c r="F19" s="6"/>
      <c r="G19" s="3">
        <v>2</v>
      </c>
      <c r="H19" s="7">
        <v>3</v>
      </c>
      <c r="I19" s="8">
        <v>3</v>
      </c>
      <c r="J19" s="9"/>
      <c r="K19" s="10"/>
      <c r="L19" s="11"/>
      <c r="M19" s="2"/>
      <c r="N19" s="6"/>
      <c r="O19" s="3">
        <v>0</v>
      </c>
      <c r="P19" s="3">
        <v>0</v>
      </c>
      <c r="Q19" s="6"/>
      <c r="R19" s="6"/>
      <c r="S19" s="12">
        <f t="shared" si="0"/>
        <v>45</v>
      </c>
      <c r="T19" s="13">
        <f t="shared" si="1"/>
        <v>0</v>
      </c>
      <c r="U19" s="10">
        <f t="shared" si="2"/>
        <v>0</v>
      </c>
      <c r="V19" s="11">
        <f t="shared" si="3"/>
        <v>0</v>
      </c>
      <c r="W19" s="2">
        <f t="shared" si="4"/>
        <v>90</v>
      </c>
      <c r="X19" s="2">
        <f t="shared" si="5"/>
        <v>15</v>
      </c>
      <c r="Y19" s="6"/>
      <c r="Z19" s="2">
        <v>1</v>
      </c>
      <c r="AA19" s="6"/>
      <c r="AB19" s="1"/>
      <c r="AC19" s="1"/>
    </row>
    <row r="20" spans="1:29" ht="15.75" x14ac:dyDescent="0.25">
      <c r="A20" s="2">
        <v>19</v>
      </c>
      <c r="B20" s="3" t="s">
        <v>45</v>
      </c>
      <c r="C20" s="3" t="s">
        <v>46</v>
      </c>
      <c r="D20" s="4" t="s">
        <v>49</v>
      </c>
      <c r="E20" s="5" t="s">
        <v>50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2"/>
      <c r="N20" s="6"/>
      <c r="O20" s="3">
        <v>0</v>
      </c>
      <c r="P20" s="3">
        <v>0</v>
      </c>
      <c r="Q20" s="6"/>
      <c r="R20" s="6"/>
      <c r="S20" s="12">
        <f t="shared" si="0"/>
        <v>45</v>
      </c>
      <c r="T20" s="13">
        <f t="shared" si="1"/>
        <v>0</v>
      </c>
      <c r="U20" s="10">
        <f t="shared" si="2"/>
        <v>0</v>
      </c>
      <c r="V20" s="11">
        <f t="shared" si="3"/>
        <v>0</v>
      </c>
      <c r="W20" s="2">
        <f t="shared" si="4"/>
        <v>90</v>
      </c>
      <c r="X20" s="2">
        <f t="shared" si="5"/>
        <v>15</v>
      </c>
      <c r="Y20" s="6"/>
      <c r="Z20" s="2">
        <v>1</v>
      </c>
      <c r="AA20" s="6"/>
      <c r="AB20" s="1"/>
      <c r="AC20" s="1"/>
    </row>
    <row r="21" spans="1:29" ht="15.75" x14ac:dyDescent="0.25">
      <c r="A21" s="2">
        <v>20</v>
      </c>
      <c r="B21" s="3" t="s">
        <v>45</v>
      </c>
      <c r="C21" s="3" t="s">
        <v>46</v>
      </c>
      <c r="D21" s="4" t="s">
        <v>51</v>
      </c>
      <c r="E21" s="5" t="s">
        <v>52</v>
      </c>
      <c r="F21" s="6"/>
      <c r="G21" s="3">
        <v>3</v>
      </c>
      <c r="H21" s="7">
        <v>3</v>
      </c>
      <c r="I21" s="8">
        <v>3</v>
      </c>
      <c r="J21" s="9"/>
      <c r="K21" s="10"/>
      <c r="L21" s="11"/>
      <c r="M21" s="2"/>
      <c r="N21" s="6"/>
      <c r="O21" s="3">
        <v>0</v>
      </c>
      <c r="P21" s="3">
        <v>0</v>
      </c>
      <c r="Q21" s="6"/>
      <c r="R21" s="6"/>
      <c r="S21" s="12">
        <f t="shared" si="0"/>
        <v>45</v>
      </c>
      <c r="T21" s="13">
        <f t="shared" si="1"/>
        <v>0</v>
      </c>
      <c r="U21" s="10">
        <f t="shared" si="2"/>
        <v>0</v>
      </c>
      <c r="V21" s="11">
        <f t="shared" si="3"/>
        <v>0</v>
      </c>
      <c r="W21" s="2">
        <f t="shared" si="4"/>
        <v>90</v>
      </c>
      <c r="X21" s="2">
        <f t="shared" si="5"/>
        <v>15</v>
      </c>
      <c r="Y21" s="6"/>
      <c r="Z21" s="2">
        <v>1</v>
      </c>
      <c r="AA21" s="6"/>
      <c r="AB21" s="1"/>
      <c r="AC21" s="1"/>
    </row>
    <row r="22" spans="1:29" ht="15.75" x14ac:dyDescent="0.25">
      <c r="A22" s="2">
        <v>21</v>
      </c>
      <c r="B22" s="3" t="s">
        <v>45</v>
      </c>
      <c r="C22" s="3" t="s">
        <v>46</v>
      </c>
      <c r="D22" s="4" t="s">
        <v>53</v>
      </c>
      <c r="E22" s="5" t="s">
        <v>54</v>
      </c>
      <c r="F22" s="6"/>
      <c r="G22" s="3">
        <v>3</v>
      </c>
      <c r="H22" s="7">
        <v>3</v>
      </c>
      <c r="I22" s="8">
        <v>3</v>
      </c>
      <c r="J22" s="9"/>
      <c r="K22" s="10"/>
      <c r="L22" s="11"/>
      <c r="M22" s="2"/>
      <c r="N22" s="6"/>
      <c r="O22" s="3">
        <v>0</v>
      </c>
      <c r="P22" s="3">
        <v>0</v>
      </c>
      <c r="Q22" s="6"/>
      <c r="R22" s="6"/>
      <c r="S22" s="12">
        <f t="shared" si="0"/>
        <v>45</v>
      </c>
      <c r="T22" s="13">
        <f t="shared" si="1"/>
        <v>0</v>
      </c>
      <c r="U22" s="10">
        <f t="shared" si="2"/>
        <v>0</v>
      </c>
      <c r="V22" s="11">
        <f t="shared" si="3"/>
        <v>0</v>
      </c>
      <c r="W22" s="2">
        <f t="shared" si="4"/>
        <v>90</v>
      </c>
      <c r="X22" s="2">
        <f t="shared" si="5"/>
        <v>15</v>
      </c>
      <c r="Y22" s="6"/>
      <c r="Z22" s="2">
        <v>1</v>
      </c>
      <c r="AA22" s="6"/>
      <c r="AB22" s="1"/>
      <c r="AC22" s="1"/>
    </row>
    <row r="23" spans="1:29" ht="15.75" x14ac:dyDescent="0.25">
      <c r="A23" s="2">
        <v>22</v>
      </c>
      <c r="B23" s="3" t="s">
        <v>45</v>
      </c>
      <c r="C23" s="3" t="s">
        <v>46</v>
      </c>
      <c r="D23" s="4" t="s">
        <v>55</v>
      </c>
      <c r="E23" s="5" t="s">
        <v>56</v>
      </c>
      <c r="F23" s="6"/>
      <c r="G23" s="3">
        <v>3</v>
      </c>
      <c r="H23" s="7">
        <v>2</v>
      </c>
      <c r="I23" s="8">
        <v>2</v>
      </c>
      <c r="J23" s="9"/>
      <c r="K23" s="10"/>
      <c r="L23" s="11"/>
      <c r="M23" s="2"/>
      <c r="N23" s="6"/>
      <c r="O23" s="3">
        <v>0</v>
      </c>
      <c r="P23" s="3">
        <v>0</v>
      </c>
      <c r="Q23" s="6"/>
      <c r="R23" s="6"/>
      <c r="S23" s="12">
        <f t="shared" si="0"/>
        <v>30</v>
      </c>
      <c r="T23" s="13">
        <f t="shared" si="1"/>
        <v>0</v>
      </c>
      <c r="U23" s="10">
        <f t="shared" si="2"/>
        <v>0</v>
      </c>
      <c r="V23" s="11">
        <f t="shared" si="3"/>
        <v>0</v>
      </c>
      <c r="W23" s="2">
        <f t="shared" si="4"/>
        <v>60</v>
      </c>
      <c r="X23" s="2">
        <f t="shared" si="5"/>
        <v>10</v>
      </c>
      <c r="Y23" s="6"/>
      <c r="Z23" s="2">
        <v>1</v>
      </c>
      <c r="AA23" s="6"/>
      <c r="AB23" s="1"/>
      <c r="AC23" s="1"/>
    </row>
    <row r="24" spans="1:29" ht="15.75" x14ac:dyDescent="0.25">
      <c r="A24" s="2">
        <v>23</v>
      </c>
      <c r="B24" s="3" t="s">
        <v>45</v>
      </c>
      <c r="C24" s="3" t="s">
        <v>46</v>
      </c>
      <c r="D24" s="4" t="s">
        <v>57</v>
      </c>
      <c r="E24" s="5" t="s">
        <v>58</v>
      </c>
      <c r="F24" s="6"/>
      <c r="G24" s="3">
        <v>3</v>
      </c>
      <c r="H24" s="7">
        <v>3</v>
      </c>
      <c r="I24" s="8">
        <v>3</v>
      </c>
      <c r="J24" s="9"/>
      <c r="K24" s="10"/>
      <c r="L24" s="11"/>
      <c r="M24" s="2"/>
      <c r="N24" s="6"/>
      <c r="O24" s="3">
        <v>0</v>
      </c>
      <c r="P24" s="3">
        <v>0</v>
      </c>
      <c r="Q24" s="6"/>
      <c r="R24" s="6"/>
      <c r="S24" s="12">
        <f t="shared" si="0"/>
        <v>45</v>
      </c>
      <c r="T24" s="13">
        <f t="shared" si="1"/>
        <v>0</v>
      </c>
      <c r="U24" s="10">
        <f t="shared" si="2"/>
        <v>0</v>
      </c>
      <c r="V24" s="11">
        <f t="shared" si="3"/>
        <v>0</v>
      </c>
      <c r="W24" s="2">
        <f t="shared" si="4"/>
        <v>90</v>
      </c>
      <c r="X24" s="2">
        <f t="shared" si="5"/>
        <v>15</v>
      </c>
      <c r="Y24" s="6"/>
      <c r="Z24" s="2">
        <v>1</v>
      </c>
      <c r="AA24" s="6"/>
      <c r="AB24" s="1"/>
      <c r="AC24" s="1"/>
    </row>
    <row r="25" spans="1:29" ht="15.75" x14ac:dyDescent="0.25">
      <c r="A25" s="2">
        <v>24</v>
      </c>
      <c r="B25" s="3" t="s">
        <v>45</v>
      </c>
      <c r="C25" s="3" t="s">
        <v>46</v>
      </c>
      <c r="D25" s="4" t="s">
        <v>59</v>
      </c>
      <c r="E25" s="5" t="s">
        <v>60</v>
      </c>
      <c r="F25" s="6"/>
      <c r="G25" s="3">
        <v>4</v>
      </c>
      <c r="H25" s="7">
        <v>4</v>
      </c>
      <c r="I25" s="8">
        <v>4</v>
      </c>
      <c r="J25" s="9"/>
      <c r="K25" s="10"/>
      <c r="L25" s="11"/>
      <c r="M25" s="2"/>
      <c r="N25" s="6"/>
      <c r="O25" s="3">
        <v>0</v>
      </c>
      <c r="P25" s="3">
        <v>0</v>
      </c>
      <c r="Q25" s="6"/>
      <c r="R25" s="6"/>
      <c r="S25" s="12">
        <f t="shared" si="0"/>
        <v>60</v>
      </c>
      <c r="T25" s="13">
        <f t="shared" si="1"/>
        <v>0</v>
      </c>
      <c r="U25" s="10">
        <f t="shared" si="2"/>
        <v>0</v>
      </c>
      <c r="V25" s="11">
        <f t="shared" si="3"/>
        <v>0</v>
      </c>
      <c r="W25" s="2">
        <f t="shared" si="4"/>
        <v>120</v>
      </c>
      <c r="X25" s="2">
        <f t="shared" si="5"/>
        <v>20</v>
      </c>
      <c r="Y25" s="6"/>
      <c r="Z25" s="2">
        <v>1</v>
      </c>
      <c r="AA25" s="6"/>
      <c r="AB25" s="1"/>
      <c r="AC25" s="1"/>
    </row>
    <row r="26" spans="1:29" ht="15.75" x14ac:dyDescent="0.25">
      <c r="A26" s="2">
        <v>25</v>
      </c>
      <c r="B26" s="3" t="s">
        <v>45</v>
      </c>
      <c r="C26" s="3" t="s">
        <v>46</v>
      </c>
      <c r="D26" s="4" t="s">
        <v>61</v>
      </c>
      <c r="E26" s="5" t="s">
        <v>62</v>
      </c>
      <c r="F26" s="6"/>
      <c r="G26" s="3">
        <v>2</v>
      </c>
      <c r="H26" s="7">
        <v>2</v>
      </c>
      <c r="I26" s="8">
        <v>2</v>
      </c>
      <c r="J26" s="9"/>
      <c r="K26" s="10"/>
      <c r="L26" s="11"/>
      <c r="M26" s="2"/>
      <c r="N26" s="6"/>
      <c r="O26" s="3">
        <v>1</v>
      </c>
      <c r="P26" s="3">
        <v>2</v>
      </c>
      <c r="Q26" s="6"/>
      <c r="R26" s="6"/>
      <c r="S26" s="12">
        <f t="shared" si="0"/>
        <v>30</v>
      </c>
      <c r="T26" s="13">
        <f t="shared" si="1"/>
        <v>0</v>
      </c>
      <c r="U26" s="10">
        <f t="shared" si="2"/>
        <v>0</v>
      </c>
      <c r="V26" s="11">
        <f t="shared" si="3"/>
        <v>0</v>
      </c>
      <c r="W26" s="2">
        <f t="shared" si="4"/>
        <v>60</v>
      </c>
      <c r="X26" s="2">
        <f t="shared" si="5"/>
        <v>10</v>
      </c>
      <c r="Y26" s="6"/>
      <c r="Z26" s="2">
        <v>1</v>
      </c>
      <c r="AA26" s="6"/>
      <c r="AB26" s="1"/>
      <c r="AC26" s="1"/>
    </row>
    <row r="27" spans="1:29" ht="15.75" x14ac:dyDescent="0.25">
      <c r="A27" s="2">
        <v>26</v>
      </c>
      <c r="B27" s="3" t="s">
        <v>45</v>
      </c>
      <c r="C27" s="3" t="s">
        <v>46</v>
      </c>
      <c r="D27" s="4" t="s">
        <v>63</v>
      </c>
      <c r="E27" s="5" t="s">
        <v>64</v>
      </c>
      <c r="F27" s="6"/>
      <c r="G27" s="3">
        <v>4</v>
      </c>
      <c r="H27" s="7">
        <v>2</v>
      </c>
      <c r="I27" s="8">
        <v>2</v>
      </c>
      <c r="J27" s="9"/>
      <c r="K27" s="10"/>
      <c r="L27" s="11"/>
      <c r="M27" s="2"/>
      <c r="N27" s="6"/>
      <c r="O27" s="3">
        <v>0</v>
      </c>
      <c r="P27" s="3">
        <v>0</v>
      </c>
      <c r="Q27" s="6"/>
      <c r="R27" s="6"/>
      <c r="S27" s="12">
        <f t="shared" si="0"/>
        <v>30</v>
      </c>
      <c r="T27" s="13">
        <f t="shared" si="1"/>
        <v>0</v>
      </c>
      <c r="U27" s="10">
        <f t="shared" si="2"/>
        <v>0</v>
      </c>
      <c r="V27" s="11">
        <f t="shared" si="3"/>
        <v>0</v>
      </c>
      <c r="W27" s="2">
        <f t="shared" si="4"/>
        <v>60</v>
      </c>
      <c r="X27" s="2">
        <f t="shared" si="5"/>
        <v>10</v>
      </c>
      <c r="Y27" s="6"/>
      <c r="Z27" s="2">
        <v>1</v>
      </c>
      <c r="AA27" s="6"/>
      <c r="AB27" s="1"/>
      <c r="AC27" s="1"/>
    </row>
    <row r="28" spans="1:29" ht="15.75" x14ac:dyDescent="0.25">
      <c r="A28" s="2">
        <v>27</v>
      </c>
      <c r="B28" s="3" t="s">
        <v>45</v>
      </c>
      <c r="C28" s="3" t="s">
        <v>46</v>
      </c>
      <c r="D28" s="4" t="s">
        <v>65</v>
      </c>
      <c r="E28" s="5" t="s">
        <v>66</v>
      </c>
      <c r="F28" s="6"/>
      <c r="G28" s="3">
        <v>4</v>
      </c>
      <c r="H28" s="7">
        <v>3</v>
      </c>
      <c r="I28" s="8">
        <v>3</v>
      </c>
      <c r="J28" s="9"/>
      <c r="K28" s="10"/>
      <c r="L28" s="11"/>
      <c r="M28" s="2"/>
      <c r="N28" s="6"/>
      <c r="O28" s="3">
        <v>0</v>
      </c>
      <c r="P28" s="3">
        <v>0</v>
      </c>
      <c r="Q28" s="6"/>
      <c r="R28" s="6"/>
      <c r="S28" s="12">
        <f t="shared" si="0"/>
        <v>45</v>
      </c>
      <c r="T28" s="13">
        <f t="shared" si="1"/>
        <v>0</v>
      </c>
      <c r="U28" s="10">
        <f t="shared" si="2"/>
        <v>0</v>
      </c>
      <c r="V28" s="11">
        <f t="shared" si="3"/>
        <v>0</v>
      </c>
      <c r="W28" s="2">
        <f t="shared" si="4"/>
        <v>90</v>
      </c>
      <c r="X28" s="2">
        <f t="shared" si="5"/>
        <v>15</v>
      </c>
      <c r="Y28" s="6"/>
      <c r="Z28" s="2">
        <v>1</v>
      </c>
      <c r="AA28" s="6"/>
      <c r="AB28" s="1"/>
      <c r="AC28" s="1"/>
    </row>
    <row r="29" spans="1:29" ht="15.75" x14ac:dyDescent="0.25">
      <c r="A29" s="2">
        <v>28</v>
      </c>
      <c r="B29" s="3" t="s">
        <v>45</v>
      </c>
      <c r="C29" s="3" t="s">
        <v>46</v>
      </c>
      <c r="D29" s="4" t="s">
        <v>67</v>
      </c>
      <c r="E29" s="5" t="s">
        <v>68</v>
      </c>
      <c r="F29" s="6"/>
      <c r="G29" s="3">
        <v>5</v>
      </c>
      <c r="H29" s="7">
        <v>1</v>
      </c>
      <c r="I29" s="8">
        <v>1</v>
      </c>
      <c r="J29" s="9"/>
      <c r="K29" s="10"/>
      <c r="L29" s="11"/>
      <c r="M29" s="2"/>
      <c r="N29" s="6"/>
      <c r="O29" s="3">
        <v>0</v>
      </c>
      <c r="P29" s="3">
        <v>0</v>
      </c>
      <c r="Q29" s="6"/>
      <c r="R29" s="6"/>
      <c r="S29" s="12">
        <f t="shared" si="0"/>
        <v>15</v>
      </c>
      <c r="T29" s="13">
        <f t="shared" si="1"/>
        <v>0</v>
      </c>
      <c r="U29" s="10">
        <f t="shared" si="2"/>
        <v>0</v>
      </c>
      <c r="V29" s="11">
        <f t="shared" si="3"/>
        <v>0</v>
      </c>
      <c r="W29" s="2">
        <f t="shared" si="4"/>
        <v>30</v>
      </c>
      <c r="X29" s="2">
        <f t="shared" si="5"/>
        <v>5</v>
      </c>
      <c r="Y29" s="6"/>
      <c r="Z29" s="2">
        <v>1</v>
      </c>
      <c r="AA29" s="6"/>
      <c r="AB29" s="1"/>
      <c r="AC29" s="1"/>
    </row>
    <row r="30" spans="1:29" ht="15.75" x14ac:dyDescent="0.25">
      <c r="A30" s="2">
        <v>29</v>
      </c>
      <c r="B30" s="3" t="s">
        <v>45</v>
      </c>
      <c r="C30" s="3" t="s">
        <v>46</v>
      </c>
      <c r="D30" s="4" t="s">
        <v>69</v>
      </c>
      <c r="E30" s="5" t="s">
        <v>70</v>
      </c>
      <c r="F30" s="6"/>
      <c r="G30" s="3">
        <v>4</v>
      </c>
      <c r="H30" s="7">
        <v>3</v>
      </c>
      <c r="I30" s="8">
        <v>2</v>
      </c>
      <c r="J30" s="9">
        <v>1</v>
      </c>
      <c r="K30" s="10"/>
      <c r="L30" s="11"/>
      <c r="M30" s="2" t="s">
        <v>11</v>
      </c>
      <c r="N30" s="6"/>
      <c r="O30" s="3">
        <v>0</v>
      </c>
      <c r="P30" s="3">
        <v>0</v>
      </c>
      <c r="Q30" s="6"/>
      <c r="R30" s="6"/>
      <c r="S30" s="12">
        <f t="shared" si="0"/>
        <v>30</v>
      </c>
      <c r="T30" s="13">
        <f t="shared" si="1"/>
        <v>30</v>
      </c>
      <c r="U30" s="10">
        <f t="shared" si="2"/>
        <v>0</v>
      </c>
      <c r="V30" s="11">
        <f t="shared" si="3"/>
        <v>0</v>
      </c>
      <c r="W30" s="2">
        <f t="shared" si="4"/>
        <v>75</v>
      </c>
      <c r="X30" s="2">
        <f t="shared" si="5"/>
        <v>15</v>
      </c>
      <c r="Y30" s="6"/>
      <c r="Z30" s="2">
        <v>1</v>
      </c>
      <c r="AA30" s="6"/>
      <c r="AB30" s="1"/>
      <c r="AC30" s="1"/>
    </row>
    <row r="31" spans="1:29" ht="15.75" x14ac:dyDescent="0.25">
      <c r="A31" s="2">
        <v>30</v>
      </c>
      <c r="B31" s="3" t="s">
        <v>45</v>
      </c>
      <c r="C31" s="3" t="s">
        <v>46</v>
      </c>
      <c r="D31" s="4" t="s">
        <v>71</v>
      </c>
      <c r="E31" s="5" t="s">
        <v>72</v>
      </c>
      <c r="F31" s="6"/>
      <c r="G31" s="3">
        <v>5</v>
      </c>
      <c r="H31" s="7">
        <v>3</v>
      </c>
      <c r="I31" s="8">
        <v>2</v>
      </c>
      <c r="J31" s="9">
        <v>1</v>
      </c>
      <c r="K31" s="10"/>
      <c r="L31" s="11"/>
      <c r="M31" s="2" t="s">
        <v>11</v>
      </c>
      <c r="N31" s="6"/>
      <c r="O31" s="3">
        <v>0</v>
      </c>
      <c r="P31" s="3">
        <v>0</v>
      </c>
      <c r="Q31" s="6"/>
      <c r="R31" s="6"/>
      <c r="S31" s="12">
        <f t="shared" si="0"/>
        <v>30</v>
      </c>
      <c r="T31" s="13">
        <f t="shared" si="1"/>
        <v>30</v>
      </c>
      <c r="U31" s="10">
        <f t="shared" si="2"/>
        <v>0</v>
      </c>
      <c r="V31" s="11">
        <f t="shared" si="3"/>
        <v>0</v>
      </c>
      <c r="W31" s="2">
        <f t="shared" si="4"/>
        <v>75</v>
      </c>
      <c r="X31" s="2">
        <f t="shared" si="5"/>
        <v>15</v>
      </c>
      <c r="Y31" s="6"/>
      <c r="Z31" s="2">
        <v>1</v>
      </c>
      <c r="AA31" s="6"/>
      <c r="AB31" s="1"/>
      <c r="AC31" s="1"/>
    </row>
    <row r="32" spans="1:29" ht="31.5" x14ac:dyDescent="0.25">
      <c r="A32" s="2">
        <v>31</v>
      </c>
      <c r="B32" s="3" t="s">
        <v>73</v>
      </c>
      <c r="C32" s="3" t="s">
        <v>74</v>
      </c>
      <c r="D32" s="4" t="s">
        <v>75</v>
      </c>
      <c r="E32" s="5" t="s">
        <v>76</v>
      </c>
      <c r="F32" s="6"/>
      <c r="G32" s="3">
        <v>4</v>
      </c>
      <c r="H32" s="7">
        <v>3</v>
      </c>
      <c r="I32" s="8">
        <v>3</v>
      </c>
      <c r="J32" s="9"/>
      <c r="K32" s="10"/>
      <c r="L32" s="11"/>
      <c r="M32" s="2"/>
      <c r="N32" s="6"/>
      <c r="O32" s="3">
        <v>0</v>
      </c>
      <c r="P32" s="3">
        <v>0</v>
      </c>
      <c r="Q32" s="6"/>
      <c r="R32" s="6"/>
      <c r="S32" s="12">
        <f t="shared" si="0"/>
        <v>45</v>
      </c>
      <c r="T32" s="13">
        <f t="shared" si="1"/>
        <v>0</v>
      </c>
      <c r="U32" s="10">
        <f t="shared" si="2"/>
        <v>0</v>
      </c>
      <c r="V32" s="11">
        <f t="shared" si="3"/>
        <v>0</v>
      </c>
      <c r="W32" s="2">
        <f t="shared" si="4"/>
        <v>90</v>
      </c>
      <c r="X32" s="2">
        <f t="shared" si="5"/>
        <v>15</v>
      </c>
      <c r="Y32" s="6"/>
      <c r="Z32" s="2">
        <v>1</v>
      </c>
      <c r="AA32" s="6"/>
      <c r="AB32" s="1"/>
      <c r="AC32" s="1"/>
    </row>
    <row r="33" spans="1:29" ht="31.5" x14ac:dyDescent="0.25">
      <c r="A33" s="2">
        <v>32</v>
      </c>
      <c r="B33" s="3" t="s">
        <v>73</v>
      </c>
      <c r="C33" s="3" t="s">
        <v>74</v>
      </c>
      <c r="D33" s="4" t="s">
        <v>77</v>
      </c>
      <c r="E33" s="5" t="s">
        <v>78</v>
      </c>
      <c r="F33" s="6"/>
      <c r="G33" s="3">
        <v>4</v>
      </c>
      <c r="H33" s="7">
        <v>4</v>
      </c>
      <c r="I33" s="8">
        <v>4</v>
      </c>
      <c r="J33" s="9"/>
      <c r="K33" s="10"/>
      <c r="L33" s="11"/>
      <c r="M33" s="2"/>
      <c r="N33" s="6"/>
      <c r="O33" s="3">
        <v>0</v>
      </c>
      <c r="P33" s="3">
        <v>0</v>
      </c>
      <c r="Q33" s="6"/>
      <c r="R33" s="6"/>
      <c r="S33" s="12">
        <f t="shared" si="0"/>
        <v>60</v>
      </c>
      <c r="T33" s="13">
        <f t="shared" si="1"/>
        <v>0</v>
      </c>
      <c r="U33" s="10">
        <f t="shared" si="2"/>
        <v>0</v>
      </c>
      <c r="V33" s="11">
        <f t="shared" si="3"/>
        <v>0</v>
      </c>
      <c r="W33" s="2">
        <f t="shared" si="4"/>
        <v>120</v>
      </c>
      <c r="X33" s="2">
        <f t="shared" si="5"/>
        <v>20</v>
      </c>
      <c r="Y33" s="6"/>
      <c r="Z33" s="2">
        <v>1</v>
      </c>
      <c r="AA33" s="6"/>
      <c r="AB33" s="1"/>
      <c r="AC33" s="1"/>
    </row>
    <row r="34" spans="1:29" ht="31.5" x14ac:dyDescent="0.25">
      <c r="A34" s="2">
        <v>33</v>
      </c>
      <c r="B34" s="3" t="s">
        <v>73</v>
      </c>
      <c r="C34" s="3" t="s">
        <v>74</v>
      </c>
      <c r="D34" s="4" t="s">
        <v>79</v>
      </c>
      <c r="E34" s="5" t="s">
        <v>80</v>
      </c>
      <c r="F34" s="6"/>
      <c r="G34" s="3">
        <v>5</v>
      </c>
      <c r="H34" s="7">
        <v>4</v>
      </c>
      <c r="I34" s="8">
        <v>4</v>
      </c>
      <c r="J34" s="9"/>
      <c r="K34" s="10"/>
      <c r="L34" s="11"/>
      <c r="M34" s="2"/>
      <c r="N34" s="6"/>
      <c r="O34" s="3">
        <v>0</v>
      </c>
      <c r="P34" s="3">
        <v>0</v>
      </c>
      <c r="Q34" s="6"/>
      <c r="R34" s="6"/>
      <c r="S34" s="12">
        <f t="shared" si="0"/>
        <v>60</v>
      </c>
      <c r="T34" s="13">
        <f t="shared" si="1"/>
        <v>0</v>
      </c>
      <c r="U34" s="10">
        <f t="shared" si="2"/>
        <v>0</v>
      </c>
      <c r="V34" s="11">
        <f t="shared" si="3"/>
        <v>0</v>
      </c>
      <c r="W34" s="2">
        <f t="shared" si="4"/>
        <v>120</v>
      </c>
      <c r="X34" s="2">
        <f t="shared" si="5"/>
        <v>20</v>
      </c>
      <c r="Y34" s="6"/>
      <c r="Z34" s="2">
        <v>1</v>
      </c>
      <c r="AA34" s="6"/>
      <c r="AB34" s="1"/>
      <c r="AC34" s="1"/>
    </row>
    <row r="35" spans="1:29" ht="31.5" x14ac:dyDescent="0.25">
      <c r="A35" s="2">
        <v>34</v>
      </c>
      <c r="B35" s="3" t="s">
        <v>73</v>
      </c>
      <c r="C35" s="3" t="s">
        <v>74</v>
      </c>
      <c r="D35" s="4" t="s">
        <v>81</v>
      </c>
      <c r="E35" s="5" t="s">
        <v>82</v>
      </c>
      <c r="F35" s="6"/>
      <c r="G35" s="3">
        <v>5</v>
      </c>
      <c r="H35" s="7">
        <v>3</v>
      </c>
      <c r="I35" s="8">
        <v>3</v>
      </c>
      <c r="J35" s="9"/>
      <c r="K35" s="10"/>
      <c r="L35" s="11"/>
      <c r="M35" s="2"/>
      <c r="N35" s="6"/>
      <c r="O35" s="3">
        <v>0</v>
      </c>
      <c r="P35" s="3">
        <v>0</v>
      </c>
      <c r="Q35" s="6"/>
      <c r="R35" s="6"/>
      <c r="S35" s="12">
        <f t="shared" si="0"/>
        <v>45</v>
      </c>
      <c r="T35" s="13">
        <f t="shared" si="1"/>
        <v>0</v>
      </c>
      <c r="U35" s="10">
        <f t="shared" si="2"/>
        <v>0</v>
      </c>
      <c r="V35" s="11">
        <f t="shared" si="3"/>
        <v>0</v>
      </c>
      <c r="W35" s="2">
        <f t="shared" si="4"/>
        <v>90</v>
      </c>
      <c r="X35" s="2">
        <f t="shared" si="5"/>
        <v>15</v>
      </c>
      <c r="Y35" s="6"/>
      <c r="Z35" s="2">
        <v>1</v>
      </c>
      <c r="AA35" s="6"/>
      <c r="AB35" s="1"/>
      <c r="AC35" s="1"/>
    </row>
    <row r="36" spans="1:29" ht="31.5" x14ac:dyDescent="0.25">
      <c r="A36" s="2">
        <v>35</v>
      </c>
      <c r="B36" s="3" t="s">
        <v>73</v>
      </c>
      <c r="C36" s="3" t="s">
        <v>74</v>
      </c>
      <c r="D36" s="4" t="s">
        <v>83</v>
      </c>
      <c r="E36" s="5" t="s">
        <v>84</v>
      </c>
      <c r="F36" s="6"/>
      <c r="G36" s="3">
        <v>5</v>
      </c>
      <c r="H36" s="7">
        <v>3</v>
      </c>
      <c r="I36" s="8">
        <v>3</v>
      </c>
      <c r="J36" s="9"/>
      <c r="K36" s="10"/>
      <c r="L36" s="11"/>
      <c r="M36" s="2"/>
      <c r="N36" s="6"/>
      <c r="O36" s="3">
        <v>0</v>
      </c>
      <c r="P36" s="3">
        <v>0</v>
      </c>
      <c r="Q36" s="6"/>
      <c r="R36" s="6"/>
      <c r="S36" s="12">
        <f t="shared" si="0"/>
        <v>45</v>
      </c>
      <c r="T36" s="13">
        <f t="shared" si="1"/>
        <v>0</v>
      </c>
      <c r="U36" s="10">
        <f t="shared" si="2"/>
        <v>0</v>
      </c>
      <c r="V36" s="11">
        <f t="shared" si="3"/>
        <v>0</v>
      </c>
      <c r="W36" s="2">
        <f t="shared" si="4"/>
        <v>90</v>
      </c>
      <c r="X36" s="2">
        <f t="shared" si="5"/>
        <v>15</v>
      </c>
      <c r="Y36" s="6"/>
      <c r="Z36" s="2">
        <v>1</v>
      </c>
      <c r="AA36" s="6"/>
      <c r="AB36" s="1"/>
      <c r="AC36" s="1"/>
    </row>
    <row r="37" spans="1:29" ht="31.5" x14ac:dyDescent="0.25">
      <c r="A37" s="2">
        <v>36</v>
      </c>
      <c r="B37" s="3" t="s">
        <v>73</v>
      </c>
      <c r="C37" s="3" t="s">
        <v>74</v>
      </c>
      <c r="D37" s="4" t="s">
        <v>85</v>
      </c>
      <c r="E37" s="5" t="s">
        <v>86</v>
      </c>
      <c r="F37" s="6"/>
      <c r="G37" s="3">
        <v>5</v>
      </c>
      <c r="H37" s="7">
        <v>3</v>
      </c>
      <c r="I37" s="8">
        <v>3</v>
      </c>
      <c r="J37" s="9"/>
      <c r="K37" s="10"/>
      <c r="L37" s="11"/>
      <c r="M37" s="2"/>
      <c r="N37" s="6"/>
      <c r="O37" s="3">
        <v>0</v>
      </c>
      <c r="P37" s="3">
        <v>0</v>
      </c>
      <c r="Q37" s="6"/>
      <c r="R37" s="6"/>
      <c r="S37" s="12">
        <f t="shared" si="0"/>
        <v>45</v>
      </c>
      <c r="T37" s="13">
        <f t="shared" si="1"/>
        <v>0</v>
      </c>
      <c r="U37" s="10">
        <f t="shared" si="2"/>
        <v>0</v>
      </c>
      <c r="V37" s="11">
        <f t="shared" si="3"/>
        <v>0</v>
      </c>
      <c r="W37" s="2">
        <f t="shared" si="4"/>
        <v>90</v>
      </c>
      <c r="X37" s="2">
        <f t="shared" si="5"/>
        <v>15</v>
      </c>
      <c r="Y37" s="6"/>
      <c r="Z37" s="2">
        <v>1</v>
      </c>
      <c r="AA37" s="6"/>
      <c r="AB37" s="1"/>
      <c r="AC37" s="1"/>
    </row>
    <row r="38" spans="1:29" ht="31.5" x14ac:dyDescent="0.25">
      <c r="A38" s="2">
        <v>37</v>
      </c>
      <c r="B38" s="3" t="s">
        <v>73</v>
      </c>
      <c r="C38" s="3" t="s">
        <v>74</v>
      </c>
      <c r="D38" s="4" t="s">
        <v>87</v>
      </c>
      <c r="E38" s="5" t="s">
        <v>88</v>
      </c>
      <c r="F38" s="6"/>
      <c r="G38" s="3">
        <v>6</v>
      </c>
      <c r="H38" s="7">
        <v>4</v>
      </c>
      <c r="I38" s="8">
        <v>4</v>
      </c>
      <c r="J38" s="9"/>
      <c r="K38" s="10"/>
      <c r="L38" s="11"/>
      <c r="M38" s="2"/>
      <c r="N38" s="6"/>
      <c r="O38" s="3">
        <v>0</v>
      </c>
      <c r="P38" s="3">
        <v>0</v>
      </c>
      <c r="Q38" s="6"/>
      <c r="R38" s="6"/>
      <c r="S38" s="12">
        <f t="shared" si="0"/>
        <v>60</v>
      </c>
      <c r="T38" s="13">
        <f t="shared" si="1"/>
        <v>0</v>
      </c>
      <c r="U38" s="10">
        <f t="shared" si="2"/>
        <v>0</v>
      </c>
      <c r="V38" s="11">
        <f t="shared" si="3"/>
        <v>0</v>
      </c>
      <c r="W38" s="2">
        <f t="shared" si="4"/>
        <v>120</v>
      </c>
      <c r="X38" s="2">
        <f t="shared" si="5"/>
        <v>20</v>
      </c>
      <c r="Y38" s="6"/>
      <c r="Z38" s="2">
        <v>1</v>
      </c>
      <c r="AA38" s="6"/>
      <c r="AB38" s="1"/>
      <c r="AC38" s="1"/>
    </row>
    <row r="39" spans="1:29" ht="31.5" x14ac:dyDescent="0.25">
      <c r="A39" s="2">
        <v>38</v>
      </c>
      <c r="B39" s="3" t="s">
        <v>73</v>
      </c>
      <c r="C39" s="3" t="s">
        <v>74</v>
      </c>
      <c r="D39" s="4" t="s">
        <v>89</v>
      </c>
      <c r="E39" s="5" t="s">
        <v>90</v>
      </c>
      <c r="F39" s="6"/>
      <c r="G39" s="3">
        <v>6</v>
      </c>
      <c r="H39" s="7">
        <v>3</v>
      </c>
      <c r="I39" s="8">
        <v>3</v>
      </c>
      <c r="J39" s="9"/>
      <c r="K39" s="10"/>
      <c r="L39" s="11"/>
      <c r="M39" s="2"/>
      <c r="N39" s="6"/>
      <c r="O39" s="3">
        <v>0</v>
      </c>
      <c r="P39" s="3">
        <v>0</v>
      </c>
      <c r="Q39" s="6"/>
      <c r="R39" s="6"/>
      <c r="S39" s="12">
        <f t="shared" si="0"/>
        <v>45</v>
      </c>
      <c r="T39" s="13">
        <f t="shared" si="1"/>
        <v>0</v>
      </c>
      <c r="U39" s="10">
        <f t="shared" si="2"/>
        <v>0</v>
      </c>
      <c r="V39" s="11">
        <f t="shared" si="3"/>
        <v>0</v>
      </c>
      <c r="W39" s="2">
        <f t="shared" si="4"/>
        <v>90</v>
      </c>
      <c r="X39" s="2">
        <f t="shared" si="5"/>
        <v>15</v>
      </c>
      <c r="Y39" s="6"/>
      <c r="Z39" s="2">
        <v>1</v>
      </c>
      <c r="AA39" s="6"/>
      <c r="AB39" s="1"/>
      <c r="AC39" s="1"/>
    </row>
    <row r="40" spans="1:29" ht="31.5" x14ac:dyDescent="0.25">
      <c r="A40" s="2">
        <v>39</v>
      </c>
      <c r="B40" s="3" t="s">
        <v>73</v>
      </c>
      <c r="C40" s="3" t="s">
        <v>74</v>
      </c>
      <c r="D40" s="4" t="s">
        <v>91</v>
      </c>
      <c r="E40" s="5" t="s">
        <v>92</v>
      </c>
      <c r="F40" s="6"/>
      <c r="G40" s="3">
        <v>5</v>
      </c>
      <c r="H40" s="7">
        <v>3</v>
      </c>
      <c r="I40" s="8">
        <v>3</v>
      </c>
      <c r="J40" s="9"/>
      <c r="K40" s="10"/>
      <c r="L40" s="11"/>
      <c r="M40" s="2"/>
      <c r="N40" s="6"/>
      <c r="O40" s="3">
        <v>0</v>
      </c>
      <c r="P40" s="3">
        <v>0</v>
      </c>
      <c r="Q40" s="6"/>
      <c r="R40" s="6"/>
      <c r="S40" s="12">
        <f t="shared" si="0"/>
        <v>45</v>
      </c>
      <c r="T40" s="13">
        <f t="shared" si="1"/>
        <v>0</v>
      </c>
      <c r="U40" s="10">
        <f t="shared" si="2"/>
        <v>0</v>
      </c>
      <c r="V40" s="11">
        <f t="shared" si="3"/>
        <v>0</v>
      </c>
      <c r="W40" s="2">
        <f t="shared" si="4"/>
        <v>90</v>
      </c>
      <c r="X40" s="2">
        <f t="shared" si="5"/>
        <v>15</v>
      </c>
      <c r="Y40" s="6"/>
      <c r="Z40" s="2">
        <v>1</v>
      </c>
      <c r="AA40" s="6"/>
      <c r="AB40" s="1"/>
      <c r="AC40" s="1"/>
    </row>
    <row r="41" spans="1:29" ht="31.5" x14ac:dyDescent="0.25">
      <c r="A41" s="2">
        <v>40</v>
      </c>
      <c r="B41" s="3" t="s">
        <v>73</v>
      </c>
      <c r="C41" s="3" t="s">
        <v>74</v>
      </c>
      <c r="D41" s="4" t="s">
        <v>93</v>
      </c>
      <c r="E41" s="5" t="s">
        <v>94</v>
      </c>
      <c r="F41" s="6"/>
      <c r="G41" s="3">
        <v>6</v>
      </c>
      <c r="H41" s="7">
        <v>3</v>
      </c>
      <c r="I41" s="8">
        <v>3</v>
      </c>
      <c r="J41" s="9"/>
      <c r="K41" s="10"/>
      <c r="L41" s="11"/>
      <c r="M41" s="2"/>
      <c r="N41" s="6"/>
      <c r="O41" s="3">
        <v>0</v>
      </c>
      <c r="P41" s="3">
        <v>0</v>
      </c>
      <c r="Q41" s="6"/>
      <c r="R41" s="6"/>
      <c r="S41" s="12">
        <f t="shared" si="0"/>
        <v>45</v>
      </c>
      <c r="T41" s="13">
        <f t="shared" si="1"/>
        <v>0</v>
      </c>
      <c r="U41" s="10">
        <f t="shared" si="2"/>
        <v>0</v>
      </c>
      <c r="V41" s="11">
        <f t="shared" si="3"/>
        <v>0</v>
      </c>
      <c r="W41" s="2">
        <f t="shared" si="4"/>
        <v>90</v>
      </c>
      <c r="X41" s="2">
        <f t="shared" si="5"/>
        <v>15</v>
      </c>
      <c r="Y41" s="6"/>
      <c r="Z41" s="2">
        <v>1</v>
      </c>
      <c r="AA41" s="6"/>
      <c r="AB41" s="1"/>
      <c r="AC41" s="1"/>
    </row>
    <row r="42" spans="1:29" ht="31.5" x14ac:dyDescent="0.25">
      <c r="A42" s="2">
        <v>41</v>
      </c>
      <c r="B42" s="3" t="s">
        <v>73</v>
      </c>
      <c r="C42" s="3" t="s">
        <v>74</v>
      </c>
      <c r="D42" s="4" t="s">
        <v>95</v>
      </c>
      <c r="E42" s="5" t="s">
        <v>96</v>
      </c>
      <c r="F42" s="6"/>
      <c r="G42" s="3">
        <v>6</v>
      </c>
      <c r="H42" s="7">
        <v>3</v>
      </c>
      <c r="I42" s="8">
        <v>3</v>
      </c>
      <c r="J42" s="9"/>
      <c r="K42" s="10"/>
      <c r="L42" s="11"/>
      <c r="M42" s="2"/>
      <c r="N42" s="6"/>
      <c r="O42" s="3">
        <v>0</v>
      </c>
      <c r="P42" s="3">
        <v>0</v>
      </c>
      <c r="Q42" s="6"/>
      <c r="R42" s="6"/>
      <c r="S42" s="12">
        <f t="shared" si="0"/>
        <v>45</v>
      </c>
      <c r="T42" s="13">
        <f t="shared" si="1"/>
        <v>0</v>
      </c>
      <c r="U42" s="10">
        <f t="shared" si="2"/>
        <v>0</v>
      </c>
      <c r="V42" s="11">
        <f t="shared" si="3"/>
        <v>0</v>
      </c>
      <c r="W42" s="2">
        <f t="shared" si="4"/>
        <v>90</v>
      </c>
      <c r="X42" s="2">
        <f t="shared" si="5"/>
        <v>15</v>
      </c>
      <c r="Y42" s="6"/>
      <c r="Z42" s="2">
        <v>1</v>
      </c>
      <c r="AA42" s="6"/>
      <c r="AB42" s="1"/>
      <c r="AC42" s="1"/>
    </row>
    <row r="43" spans="1:29" ht="31.5" x14ac:dyDescent="0.25">
      <c r="A43" s="2">
        <v>42</v>
      </c>
      <c r="B43" s="3" t="s">
        <v>73</v>
      </c>
      <c r="C43" s="3" t="s">
        <v>74</v>
      </c>
      <c r="D43" s="4" t="s">
        <v>97</v>
      </c>
      <c r="E43" s="5" t="s">
        <v>98</v>
      </c>
      <c r="F43" s="6"/>
      <c r="G43" s="3">
        <v>6</v>
      </c>
      <c r="H43" s="7">
        <v>3</v>
      </c>
      <c r="I43" s="8">
        <v>3</v>
      </c>
      <c r="J43" s="9"/>
      <c r="K43" s="10"/>
      <c r="L43" s="11"/>
      <c r="M43" s="2"/>
      <c r="N43" s="6"/>
      <c r="O43" s="3">
        <v>0</v>
      </c>
      <c r="P43" s="3">
        <v>0</v>
      </c>
      <c r="Q43" s="6"/>
      <c r="R43" s="6"/>
      <c r="S43" s="12">
        <f t="shared" si="0"/>
        <v>45</v>
      </c>
      <c r="T43" s="13">
        <f t="shared" si="1"/>
        <v>0</v>
      </c>
      <c r="U43" s="10">
        <f t="shared" si="2"/>
        <v>0</v>
      </c>
      <c r="V43" s="11">
        <f t="shared" si="3"/>
        <v>0</v>
      </c>
      <c r="W43" s="2">
        <f t="shared" si="4"/>
        <v>90</v>
      </c>
      <c r="X43" s="2">
        <f t="shared" si="5"/>
        <v>15</v>
      </c>
      <c r="Y43" s="6"/>
      <c r="Z43" s="2">
        <v>1</v>
      </c>
      <c r="AA43" s="6"/>
      <c r="AB43" s="1"/>
      <c r="AC43" s="1"/>
    </row>
    <row r="44" spans="1:29" ht="31.5" x14ac:dyDescent="0.25">
      <c r="A44" s="2">
        <v>43</v>
      </c>
      <c r="B44" s="3" t="s">
        <v>73</v>
      </c>
      <c r="C44" s="3" t="s">
        <v>74</v>
      </c>
      <c r="D44" s="4" t="s">
        <v>99</v>
      </c>
      <c r="E44" s="5" t="s">
        <v>100</v>
      </c>
      <c r="F44" s="6"/>
      <c r="G44" s="3">
        <v>7</v>
      </c>
      <c r="H44" s="7">
        <v>4</v>
      </c>
      <c r="I44" s="8">
        <v>4</v>
      </c>
      <c r="J44" s="9"/>
      <c r="K44" s="10"/>
      <c r="L44" s="11"/>
      <c r="M44" s="2"/>
      <c r="N44" s="6"/>
      <c r="O44" s="3">
        <v>0</v>
      </c>
      <c r="P44" s="3">
        <v>0</v>
      </c>
      <c r="Q44" s="6"/>
      <c r="R44" s="6"/>
      <c r="S44" s="12">
        <f t="shared" si="0"/>
        <v>60</v>
      </c>
      <c r="T44" s="13">
        <f t="shared" si="1"/>
        <v>0</v>
      </c>
      <c r="U44" s="10">
        <f t="shared" si="2"/>
        <v>0</v>
      </c>
      <c r="V44" s="11">
        <f t="shared" si="3"/>
        <v>0</v>
      </c>
      <c r="W44" s="2">
        <f t="shared" si="4"/>
        <v>120</v>
      </c>
      <c r="X44" s="2">
        <f t="shared" si="5"/>
        <v>20</v>
      </c>
      <c r="Y44" s="6"/>
      <c r="Z44" s="2">
        <v>1</v>
      </c>
      <c r="AA44" s="6"/>
      <c r="AB44" s="1"/>
      <c r="AC44" s="1"/>
    </row>
    <row r="45" spans="1:29" ht="31.5" x14ac:dyDescent="0.25">
      <c r="A45" s="2">
        <v>44</v>
      </c>
      <c r="B45" s="3" t="s">
        <v>73</v>
      </c>
      <c r="C45" s="3" t="s">
        <v>74</v>
      </c>
      <c r="D45" s="4" t="s">
        <v>101</v>
      </c>
      <c r="E45" s="5" t="s">
        <v>102</v>
      </c>
      <c r="F45" s="6"/>
      <c r="G45" s="3">
        <v>7</v>
      </c>
      <c r="H45" s="7">
        <v>3</v>
      </c>
      <c r="I45" s="8">
        <v>2</v>
      </c>
      <c r="J45" s="9">
        <v>1</v>
      </c>
      <c r="K45" s="10"/>
      <c r="L45" s="11"/>
      <c r="M45" s="2" t="s">
        <v>11</v>
      </c>
      <c r="N45" s="6"/>
      <c r="O45" s="3">
        <v>0</v>
      </c>
      <c r="P45" s="3">
        <v>0</v>
      </c>
      <c r="Q45" s="6"/>
      <c r="R45" s="6"/>
      <c r="S45" s="12">
        <f t="shared" si="0"/>
        <v>30</v>
      </c>
      <c r="T45" s="13">
        <f t="shared" si="1"/>
        <v>30</v>
      </c>
      <c r="U45" s="10">
        <f t="shared" si="2"/>
        <v>0</v>
      </c>
      <c r="V45" s="11">
        <f t="shared" si="3"/>
        <v>0</v>
      </c>
      <c r="W45" s="2">
        <f t="shared" si="4"/>
        <v>75</v>
      </c>
      <c r="X45" s="2">
        <f t="shared" si="5"/>
        <v>15</v>
      </c>
      <c r="Y45" s="6"/>
      <c r="Z45" s="2">
        <v>1</v>
      </c>
      <c r="AA45" s="6"/>
      <c r="AB45" s="1"/>
      <c r="AC45" s="1"/>
    </row>
    <row r="46" spans="1:29" ht="31.5" x14ac:dyDescent="0.25">
      <c r="A46" s="2">
        <v>45</v>
      </c>
      <c r="B46" s="3" t="s">
        <v>103</v>
      </c>
      <c r="C46" s="3" t="s">
        <v>74</v>
      </c>
      <c r="D46" s="4" t="s">
        <v>104</v>
      </c>
      <c r="E46" s="5" t="s">
        <v>105</v>
      </c>
      <c r="F46" s="6"/>
      <c r="G46" s="3">
        <v>6</v>
      </c>
      <c r="H46" s="7">
        <v>3</v>
      </c>
      <c r="I46" s="8">
        <v>3</v>
      </c>
      <c r="J46" s="9"/>
      <c r="K46" s="10"/>
      <c r="L46" s="11"/>
      <c r="M46" s="2"/>
      <c r="N46" s="6"/>
      <c r="O46" s="3">
        <v>0</v>
      </c>
      <c r="P46" s="3">
        <v>0</v>
      </c>
      <c r="Q46" s="6"/>
      <c r="R46" s="6"/>
      <c r="S46" s="12">
        <f t="shared" si="0"/>
        <v>45</v>
      </c>
      <c r="T46" s="13">
        <f t="shared" si="1"/>
        <v>0</v>
      </c>
      <c r="U46" s="10">
        <f t="shared" si="2"/>
        <v>0</v>
      </c>
      <c r="V46" s="11">
        <f t="shared" si="3"/>
        <v>0</v>
      </c>
      <c r="W46" s="2">
        <f t="shared" si="4"/>
        <v>90</v>
      </c>
      <c r="X46" s="2">
        <f t="shared" si="5"/>
        <v>15</v>
      </c>
      <c r="Y46" s="6"/>
      <c r="Z46" s="2">
        <v>1</v>
      </c>
      <c r="AA46" s="6"/>
      <c r="AB46" s="1"/>
      <c r="AC46" s="1"/>
    </row>
    <row r="47" spans="1:29" ht="31.5" x14ac:dyDescent="0.25">
      <c r="A47" s="2">
        <v>46</v>
      </c>
      <c r="B47" s="3" t="s">
        <v>103</v>
      </c>
      <c r="C47" s="3" t="s">
        <v>74</v>
      </c>
      <c r="D47" s="4" t="s">
        <v>106</v>
      </c>
      <c r="E47" s="5" t="s">
        <v>107</v>
      </c>
      <c r="F47" s="6"/>
      <c r="G47" s="3">
        <v>7</v>
      </c>
      <c r="H47" s="7">
        <v>3</v>
      </c>
      <c r="I47" s="8">
        <v>2</v>
      </c>
      <c r="J47" s="9">
        <v>1</v>
      </c>
      <c r="K47" s="10"/>
      <c r="L47" s="11"/>
      <c r="M47" s="2" t="s">
        <v>11</v>
      </c>
      <c r="N47" s="6"/>
      <c r="O47" s="3">
        <v>0</v>
      </c>
      <c r="P47" s="3">
        <v>0</v>
      </c>
      <c r="Q47" s="6"/>
      <c r="R47" s="6"/>
      <c r="S47" s="12">
        <f t="shared" si="0"/>
        <v>30</v>
      </c>
      <c r="T47" s="13">
        <f t="shared" si="1"/>
        <v>30</v>
      </c>
      <c r="U47" s="10">
        <f t="shared" si="2"/>
        <v>0</v>
      </c>
      <c r="V47" s="11">
        <f t="shared" si="3"/>
        <v>0</v>
      </c>
      <c r="W47" s="2">
        <f t="shared" si="4"/>
        <v>75</v>
      </c>
      <c r="X47" s="2">
        <f t="shared" si="5"/>
        <v>15</v>
      </c>
      <c r="Y47" s="6"/>
      <c r="Z47" s="2">
        <v>1</v>
      </c>
      <c r="AA47" s="6"/>
      <c r="AB47" s="1"/>
      <c r="AC47" s="1"/>
    </row>
    <row r="48" spans="1:29" ht="31.5" x14ac:dyDescent="0.25">
      <c r="A48" s="2">
        <v>47</v>
      </c>
      <c r="B48" s="3" t="s">
        <v>103</v>
      </c>
      <c r="C48" s="3" t="s">
        <v>74</v>
      </c>
      <c r="D48" s="4" t="s">
        <v>108</v>
      </c>
      <c r="E48" s="5" t="s">
        <v>109</v>
      </c>
      <c r="F48" s="6"/>
      <c r="G48" s="3">
        <v>0</v>
      </c>
      <c r="H48" s="7">
        <v>2</v>
      </c>
      <c r="I48" s="8">
        <v>2</v>
      </c>
      <c r="J48" s="9"/>
      <c r="K48" s="10"/>
      <c r="L48" s="11"/>
      <c r="M48" s="2"/>
      <c r="N48" s="6"/>
      <c r="O48" s="3">
        <v>1</v>
      </c>
      <c r="P48" s="3">
        <v>0</v>
      </c>
      <c r="Q48" s="6"/>
      <c r="R48" s="6"/>
      <c r="S48" s="12">
        <f t="shared" si="0"/>
        <v>30</v>
      </c>
      <c r="T48" s="13">
        <f t="shared" si="1"/>
        <v>0</v>
      </c>
      <c r="U48" s="10">
        <f t="shared" si="2"/>
        <v>0</v>
      </c>
      <c r="V48" s="11">
        <f t="shared" ref="V48:V50" si="6">IF(L48="",0,IF(M48="T",L48*15*2,IF(M48="N",L48*15*3,"fail")))</f>
        <v>0</v>
      </c>
      <c r="W48" s="2">
        <f t="shared" si="4"/>
        <v>60</v>
      </c>
      <c r="X48" s="2">
        <f t="shared" si="5"/>
        <v>10</v>
      </c>
      <c r="Y48" s="6"/>
      <c r="Z48" s="2">
        <v>1</v>
      </c>
      <c r="AA48" s="6"/>
      <c r="AB48" s="1"/>
      <c r="AC48" s="1"/>
    </row>
    <row r="49" spans="1:29" ht="31.5" x14ac:dyDescent="0.25">
      <c r="A49" s="2">
        <v>48</v>
      </c>
      <c r="B49" s="3" t="s">
        <v>103</v>
      </c>
      <c r="C49" s="3" t="s">
        <v>74</v>
      </c>
      <c r="D49" s="4" t="s">
        <v>110</v>
      </c>
      <c r="E49" s="5" t="s">
        <v>111</v>
      </c>
      <c r="F49" s="6"/>
      <c r="G49" s="3">
        <v>0</v>
      </c>
      <c r="H49" s="7">
        <v>2</v>
      </c>
      <c r="I49" s="8">
        <v>2</v>
      </c>
      <c r="J49" s="9"/>
      <c r="K49" s="10"/>
      <c r="L49" s="11"/>
      <c r="M49" s="2"/>
      <c r="N49" s="6"/>
      <c r="O49" s="3">
        <v>1</v>
      </c>
      <c r="P49" s="3">
        <v>0</v>
      </c>
      <c r="Q49" s="6"/>
      <c r="R49" s="6"/>
      <c r="S49" s="12">
        <f t="shared" si="0"/>
        <v>30</v>
      </c>
      <c r="T49" s="13">
        <f t="shared" si="1"/>
        <v>0</v>
      </c>
      <c r="U49" s="10">
        <f t="shared" si="2"/>
        <v>0</v>
      </c>
      <c r="V49" s="11">
        <f t="shared" si="6"/>
        <v>0</v>
      </c>
      <c r="W49" s="2">
        <f t="shared" si="4"/>
        <v>60</v>
      </c>
      <c r="X49" s="2">
        <f t="shared" si="5"/>
        <v>10</v>
      </c>
      <c r="Y49" s="6"/>
      <c r="Z49" s="2">
        <v>1</v>
      </c>
      <c r="AA49" s="6"/>
      <c r="AB49" s="1"/>
      <c r="AC49" s="1"/>
    </row>
    <row r="50" spans="1:29" ht="31.5" x14ac:dyDescent="0.25">
      <c r="A50" s="2">
        <v>49</v>
      </c>
      <c r="B50" s="3" t="s">
        <v>103</v>
      </c>
      <c r="C50" s="3" t="s">
        <v>74</v>
      </c>
      <c r="D50" s="4" t="s">
        <v>112</v>
      </c>
      <c r="E50" s="5" t="s">
        <v>113</v>
      </c>
      <c r="F50" s="6"/>
      <c r="G50" s="3">
        <v>0</v>
      </c>
      <c r="H50" s="7">
        <v>2</v>
      </c>
      <c r="I50" s="8">
        <v>2</v>
      </c>
      <c r="J50" s="9"/>
      <c r="K50" s="10"/>
      <c r="L50" s="11"/>
      <c r="M50" s="2"/>
      <c r="N50" s="6"/>
      <c r="O50" s="3">
        <v>1</v>
      </c>
      <c r="P50" s="3">
        <v>0</v>
      </c>
      <c r="Q50" s="6"/>
      <c r="R50" s="6"/>
      <c r="S50" s="12">
        <f t="shared" si="0"/>
        <v>30</v>
      </c>
      <c r="T50" s="13">
        <f t="shared" si="1"/>
        <v>0</v>
      </c>
      <c r="U50" s="10">
        <f t="shared" si="2"/>
        <v>0</v>
      </c>
      <c r="V50" s="11">
        <f t="shared" si="6"/>
        <v>0</v>
      </c>
      <c r="W50" s="2">
        <f t="shared" si="4"/>
        <v>60</v>
      </c>
      <c r="X50" s="2">
        <f t="shared" si="5"/>
        <v>10</v>
      </c>
      <c r="Y50" s="6"/>
      <c r="Z50" s="2">
        <v>1</v>
      </c>
      <c r="AA50" s="6"/>
      <c r="AB50" s="1"/>
      <c r="AC50" s="1"/>
    </row>
    <row r="51" spans="1:29" ht="31.5" x14ac:dyDescent="0.25">
      <c r="A51" s="2">
        <v>50</v>
      </c>
      <c r="B51" s="3" t="s">
        <v>103</v>
      </c>
      <c r="C51" s="3" t="s">
        <v>74</v>
      </c>
      <c r="D51" s="4" t="s">
        <v>114</v>
      </c>
      <c r="E51" s="5" t="s">
        <v>115</v>
      </c>
      <c r="F51" s="6"/>
      <c r="G51" s="3">
        <v>0</v>
      </c>
      <c r="H51" s="7">
        <v>2</v>
      </c>
      <c r="I51" s="8">
        <v>2</v>
      </c>
      <c r="J51" s="9"/>
      <c r="K51" s="10"/>
      <c r="L51" s="11"/>
      <c r="M51" s="2"/>
      <c r="N51" s="6"/>
      <c r="O51" s="3">
        <v>1</v>
      </c>
      <c r="P51" s="3">
        <v>0</v>
      </c>
      <c r="Q51" s="6"/>
      <c r="R51" s="6"/>
      <c r="S51" s="12">
        <f t="shared" si="0"/>
        <v>30</v>
      </c>
      <c r="T51" s="13">
        <f t="shared" si="1"/>
        <v>0</v>
      </c>
      <c r="U51" s="10">
        <f t="shared" si="2"/>
        <v>0</v>
      </c>
      <c r="V51" s="11">
        <f t="shared" ref="V51:V54" si="7">IF(L51="",0,IF(M51="T",L51*15*2,L51*15*3))</f>
        <v>0</v>
      </c>
      <c r="W51" s="2">
        <f t="shared" si="4"/>
        <v>60</v>
      </c>
      <c r="X51" s="2">
        <f t="shared" si="5"/>
        <v>10</v>
      </c>
      <c r="Y51" s="6"/>
      <c r="Z51" s="2">
        <v>1</v>
      </c>
      <c r="AA51" s="6"/>
      <c r="AB51" s="1"/>
      <c r="AC51" s="1"/>
    </row>
    <row r="52" spans="1:29" ht="31.5" x14ac:dyDescent="0.25">
      <c r="A52" s="2">
        <v>51</v>
      </c>
      <c r="B52" s="3" t="s">
        <v>103</v>
      </c>
      <c r="C52" s="3" t="s">
        <v>74</v>
      </c>
      <c r="D52" s="4" t="s">
        <v>116</v>
      </c>
      <c r="E52" s="5" t="s">
        <v>117</v>
      </c>
      <c r="F52" s="6"/>
      <c r="G52" s="3">
        <v>2</v>
      </c>
      <c r="H52" s="7">
        <v>2</v>
      </c>
      <c r="I52" s="8">
        <v>2</v>
      </c>
      <c r="J52" s="9"/>
      <c r="K52" s="10"/>
      <c r="L52" s="11"/>
      <c r="M52" s="2"/>
      <c r="N52" s="6"/>
      <c r="O52" s="3">
        <v>1</v>
      </c>
      <c r="P52" s="3">
        <v>0</v>
      </c>
      <c r="Q52" s="6"/>
      <c r="R52" s="6"/>
      <c r="S52" s="12">
        <f t="shared" si="0"/>
        <v>30</v>
      </c>
      <c r="T52" s="13">
        <f t="shared" si="1"/>
        <v>0</v>
      </c>
      <c r="U52" s="10">
        <f t="shared" si="2"/>
        <v>0</v>
      </c>
      <c r="V52" s="11">
        <f t="shared" si="7"/>
        <v>0</v>
      </c>
      <c r="W52" s="2">
        <f t="shared" si="4"/>
        <v>60</v>
      </c>
      <c r="X52" s="2">
        <f t="shared" si="5"/>
        <v>10</v>
      </c>
      <c r="Y52" s="6"/>
      <c r="Z52" s="2">
        <v>1</v>
      </c>
      <c r="AA52" s="6"/>
      <c r="AB52" s="1"/>
      <c r="AC52" s="1"/>
    </row>
    <row r="53" spans="1:29" ht="15.75" x14ac:dyDescent="0.25">
      <c r="A53" s="2">
        <v>52</v>
      </c>
      <c r="B53" s="3" t="s">
        <v>118</v>
      </c>
      <c r="C53" s="3" t="s">
        <v>119</v>
      </c>
      <c r="D53" s="4" t="s">
        <v>120</v>
      </c>
      <c r="E53" s="5" t="s">
        <v>121</v>
      </c>
      <c r="F53" s="6"/>
      <c r="G53" s="3">
        <v>7</v>
      </c>
      <c r="H53" s="7">
        <v>3</v>
      </c>
      <c r="I53" s="8"/>
      <c r="J53" s="9"/>
      <c r="K53" s="10"/>
      <c r="L53" s="15">
        <v>3</v>
      </c>
      <c r="M53" s="2"/>
      <c r="N53" s="6"/>
      <c r="O53" s="3">
        <v>0</v>
      </c>
      <c r="P53" s="3">
        <v>0</v>
      </c>
      <c r="Q53" s="6"/>
      <c r="R53" s="6"/>
      <c r="S53" s="12">
        <f t="shared" si="0"/>
        <v>0</v>
      </c>
      <c r="T53" s="13">
        <f t="shared" si="1"/>
        <v>0</v>
      </c>
      <c r="U53" s="10">
        <f t="shared" si="2"/>
        <v>0</v>
      </c>
      <c r="V53" s="11">
        <f t="shared" si="7"/>
        <v>135</v>
      </c>
      <c r="W53" s="2">
        <f t="shared" si="4"/>
        <v>135</v>
      </c>
      <c r="X53" s="2">
        <f t="shared" si="5"/>
        <v>15</v>
      </c>
      <c r="Y53" s="6"/>
      <c r="Z53" s="2">
        <v>1</v>
      </c>
      <c r="AA53" s="6"/>
      <c r="AB53" s="1"/>
      <c r="AC53" s="1"/>
    </row>
    <row r="54" spans="1:29" ht="15.75" x14ac:dyDescent="0.25">
      <c r="A54" s="2">
        <v>53</v>
      </c>
      <c r="B54" s="3" t="s">
        <v>118</v>
      </c>
      <c r="C54" s="3" t="s">
        <v>119</v>
      </c>
      <c r="D54" s="4" t="s">
        <v>122</v>
      </c>
      <c r="E54" s="5" t="s">
        <v>123</v>
      </c>
      <c r="F54" s="6"/>
      <c r="G54" s="3">
        <v>8</v>
      </c>
      <c r="H54" s="7">
        <v>7</v>
      </c>
      <c r="I54" s="8"/>
      <c r="J54" s="9"/>
      <c r="K54" s="10"/>
      <c r="L54" s="16">
        <v>7</v>
      </c>
      <c r="M54" s="2"/>
      <c r="N54" s="6"/>
      <c r="O54" s="3">
        <v>0</v>
      </c>
      <c r="P54" s="3">
        <v>0</v>
      </c>
      <c r="Q54" s="6"/>
      <c r="R54" s="6"/>
      <c r="S54" s="12">
        <f t="shared" si="0"/>
        <v>0</v>
      </c>
      <c r="T54" s="13">
        <f t="shared" si="1"/>
        <v>0</v>
      </c>
      <c r="U54" s="10">
        <f t="shared" si="2"/>
        <v>0</v>
      </c>
      <c r="V54" s="11">
        <f t="shared" si="7"/>
        <v>315</v>
      </c>
      <c r="W54" s="2">
        <f t="shared" si="4"/>
        <v>315</v>
      </c>
      <c r="X54" s="2">
        <f t="shared" si="5"/>
        <v>35</v>
      </c>
      <c r="Y54" s="6"/>
      <c r="Z54" s="2">
        <v>1</v>
      </c>
      <c r="AA54" s="6"/>
      <c r="AB54" s="1"/>
      <c r="AC54" s="1"/>
    </row>
  </sheetData>
  <dataValidations count="5">
    <dataValidation type="list" allowBlank="1" showErrorMessage="1" sqref="Y2:Y54" xr:uid="{00000000-0002-0000-0000-000000000000}">
      <formula1>#REF!</formula1>
    </dataValidation>
    <dataValidation type="list" allowBlank="1" showErrorMessage="1" sqref="Z2:Z54" xr:uid="{00000000-0002-0000-0000-000001000000}">
      <formula1>"1,0"</formula1>
    </dataValidation>
    <dataValidation type="list" allowBlank="1" showErrorMessage="1" sqref="R2:R54" xr:uid="{00000000-0002-0000-0000-000002000000}">
      <formula1>"Tiên quyết (c),Học trước (d),Song hành (e)"</formula1>
    </dataValidation>
    <dataValidation type="list" allowBlank="1" showErrorMessage="1" sqref="N2:N54" xr:uid="{00000000-0002-0000-0000-000003000000}">
      <formula1>"Nhóm 1,Nhóm 2,Nhóm 3,Nhóm 4"</formula1>
    </dataValidation>
    <dataValidation type="list" allowBlank="1" showErrorMessage="1" sqref="M2:M54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C62"/>
  <sheetViews>
    <sheetView workbookViewId="0">
      <selection activeCell="I2" sqref="A2:XFD3"/>
    </sheetView>
  </sheetViews>
  <sheetFormatPr defaultColWidth="14.42578125" defaultRowHeight="15" customHeight="1" outlineLevelCol="1" x14ac:dyDescent="0.25"/>
  <cols>
    <col min="1" max="1" width="9.28515625" customWidth="1"/>
    <col min="2" max="2" width="16.28515625" customWidth="1"/>
    <col min="3" max="3" width="23" customWidth="1"/>
    <col min="5" max="5" width="22.42578125" customWidth="1"/>
    <col min="9" max="9" width="11.5703125" customWidth="1"/>
    <col min="13" max="25" width="14.42578125" outlineLevel="1"/>
    <col min="26" max="26" width="17.28515625" customWidth="1" outlineLevel="1"/>
    <col min="27" max="29" width="14.42578125" outlineLevel="1"/>
  </cols>
  <sheetData>
    <row r="1" spans="1:29" ht="15" customHeight="1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</row>
    <row r="2" spans="1:29" ht="31.5" x14ac:dyDescent="0.25">
      <c r="A2" s="2">
        <v>1</v>
      </c>
      <c r="B2" s="3" t="s">
        <v>7</v>
      </c>
      <c r="C2" s="3" t="s">
        <v>8</v>
      </c>
      <c r="D2" s="4" t="s">
        <v>9</v>
      </c>
      <c r="E2" s="5" t="s">
        <v>10</v>
      </c>
      <c r="F2" s="6"/>
      <c r="G2" s="3">
        <v>1</v>
      </c>
      <c r="H2" s="7">
        <v>3</v>
      </c>
      <c r="I2" s="8">
        <v>3</v>
      </c>
      <c r="J2" s="9"/>
      <c r="K2" s="17"/>
      <c r="L2" s="15"/>
      <c r="M2" s="2"/>
      <c r="N2" s="2"/>
      <c r="O2" s="3">
        <v>0</v>
      </c>
      <c r="P2" s="3">
        <v>0</v>
      </c>
      <c r="Q2" s="2"/>
      <c r="R2" s="2"/>
      <c r="S2" s="12">
        <f t="shared" ref="S2:S62" si="0">I2*15</f>
        <v>45</v>
      </c>
      <c r="T2" s="13">
        <f t="shared" ref="T2:T62" si="1">IF(J2="",0,IF(M2="T",J2*15*2,IF(M2="N",J2*15*3,"fail")))</f>
        <v>0</v>
      </c>
      <c r="U2" s="10">
        <f t="shared" ref="U2:U62" si="2">K2*15</f>
        <v>0</v>
      </c>
      <c r="V2" s="11">
        <f t="shared" ref="V2:V4" si="3">IF(L2="",0,IF(M2="T",L2*15*2,IF(M2="N",L2*15*3,"fail")))</f>
        <v>0</v>
      </c>
      <c r="W2" s="2">
        <f t="shared" ref="W2:W62" si="4">(I2*2+J2+K2*3+L2*3)*15</f>
        <v>90</v>
      </c>
      <c r="X2" s="2">
        <f t="shared" ref="X2:X62" si="5">H2*5</f>
        <v>15</v>
      </c>
      <c r="Y2" s="2"/>
      <c r="Z2" s="2">
        <v>1</v>
      </c>
      <c r="AA2" s="6"/>
      <c r="AB2" s="1"/>
      <c r="AC2" s="1"/>
    </row>
    <row r="3" spans="1:29" ht="31.5" x14ac:dyDescent="0.25">
      <c r="A3" s="2">
        <v>2</v>
      </c>
      <c r="B3" s="3" t="s">
        <v>7</v>
      </c>
      <c r="C3" s="3" t="s">
        <v>8</v>
      </c>
      <c r="D3" s="4" t="s">
        <v>14</v>
      </c>
      <c r="E3" s="5" t="s">
        <v>15</v>
      </c>
      <c r="F3" s="6"/>
      <c r="G3" s="3">
        <v>2</v>
      </c>
      <c r="H3" s="7">
        <v>2</v>
      </c>
      <c r="I3" s="8">
        <v>2</v>
      </c>
      <c r="J3" s="9"/>
      <c r="K3" s="17"/>
      <c r="L3" s="15"/>
      <c r="M3" s="2"/>
      <c r="N3" s="2"/>
      <c r="O3" s="3">
        <v>0</v>
      </c>
      <c r="P3" s="3">
        <v>0</v>
      </c>
      <c r="Q3" s="4" t="s">
        <v>9</v>
      </c>
      <c r="R3" s="2" t="s">
        <v>124</v>
      </c>
      <c r="S3" s="12">
        <f t="shared" si="0"/>
        <v>30</v>
      </c>
      <c r="T3" s="13">
        <f t="shared" si="1"/>
        <v>0</v>
      </c>
      <c r="U3" s="10">
        <f t="shared" si="2"/>
        <v>0</v>
      </c>
      <c r="V3" s="11">
        <f t="shared" si="3"/>
        <v>0</v>
      </c>
      <c r="W3" s="2">
        <f t="shared" si="4"/>
        <v>60</v>
      </c>
      <c r="X3" s="2">
        <f t="shared" si="5"/>
        <v>10</v>
      </c>
      <c r="Y3" s="2"/>
      <c r="Z3" s="2">
        <v>1</v>
      </c>
      <c r="AA3" s="6"/>
      <c r="AB3" s="1"/>
      <c r="AC3" s="1"/>
    </row>
    <row r="4" spans="1:29" ht="31.5" x14ac:dyDescent="0.25">
      <c r="A4" s="2">
        <v>3</v>
      </c>
      <c r="B4" s="3" t="s">
        <v>7</v>
      </c>
      <c r="C4" s="3" t="s">
        <v>8</v>
      </c>
      <c r="D4" s="4" t="s">
        <v>125</v>
      </c>
      <c r="E4" s="5" t="s">
        <v>13</v>
      </c>
      <c r="F4" s="6"/>
      <c r="G4" s="3">
        <v>3</v>
      </c>
      <c r="H4" s="7">
        <v>2</v>
      </c>
      <c r="I4" s="8">
        <v>2</v>
      </c>
      <c r="J4" s="9"/>
      <c r="K4" s="17"/>
      <c r="L4" s="15"/>
      <c r="M4" s="2"/>
      <c r="N4" s="2"/>
      <c r="O4" s="3">
        <v>0</v>
      </c>
      <c r="P4" s="3">
        <v>0</v>
      </c>
      <c r="Q4" s="2"/>
      <c r="R4" s="2"/>
      <c r="S4" s="12">
        <f t="shared" si="0"/>
        <v>30</v>
      </c>
      <c r="T4" s="13">
        <f t="shared" si="1"/>
        <v>0</v>
      </c>
      <c r="U4" s="10">
        <f t="shared" si="2"/>
        <v>0</v>
      </c>
      <c r="V4" s="11">
        <f t="shared" si="3"/>
        <v>0</v>
      </c>
      <c r="W4" s="2">
        <f t="shared" si="4"/>
        <v>60</v>
      </c>
      <c r="X4" s="2">
        <f t="shared" si="5"/>
        <v>10</v>
      </c>
      <c r="Y4" s="2"/>
      <c r="Z4" s="2">
        <v>1</v>
      </c>
      <c r="AA4" s="6"/>
      <c r="AB4" s="1"/>
      <c r="AC4" s="1"/>
    </row>
    <row r="5" spans="1:29" ht="31.5" x14ac:dyDescent="0.25">
      <c r="A5" s="2">
        <v>4</v>
      </c>
      <c r="B5" s="3" t="s">
        <v>7</v>
      </c>
      <c r="C5" s="3" t="s">
        <v>8</v>
      </c>
      <c r="D5" s="4" t="s">
        <v>126</v>
      </c>
      <c r="E5" s="5" t="s">
        <v>127</v>
      </c>
      <c r="F5" s="6"/>
      <c r="G5" s="3">
        <v>5</v>
      </c>
      <c r="H5" s="7">
        <v>2</v>
      </c>
      <c r="I5" s="8">
        <v>2</v>
      </c>
      <c r="J5" s="9"/>
      <c r="K5" s="17"/>
      <c r="L5" s="15"/>
      <c r="M5" s="2"/>
      <c r="N5" s="2"/>
      <c r="O5" s="3">
        <v>0</v>
      </c>
      <c r="P5" s="3">
        <v>0</v>
      </c>
      <c r="Q5" s="2"/>
      <c r="R5" s="2"/>
      <c r="S5" s="12">
        <f t="shared" si="0"/>
        <v>30</v>
      </c>
      <c r="T5" s="13">
        <f t="shared" si="1"/>
        <v>0</v>
      </c>
      <c r="U5" s="10">
        <f t="shared" si="2"/>
        <v>0</v>
      </c>
      <c r="V5" s="11">
        <f t="shared" ref="V5:V62" si="6">IF(L5="",0,IF(M5="T",L5*15*2,L5*15*3))</f>
        <v>0</v>
      </c>
      <c r="W5" s="2">
        <f t="shared" si="4"/>
        <v>60</v>
      </c>
      <c r="X5" s="2">
        <f t="shared" si="5"/>
        <v>10</v>
      </c>
      <c r="Y5" s="2"/>
      <c r="Z5" s="2">
        <v>1</v>
      </c>
      <c r="AA5" s="6"/>
      <c r="AB5" s="1"/>
      <c r="AC5" s="1"/>
    </row>
    <row r="6" spans="1:29" ht="31.5" x14ac:dyDescent="0.25">
      <c r="A6" s="2">
        <v>5</v>
      </c>
      <c r="B6" s="3" t="s">
        <v>7</v>
      </c>
      <c r="C6" s="3" t="s">
        <v>8</v>
      </c>
      <c r="D6" s="4" t="s">
        <v>26</v>
      </c>
      <c r="E6" s="5" t="s">
        <v>27</v>
      </c>
      <c r="F6" s="6"/>
      <c r="G6" s="3">
        <v>4</v>
      </c>
      <c r="H6" s="7">
        <v>2</v>
      </c>
      <c r="I6" s="8">
        <v>1.3333333333333333</v>
      </c>
      <c r="J6" s="9">
        <v>0.66666666666666663</v>
      </c>
      <c r="K6" s="17"/>
      <c r="L6" s="15"/>
      <c r="M6" s="2" t="s">
        <v>11</v>
      </c>
      <c r="N6" s="2"/>
      <c r="O6" s="3">
        <v>0</v>
      </c>
      <c r="P6" s="3">
        <v>0</v>
      </c>
      <c r="Q6" s="2"/>
      <c r="R6" s="2"/>
      <c r="S6" s="12">
        <f t="shared" si="0"/>
        <v>20</v>
      </c>
      <c r="T6" s="13">
        <f t="shared" si="1"/>
        <v>20</v>
      </c>
      <c r="U6" s="10">
        <f t="shared" si="2"/>
        <v>0</v>
      </c>
      <c r="V6" s="11">
        <f t="shared" si="6"/>
        <v>0</v>
      </c>
      <c r="W6" s="2">
        <f t="shared" si="4"/>
        <v>49.999999999999993</v>
      </c>
      <c r="X6" s="2">
        <f t="shared" si="5"/>
        <v>10</v>
      </c>
      <c r="Y6" s="2"/>
      <c r="Z6" s="2">
        <v>1</v>
      </c>
      <c r="AA6" s="6"/>
      <c r="AB6" s="1"/>
      <c r="AC6" s="1"/>
    </row>
    <row r="7" spans="1:29" ht="31.5" x14ac:dyDescent="0.25">
      <c r="A7" s="2">
        <v>6</v>
      </c>
      <c r="B7" s="3" t="s">
        <v>7</v>
      </c>
      <c r="C7" s="3" t="s">
        <v>8</v>
      </c>
      <c r="D7" s="4" t="s">
        <v>128</v>
      </c>
      <c r="E7" s="5" t="s">
        <v>31</v>
      </c>
      <c r="F7" s="6"/>
      <c r="G7" s="3">
        <v>1</v>
      </c>
      <c r="H7" s="7">
        <v>3</v>
      </c>
      <c r="I7" s="8">
        <v>3</v>
      </c>
      <c r="J7" s="9"/>
      <c r="K7" s="17"/>
      <c r="L7" s="15"/>
      <c r="M7" s="2"/>
      <c r="N7" s="2"/>
      <c r="O7" s="3">
        <v>1</v>
      </c>
      <c r="P7" s="3">
        <v>14</v>
      </c>
      <c r="Q7" s="2"/>
      <c r="R7" s="2"/>
      <c r="S7" s="12">
        <f t="shared" si="0"/>
        <v>45</v>
      </c>
      <c r="T7" s="13">
        <f t="shared" si="1"/>
        <v>0</v>
      </c>
      <c r="U7" s="10">
        <f t="shared" si="2"/>
        <v>0</v>
      </c>
      <c r="V7" s="11">
        <f t="shared" si="6"/>
        <v>0</v>
      </c>
      <c r="W7" s="2">
        <f t="shared" si="4"/>
        <v>90</v>
      </c>
      <c r="X7" s="2">
        <f t="shared" si="5"/>
        <v>15</v>
      </c>
      <c r="Y7" s="2"/>
      <c r="Z7" s="2">
        <v>1</v>
      </c>
      <c r="AA7" s="6"/>
      <c r="AB7" s="1"/>
      <c r="AC7" s="1"/>
    </row>
    <row r="8" spans="1:29" ht="31.5" x14ac:dyDescent="0.25">
      <c r="A8" s="2">
        <v>7</v>
      </c>
      <c r="B8" s="3" t="s">
        <v>7</v>
      </c>
      <c r="C8" s="3" t="s">
        <v>8</v>
      </c>
      <c r="D8" s="4" t="s">
        <v>32</v>
      </c>
      <c r="E8" s="5" t="s">
        <v>33</v>
      </c>
      <c r="F8" s="6"/>
      <c r="G8" s="3">
        <v>2</v>
      </c>
      <c r="H8" s="7">
        <v>3</v>
      </c>
      <c r="I8" s="8">
        <v>3</v>
      </c>
      <c r="J8" s="9"/>
      <c r="K8" s="17"/>
      <c r="L8" s="15"/>
      <c r="M8" s="2"/>
      <c r="N8" s="2"/>
      <c r="O8" s="3">
        <v>1</v>
      </c>
      <c r="P8" s="3">
        <v>15</v>
      </c>
      <c r="Q8" s="4" t="s">
        <v>128</v>
      </c>
      <c r="R8" s="2" t="s">
        <v>124</v>
      </c>
      <c r="S8" s="12">
        <f t="shared" si="0"/>
        <v>45</v>
      </c>
      <c r="T8" s="13">
        <f t="shared" si="1"/>
        <v>0</v>
      </c>
      <c r="U8" s="10">
        <f t="shared" si="2"/>
        <v>0</v>
      </c>
      <c r="V8" s="11">
        <f t="shared" si="6"/>
        <v>0</v>
      </c>
      <c r="W8" s="2">
        <f t="shared" si="4"/>
        <v>90</v>
      </c>
      <c r="X8" s="2">
        <f t="shared" si="5"/>
        <v>15</v>
      </c>
      <c r="Y8" s="2"/>
      <c r="Z8" s="2">
        <v>1</v>
      </c>
      <c r="AA8" s="6"/>
      <c r="AB8" s="1"/>
      <c r="AC8" s="1"/>
    </row>
    <row r="9" spans="1:29" ht="31.5" x14ac:dyDescent="0.25">
      <c r="A9" s="2">
        <v>8</v>
      </c>
      <c r="B9" s="3" t="s">
        <v>7</v>
      </c>
      <c r="C9" s="3" t="s">
        <v>8</v>
      </c>
      <c r="D9" s="4" t="s">
        <v>129</v>
      </c>
      <c r="E9" s="5" t="s">
        <v>35</v>
      </c>
      <c r="F9" s="6"/>
      <c r="G9" s="3">
        <v>3</v>
      </c>
      <c r="H9" s="7">
        <v>3</v>
      </c>
      <c r="I9" s="8">
        <v>3</v>
      </c>
      <c r="J9" s="9"/>
      <c r="K9" s="17"/>
      <c r="L9" s="15"/>
      <c r="M9" s="2"/>
      <c r="N9" s="2"/>
      <c r="O9" s="3">
        <v>1</v>
      </c>
      <c r="P9" s="3">
        <v>16</v>
      </c>
      <c r="Q9" s="4" t="s">
        <v>32</v>
      </c>
      <c r="R9" s="2" t="s">
        <v>124</v>
      </c>
      <c r="S9" s="12">
        <f t="shared" si="0"/>
        <v>45</v>
      </c>
      <c r="T9" s="13">
        <f t="shared" si="1"/>
        <v>0</v>
      </c>
      <c r="U9" s="10">
        <f t="shared" si="2"/>
        <v>0</v>
      </c>
      <c r="V9" s="11">
        <f t="shared" si="6"/>
        <v>0</v>
      </c>
      <c r="W9" s="2">
        <f t="shared" si="4"/>
        <v>90</v>
      </c>
      <c r="X9" s="2">
        <f t="shared" si="5"/>
        <v>15</v>
      </c>
      <c r="Y9" s="2"/>
      <c r="Z9" s="2">
        <v>1</v>
      </c>
      <c r="AA9" s="6"/>
      <c r="AB9" s="1"/>
      <c r="AC9" s="1"/>
    </row>
    <row r="10" spans="1:29" ht="31.5" x14ac:dyDescent="0.25">
      <c r="A10" s="2">
        <v>9</v>
      </c>
      <c r="B10" s="3" t="s">
        <v>7</v>
      </c>
      <c r="C10" s="3" t="s">
        <v>8</v>
      </c>
      <c r="D10" s="4" t="s">
        <v>20</v>
      </c>
      <c r="E10" s="5" t="s">
        <v>21</v>
      </c>
      <c r="F10" s="6"/>
      <c r="G10" s="3">
        <v>1</v>
      </c>
      <c r="H10" s="7">
        <v>2</v>
      </c>
      <c r="I10" s="8">
        <v>2</v>
      </c>
      <c r="J10" s="9"/>
      <c r="K10" s="17"/>
      <c r="L10" s="15"/>
      <c r="M10" s="2"/>
      <c r="N10" s="2"/>
      <c r="O10" s="3">
        <v>0</v>
      </c>
      <c r="P10" s="3">
        <v>0</v>
      </c>
      <c r="Q10" s="2"/>
      <c r="R10" s="2"/>
      <c r="S10" s="12">
        <f t="shared" si="0"/>
        <v>30</v>
      </c>
      <c r="T10" s="13">
        <f t="shared" si="1"/>
        <v>0</v>
      </c>
      <c r="U10" s="10">
        <f t="shared" si="2"/>
        <v>0</v>
      </c>
      <c r="V10" s="11">
        <f t="shared" si="6"/>
        <v>0</v>
      </c>
      <c r="W10" s="2">
        <f t="shared" si="4"/>
        <v>60</v>
      </c>
      <c r="X10" s="2">
        <f t="shared" si="5"/>
        <v>10</v>
      </c>
      <c r="Y10" s="2"/>
      <c r="Z10" s="2">
        <v>1</v>
      </c>
      <c r="AA10" s="6"/>
      <c r="AB10" s="1"/>
      <c r="AC10" s="1"/>
    </row>
    <row r="11" spans="1:29" ht="31.5" x14ac:dyDescent="0.25">
      <c r="A11" s="2">
        <v>10</v>
      </c>
      <c r="B11" s="3" t="s">
        <v>7</v>
      </c>
      <c r="C11" s="3" t="s">
        <v>8</v>
      </c>
      <c r="D11" s="4" t="s">
        <v>130</v>
      </c>
      <c r="E11" s="5" t="s">
        <v>131</v>
      </c>
      <c r="F11" s="6"/>
      <c r="G11" s="3">
        <v>1</v>
      </c>
      <c r="H11" s="7">
        <v>1</v>
      </c>
      <c r="I11" s="8">
        <v>1</v>
      </c>
      <c r="J11" s="9"/>
      <c r="K11" s="17"/>
      <c r="L11" s="15"/>
      <c r="M11" s="2"/>
      <c r="N11" s="2"/>
      <c r="O11" s="3">
        <v>0</v>
      </c>
      <c r="P11" s="3">
        <v>0</v>
      </c>
      <c r="Q11" s="2"/>
      <c r="R11" s="2"/>
      <c r="S11" s="12">
        <f t="shared" si="0"/>
        <v>15</v>
      </c>
      <c r="T11" s="13">
        <f t="shared" si="1"/>
        <v>0</v>
      </c>
      <c r="U11" s="10">
        <f t="shared" si="2"/>
        <v>0</v>
      </c>
      <c r="V11" s="11">
        <f t="shared" si="6"/>
        <v>0</v>
      </c>
      <c r="W11" s="2">
        <f t="shared" si="4"/>
        <v>30</v>
      </c>
      <c r="X11" s="2">
        <f t="shared" si="5"/>
        <v>5</v>
      </c>
      <c r="Y11" s="2"/>
      <c r="Z11" s="2">
        <v>1</v>
      </c>
      <c r="AA11" s="6"/>
      <c r="AB11" s="1"/>
      <c r="AC11" s="1"/>
    </row>
    <row r="12" spans="1:29" ht="31.5" x14ac:dyDescent="0.25">
      <c r="A12" s="2">
        <v>11</v>
      </c>
      <c r="B12" s="3" t="s">
        <v>7</v>
      </c>
      <c r="C12" s="3" t="s">
        <v>8</v>
      </c>
      <c r="D12" s="4" t="s">
        <v>132</v>
      </c>
      <c r="E12" s="5" t="s">
        <v>23</v>
      </c>
      <c r="F12" s="6"/>
      <c r="G12" s="3">
        <v>2</v>
      </c>
      <c r="H12" s="7">
        <v>3</v>
      </c>
      <c r="I12" s="8">
        <v>2</v>
      </c>
      <c r="J12" s="9">
        <v>1</v>
      </c>
      <c r="K12" s="17"/>
      <c r="L12" s="15"/>
      <c r="M12" s="2" t="s">
        <v>11</v>
      </c>
      <c r="N12" s="2"/>
      <c r="O12" s="3">
        <v>1</v>
      </c>
      <c r="P12" s="3">
        <v>17</v>
      </c>
      <c r="Q12" s="2"/>
      <c r="R12" s="2"/>
      <c r="S12" s="12">
        <f t="shared" si="0"/>
        <v>30</v>
      </c>
      <c r="T12" s="13">
        <f t="shared" si="1"/>
        <v>30</v>
      </c>
      <c r="U12" s="10">
        <f t="shared" si="2"/>
        <v>0</v>
      </c>
      <c r="V12" s="11">
        <f t="shared" si="6"/>
        <v>0</v>
      </c>
      <c r="W12" s="2">
        <f t="shared" si="4"/>
        <v>75</v>
      </c>
      <c r="X12" s="2">
        <f t="shared" si="5"/>
        <v>15</v>
      </c>
      <c r="Y12" s="2"/>
      <c r="Z12" s="2">
        <v>1</v>
      </c>
      <c r="AA12" s="6"/>
      <c r="AB12" s="1"/>
      <c r="AC12" s="1"/>
    </row>
    <row r="13" spans="1:29" ht="31.5" x14ac:dyDescent="0.25">
      <c r="A13" s="2">
        <v>12</v>
      </c>
      <c r="B13" s="3" t="s">
        <v>7</v>
      </c>
      <c r="C13" s="3" t="s">
        <v>8</v>
      </c>
      <c r="D13" s="4" t="s">
        <v>133</v>
      </c>
      <c r="E13" s="5" t="s">
        <v>134</v>
      </c>
      <c r="F13" s="6"/>
      <c r="G13" s="3">
        <v>1</v>
      </c>
      <c r="H13" s="7">
        <v>2</v>
      </c>
      <c r="I13" s="8">
        <v>2</v>
      </c>
      <c r="J13" s="9"/>
      <c r="K13" s="17"/>
      <c r="L13" s="15"/>
      <c r="M13" s="2"/>
      <c r="N13" s="2"/>
      <c r="O13" s="3">
        <v>1</v>
      </c>
      <c r="P13" s="3">
        <v>18</v>
      </c>
      <c r="Q13" s="2"/>
      <c r="R13" s="2"/>
      <c r="S13" s="12">
        <f t="shared" si="0"/>
        <v>30</v>
      </c>
      <c r="T13" s="13">
        <f t="shared" si="1"/>
        <v>0</v>
      </c>
      <c r="U13" s="10">
        <f t="shared" si="2"/>
        <v>0</v>
      </c>
      <c r="V13" s="11">
        <f t="shared" si="6"/>
        <v>0</v>
      </c>
      <c r="W13" s="2">
        <f t="shared" si="4"/>
        <v>60</v>
      </c>
      <c r="X13" s="2">
        <f t="shared" si="5"/>
        <v>10</v>
      </c>
      <c r="Y13" s="2"/>
      <c r="Z13" s="2">
        <v>1</v>
      </c>
      <c r="AA13" s="6"/>
      <c r="AB13" s="1"/>
      <c r="AC13" s="1"/>
    </row>
    <row r="14" spans="1:29" ht="31.5" x14ac:dyDescent="0.25">
      <c r="A14" s="2">
        <v>13</v>
      </c>
      <c r="B14" s="3" t="s">
        <v>7</v>
      </c>
      <c r="C14" s="3" t="s">
        <v>8</v>
      </c>
      <c r="D14" s="4" t="s">
        <v>135</v>
      </c>
      <c r="E14" s="5" t="s">
        <v>136</v>
      </c>
      <c r="F14" s="6"/>
      <c r="G14" s="3">
        <v>1</v>
      </c>
      <c r="H14" s="7">
        <v>2</v>
      </c>
      <c r="I14" s="8">
        <v>1.4</v>
      </c>
      <c r="J14" s="9">
        <v>0.6</v>
      </c>
      <c r="K14" s="17"/>
      <c r="L14" s="15"/>
      <c r="M14" s="2" t="s">
        <v>11</v>
      </c>
      <c r="N14" s="2"/>
      <c r="O14" s="3">
        <v>0</v>
      </c>
      <c r="P14" s="3">
        <v>0</v>
      </c>
      <c r="Q14" s="4" t="s">
        <v>137</v>
      </c>
      <c r="R14" s="2" t="s">
        <v>124</v>
      </c>
      <c r="S14" s="12">
        <f t="shared" si="0"/>
        <v>21</v>
      </c>
      <c r="T14" s="13">
        <f t="shared" si="1"/>
        <v>18</v>
      </c>
      <c r="U14" s="10">
        <f t="shared" si="2"/>
        <v>0</v>
      </c>
      <c r="V14" s="11">
        <f t="shared" si="6"/>
        <v>0</v>
      </c>
      <c r="W14" s="2">
        <f t="shared" si="4"/>
        <v>51</v>
      </c>
      <c r="X14" s="2">
        <f t="shared" si="5"/>
        <v>10</v>
      </c>
      <c r="Y14" s="2"/>
      <c r="Z14" s="2">
        <v>1</v>
      </c>
      <c r="AA14" s="6"/>
      <c r="AB14" s="1"/>
      <c r="AC14" s="1"/>
    </row>
    <row r="15" spans="1:29" ht="31.5" x14ac:dyDescent="0.25">
      <c r="A15" s="2">
        <v>14</v>
      </c>
      <c r="B15" s="3" t="s">
        <v>45</v>
      </c>
      <c r="C15" s="3" t="s">
        <v>46</v>
      </c>
      <c r="D15" s="4" t="s">
        <v>138</v>
      </c>
      <c r="E15" s="5" t="s">
        <v>139</v>
      </c>
      <c r="F15" s="6"/>
      <c r="G15" s="3">
        <v>1</v>
      </c>
      <c r="H15" s="7">
        <v>1</v>
      </c>
      <c r="I15" s="8">
        <v>1</v>
      </c>
      <c r="J15" s="9"/>
      <c r="K15" s="17"/>
      <c r="L15" s="15"/>
      <c r="M15" s="2"/>
      <c r="N15" s="2"/>
      <c r="O15" s="3">
        <v>1</v>
      </c>
      <c r="P15" s="3">
        <v>9</v>
      </c>
      <c r="Q15" s="2"/>
      <c r="R15" s="2"/>
      <c r="S15" s="12">
        <f t="shared" si="0"/>
        <v>15</v>
      </c>
      <c r="T15" s="13">
        <f t="shared" si="1"/>
        <v>0</v>
      </c>
      <c r="U15" s="10">
        <f t="shared" si="2"/>
        <v>0</v>
      </c>
      <c r="V15" s="11">
        <f t="shared" si="6"/>
        <v>0</v>
      </c>
      <c r="W15" s="2">
        <f t="shared" si="4"/>
        <v>30</v>
      </c>
      <c r="X15" s="2">
        <f t="shared" si="5"/>
        <v>5</v>
      </c>
      <c r="Y15" s="2"/>
      <c r="Z15" s="2">
        <v>1</v>
      </c>
      <c r="AA15" s="6"/>
      <c r="AB15" s="1"/>
      <c r="AC15" s="1"/>
    </row>
    <row r="16" spans="1:29" ht="31.5" x14ac:dyDescent="0.25">
      <c r="A16" s="2">
        <v>15</v>
      </c>
      <c r="B16" s="3" t="s">
        <v>45</v>
      </c>
      <c r="C16" s="3" t="s">
        <v>8</v>
      </c>
      <c r="D16" s="4" t="s">
        <v>49</v>
      </c>
      <c r="E16" s="5" t="s">
        <v>50</v>
      </c>
      <c r="F16" s="6"/>
      <c r="G16" s="3">
        <v>2</v>
      </c>
      <c r="H16" s="7">
        <v>3</v>
      </c>
      <c r="I16" s="8">
        <v>2</v>
      </c>
      <c r="J16" s="9">
        <v>1</v>
      </c>
      <c r="K16" s="17"/>
      <c r="L16" s="15"/>
      <c r="M16" s="2" t="s">
        <v>11</v>
      </c>
      <c r="N16" s="2"/>
      <c r="O16" s="3">
        <v>0</v>
      </c>
      <c r="P16" s="3">
        <v>0</v>
      </c>
      <c r="Q16" s="4" t="s">
        <v>140</v>
      </c>
      <c r="R16" s="2" t="s">
        <v>124</v>
      </c>
      <c r="S16" s="12">
        <f t="shared" si="0"/>
        <v>30</v>
      </c>
      <c r="T16" s="13">
        <f t="shared" si="1"/>
        <v>30</v>
      </c>
      <c r="U16" s="10">
        <f t="shared" si="2"/>
        <v>0</v>
      </c>
      <c r="V16" s="11">
        <f t="shared" si="6"/>
        <v>0</v>
      </c>
      <c r="W16" s="2">
        <f t="shared" si="4"/>
        <v>75</v>
      </c>
      <c r="X16" s="2">
        <f t="shared" si="5"/>
        <v>15</v>
      </c>
      <c r="Y16" s="2"/>
      <c r="Z16" s="2">
        <v>1</v>
      </c>
      <c r="AA16" s="6"/>
      <c r="AB16" s="1"/>
      <c r="AC16" s="1"/>
    </row>
    <row r="17" spans="1:29" ht="31.5" x14ac:dyDescent="0.25">
      <c r="A17" s="2">
        <v>16</v>
      </c>
      <c r="B17" s="3" t="s">
        <v>45</v>
      </c>
      <c r="C17" s="3" t="s">
        <v>46</v>
      </c>
      <c r="D17" s="4" t="s">
        <v>55</v>
      </c>
      <c r="E17" s="5" t="s">
        <v>56</v>
      </c>
      <c r="F17" s="6"/>
      <c r="G17" s="3">
        <v>2</v>
      </c>
      <c r="H17" s="7">
        <v>2</v>
      </c>
      <c r="I17" s="8">
        <v>1.3333333333333333</v>
      </c>
      <c r="J17" s="9">
        <v>0.66666666666666663</v>
      </c>
      <c r="K17" s="17"/>
      <c r="L17" s="15"/>
      <c r="M17" s="2" t="s">
        <v>11</v>
      </c>
      <c r="N17" s="2"/>
      <c r="O17" s="3">
        <v>1</v>
      </c>
      <c r="P17" s="3">
        <v>7</v>
      </c>
      <c r="Q17" s="2"/>
      <c r="R17" s="2"/>
      <c r="S17" s="12">
        <f t="shared" si="0"/>
        <v>20</v>
      </c>
      <c r="T17" s="13">
        <f t="shared" si="1"/>
        <v>20</v>
      </c>
      <c r="U17" s="10">
        <f t="shared" si="2"/>
        <v>0</v>
      </c>
      <c r="V17" s="11">
        <f t="shared" si="6"/>
        <v>0</v>
      </c>
      <c r="W17" s="2">
        <f t="shared" si="4"/>
        <v>49.999999999999993</v>
      </c>
      <c r="X17" s="2">
        <f t="shared" si="5"/>
        <v>10</v>
      </c>
      <c r="Y17" s="2"/>
      <c r="Z17" s="2">
        <v>1</v>
      </c>
      <c r="AA17" s="6"/>
      <c r="AB17" s="1"/>
      <c r="AC17" s="1"/>
    </row>
    <row r="18" spans="1:29" ht="31.5" x14ac:dyDescent="0.25">
      <c r="A18" s="2">
        <v>17</v>
      </c>
      <c r="B18" s="3" t="s">
        <v>45</v>
      </c>
      <c r="C18" s="3" t="s">
        <v>46</v>
      </c>
      <c r="D18" s="4" t="s">
        <v>61</v>
      </c>
      <c r="E18" s="5" t="s">
        <v>62</v>
      </c>
      <c r="F18" s="6"/>
      <c r="G18" s="3">
        <v>2</v>
      </c>
      <c r="H18" s="7">
        <v>2</v>
      </c>
      <c r="I18" s="8">
        <v>1.3333333333333333</v>
      </c>
      <c r="J18" s="9">
        <v>0.66666666666666663</v>
      </c>
      <c r="K18" s="17"/>
      <c r="L18" s="15"/>
      <c r="M18" s="2" t="s">
        <v>11</v>
      </c>
      <c r="N18" s="2"/>
      <c r="O18" s="3">
        <v>1</v>
      </c>
      <c r="P18" s="3">
        <v>8</v>
      </c>
      <c r="Q18" s="2"/>
      <c r="R18" s="2"/>
      <c r="S18" s="12">
        <f t="shared" si="0"/>
        <v>20</v>
      </c>
      <c r="T18" s="13">
        <f t="shared" si="1"/>
        <v>20</v>
      </c>
      <c r="U18" s="10">
        <f t="shared" si="2"/>
        <v>0</v>
      </c>
      <c r="V18" s="11">
        <f t="shared" si="6"/>
        <v>0</v>
      </c>
      <c r="W18" s="2">
        <f t="shared" si="4"/>
        <v>49.999999999999993</v>
      </c>
      <c r="X18" s="2">
        <f t="shared" si="5"/>
        <v>10</v>
      </c>
      <c r="Y18" s="2"/>
      <c r="Z18" s="2">
        <v>1</v>
      </c>
      <c r="AA18" s="6"/>
      <c r="AB18" s="1"/>
      <c r="AC18" s="1"/>
    </row>
    <row r="19" spans="1:29" ht="31.5" x14ac:dyDescent="0.25">
      <c r="A19" s="2">
        <v>18</v>
      </c>
      <c r="B19" s="3" t="s">
        <v>45</v>
      </c>
      <c r="C19" s="3" t="s">
        <v>46</v>
      </c>
      <c r="D19" s="4" t="s">
        <v>47</v>
      </c>
      <c r="E19" s="5" t="s">
        <v>48</v>
      </c>
      <c r="F19" s="6"/>
      <c r="G19" s="3">
        <v>2</v>
      </c>
      <c r="H19" s="7">
        <v>3</v>
      </c>
      <c r="I19" s="8">
        <v>2</v>
      </c>
      <c r="J19" s="9">
        <v>1</v>
      </c>
      <c r="K19" s="17"/>
      <c r="L19" s="15"/>
      <c r="M19" s="2" t="s">
        <v>11</v>
      </c>
      <c r="N19" s="2"/>
      <c r="O19" s="3">
        <v>1</v>
      </c>
      <c r="P19" s="3">
        <v>11</v>
      </c>
      <c r="Q19" s="4" t="s">
        <v>140</v>
      </c>
      <c r="R19" s="2" t="s">
        <v>124</v>
      </c>
      <c r="S19" s="12">
        <f t="shared" si="0"/>
        <v>30</v>
      </c>
      <c r="T19" s="13">
        <f t="shared" si="1"/>
        <v>30</v>
      </c>
      <c r="U19" s="10">
        <f t="shared" si="2"/>
        <v>0</v>
      </c>
      <c r="V19" s="11">
        <f t="shared" si="6"/>
        <v>0</v>
      </c>
      <c r="W19" s="2">
        <f t="shared" si="4"/>
        <v>75</v>
      </c>
      <c r="X19" s="2">
        <f t="shared" si="5"/>
        <v>15</v>
      </c>
      <c r="Y19" s="2"/>
      <c r="Z19" s="2">
        <v>1</v>
      </c>
      <c r="AA19" s="6"/>
      <c r="AB19" s="1"/>
      <c r="AC19" s="1"/>
    </row>
    <row r="20" spans="1:29" ht="31.5" x14ac:dyDescent="0.25">
      <c r="A20" s="2">
        <v>19</v>
      </c>
      <c r="B20" s="3" t="s">
        <v>45</v>
      </c>
      <c r="C20" s="3" t="s">
        <v>46</v>
      </c>
      <c r="D20" s="4" t="s">
        <v>57</v>
      </c>
      <c r="E20" s="5" t="s">
        <v>58</v>
      </c>
      <c r="F20" s="6"/>
      <c r="G20" s="3">
        <v>3</v>
      </c>
      <c r="H20" s="7">
        <v>2</v>
      </c>
      <c r="I20" s="8">
        <v>2</v>
      </c>
      <c r="J20" s="9"/>
      <c r="K20" s="17"/>
      <c r="L20" s="15"/>
      <c r="M20" s="2"/>
      <c r="N20" s="2"/>
      <c r="O20" s="3">
        <v>0</v>
      </c>
      <c r="P20" s="3">
        <v>0</v>
      </c>
      <c r="Q20" s="4" t="s">
        <v>141</v>
      </c>
      <c r="R20" s="2" t="s">
        <v>124</v>
      </c>
      <c r="S20" s="12">
        <f t="shared" si="0"/>
        <v>30</v>
      </c>
      <c r="T20" s="13">
        <f t="shared" si="1"/>
        <v>0</v>
      </c>
      <c r="U20" s="10">
        <f t="shared" si="2"/>
        <v>0</v>
      </c>
      <c r="V20" s="11">
        <f t="shared" si="6"/>
        <v>0</v>
      </c>
      <c r="W20" s="2">
        <f t="shared" si="4"/>
        <v>60</v>
      </c>
      <c r="X20" s="2">
        <f t="shared" si="5"/>
        <v>10</v>
      </c>
      <c r="Y20" s="2"/>
      <c r="Z20" s="2">
        <v>1</v>
      </c>
      <c r="AA20" s="6"/>
      <c r="AB20" s="1"/>
      <c r="AC20" s="1"/>
    </row>
    <row r="21" spans="1:29" ht="31.5" x14ac:dyDescent="0.25">
      <c r="A21" s="2">
        <v>20</v>
      </c>
      <c r="B21" s="3" t="s">
        <v>45</v>
      </c>
      <c r="C21" s="3" t="s">
        <v>46</v>
      </c>
      <c r="D21" s="4" t="s">
        <v>142</v>
      </c>
      <c r="E21" s="5" t="s">
        <v>52</v>
      </c>
      <c r="F21" s="6"/>
      <c r="G21" s="3">
        <v>3</v>
      </c>
      <c r="H21" s="7">
        <v>3</v>
      </c>
      <c r="I21" s="8">
        <v>2</v>
      </c>
      <c r="J21" s="9">
        <v>1</v>
      </c>
      <c r="K21" s="17"/>
      <c r="L21" s="15"/>
      <c r="M21" s="2" t="s">
        <v>11</v>
      </c>
      <c r="N21" s="2"/>
      <c r="O21" s="3">
        <v>1</v>
      </c>
      <c r="P21" s="3">
        <v>5</v>
      </c>
      <c r="Q21" s="4" t="s">
        <v>140</v>
      </c>
      <c r="R21" s="2" t="s">
        <v>124</v>
      </c>
      <c r="S21" s="12">
        <f t="shared" si="0"/>
        <v>30</v>
      </c>
      <c r="T21" s="13">
        <f t="shared" si="1"/>
        <v>30</v>
      </c>
      <c r="U21" s="10">
        <f t="shared" si="2"/>
        <v>0</v>
      </c>
      <c r="V21" s="11">
        <f t="shared" si="6"/>
        <v>0</v>
      </c>
      <c r="W21" s="2">
        <f t="shared" si="4"/>
        <v>75</v>
      </c>
      <c r="X21" s="2">
        <f t="shared" si="5"/>
        <v>15</v>
      </c>
      <c r="Y21" s="2"/>
      <c r="Z21" s="2">
        <v>1</v>
      </c>
      <c r="AA21" s="6"/>
      <c r="AB21" s="1"/>
      <c r="AC21" s="1"/>
    </row>
    <row r="22" spans="1:29" ht="31.5" x14ac:dyDescent="0.25">
      <c r="A22" s="2">
        <v>21</v>
      </c>
      <c r="B22" s="3" t="s">
        <v>45</v>
      </c>
      <c r="C22" s="3" t="s">
        <v>46</v>
      </c>
      <c r="D22" s="4" t="s">
        <v>143</v>
      </c>
      <c r="E22" s="5" t="s">
        <v>60</v>
      </c>
      <c r="F22" s="6"/>
      <c r="G22" s="3">
        <v>3</v>
      </c>
      <c r="H22" s="7">
        <v>3</v>
      </c>
      <c r="I22" s="8">
        <v>2</v>
      </c>
      <c r="J22" s="9">
        <v>1</v>
      </c>
      <c r="K22" s="17"/>
      <c r="L22" s="15"/>
      <c r="M22" s="2" t="s">
        <v>11</v>
      </c>
      <c r="N22" s="2"/>
      <c r="O22" s="3">
        <v>0</v>
      </c>
      <c r="P22" s="3">
        <v>0</v>
      </c>
      <c r="Q22" s="4" t="s">
        <v>144</v>
      </c>
      <c r="R22" s="2" t="s">
        <v>124</v>
      </c>
      <c r="S22" s="12">
        <f t="shared" si="0"/>
        <v>30</v>
      </c>
      <c r="T22" s="13">
        <f t="shared" si="1"/>
        <v>30</v>
      </c>
      <c r="U22" s="10">
        <f t="shared" si="2"/>
        <v>0</v>
      </c>
      <c r="V22" s="11">
        <f t="shared" si="6"/>
        <v>0</v>
      </c>
      <c r="W22" s="2">
        <f t="shared" si="4"/>
        <v>75</v>
      </c>
      <c r="X22" s="2">
        <f t="shared" si="5"/>
        <v>15</v>
      </c>
      <c r="Y22" s="2"/>
      <c r="Z22" s="2">
        <v>1</v>
      </c>
      <c r="AA22" s="6"/>
      <c r="AB22" s="1"/>
      <c r="AC22" s="1"/>
    </row>
    <row r="23" spans="1:29" ht="31.5" x14ac:dyDescent="0.25">
      <c r="A23" s="2">
        <v>22</v>
      </c>
      <c r="B23" s="3" t="s">
        <v>45</v>
      </c>
      <c r="C23" s="3" t="s">
        <v>46</v>
      </c>
      <c r="D23" s="4" t="s">
        <v>145</v>
      </c>
      <c r="E23" s="5" t="s">
        <v>64</v>
      </c>
      <c r="F23" s="6"/>
      <c r="G23" s="3">
        <v>3</v>
      </c>
      <c r="H23" s="7">
        <v>2</v>
      </c>
      <c r="I23" s="8">
        <v>2</v>
      </c>
      <c r="J23" s="9"/>
      <c r="K23" s="17"/>
      <c r="L23" s="15"/>
      <c r="M23" s="2"/>
      <c r="N23" s="2"/>
      <c r="O23" s="3">
        <v>0</v>
      </c>
      <c r="P23" s="3">
        <v>0</v>
      </c>
      <c r="Q23" s="4" t="s">
        <v>144</v>
      </c>
      <c r="R23" s="2" t="s">
        <v>124</v>
      </c>
      <c r="S23" s="12">
        <f t="shared" si="0"/>
        <v>30</v>
      </c>
      <c r="T23" s="13">
        <f t="shared" si="1"/>
        <v>0</v>
      </c>
      <c r="U23" s="10">
        <f t="shared" si="2"/>
        <v>0</v>
      </c>
      <c r="V23" s="11">
        <f t="shared" si="6"/>
        <v>0</v>
      </c>
      <c r="W23" s="2">
        <f t="shared" si="4"/>
        <v>60</v>
      </c>
      <c r="X23" s="2">
        <f t="shared" si="5"/>
        <v>10</v>
      </c>
      <c r="Y23" s="2"/>
      <c r="Z23" s="2">
        <v>1</v>
      </c>
      <c r="AA23" s="6"/>
      <c r="AB23" s="1"/>
      <c r="AC23" s="1"/>
    </row>
    <row r="24" spans="1:29" ht="31.5" x14ac:dyDescent="0.25">
      <c r="A24" s="2">
        <v>23</v>
      </c>
      <c r="B24" s="3" t="s">
        <v>45</v>
      </c>
      <c r="C24" s="3" t="s">
        <v>46</v>
      </c>
      <c r="D24" s="4" t="s">
        <v>146</v>
      </c>
      <c r="E24" s="5" t="s">
        <v>147</v>
      </c>
      <c r="F24" s="6"/>
      <c r="G24" s="3">
        <v>4</v>
      </c>
      <c r="H24" s="7">
        <v>3</v>
      </c>
      <c r="I24" s="8">
        <v>3</v>
      </c>
      <c r="J24" s="9"/>
      <c r="K24" s="17"/>
      <c r="L24" s="15"/>
      <c r="M24" s="2"/>
      <c r="N24" s="2"/>
      <c r="O24" s="3">
        <v>0</v>
      </c>
      <c r="P24" s="3">
        <v>0</v>
      </c>
      <c r="Q24" s="2" t="s">
        <v>142</v>
      </c>
      <c r="R24" s="2" t="s">
        <v>124</v>
      </c>
      <c r="S24" s="12">
        <f t="shared" si="0"/>
        <v>45</v>
      </c>
      <c r="T24" s="13">
        <f t="shared" si="1"/>
        <v>0</v>
      </c>
      <c r="U24" s="10">
        <f t="shared" si="2"/>
        <v>0</v>
      </c>
      <c r="V24" s="11">
        <f t="shared" si="6"/>
        <v>0</v>
      </c>
      <c r="W24" s="2">
        <f t="shared" si="4"/>
        <v>90</v>
      </c>
      <c r="X24" s="2">
        <f t="shared" si="5"/>
        <v>15</v>
      </c>
      <c r="Y24" s="2"/>
      <c r="Z24" s="2">
        <v>1</v>
      </c>
      <c r="AA24" s="6"/>
      <c r="AB24" s="1"/>
      <c r="AC24" s="1"/>
    </row>
    <row r="25" spans="1:29" ht="31.5" x14ac:dyDescent="0.25">
      <c r="A25" s="2">
        <v>24</v>
      </c>
      <c r="B25" s="3" t="s">
        <v>45</v>
      </c>
      <c r="C25" s="3" t="s">
        <v>46</v>
      </c>
      <c r="D25" s="4" t="s">
        <v>148</v>
      </c>
      <c r="E25" s="5" t="s">
        <v>149</v>
      </c>
      <c r="F25" s="6"/>
      <c r="G25" s="3">
        <v>4</v>
      </c>
      <c r="H25" s="7">
        <v>3</v>
      </c>
      <c r="I25" s="8">
        <v>3</v>
      </c>
      <c r="J25" s="9"/>
      <c r="K25" s="17"/>
      <c r="L25" s="15"/>
      <c r="M25" s="2"/>
      <c r="N25" s="2"/>
      <c r="O25" s="3">
        <v>0</v>
      </c>
      <c r="P25" s="3">
        <v>0</v>
      </c>
      <c r="Q25" s="2" t="s">
        <v>129</v>
      </c>
      <c r="R25" s="2" t="s">
        <v>124</v>
      </c>
      <c r="S25" s="12">
        <f t="shared" si="0"/>
        <v>45</v>
      </c>
      <c r="T25" s="13">
        <f t="shared" si="1"/>
        <v>0</v>
      </c>
      <c r="U25" s="10">
        <f t="shared" si="2"/>
        <v>0</v>
      </c>
      <c r="V25" s="11">
        <f t="shared" si="6"/>
        <v>0</v>
      </c>
      <c r="W25" s="2">
        <f t="shared" si="4"/>
        <v>90</v>
      </c>
      <c r="X25" s="2">
        <f t="shared" si="5"/>
        <v>15</v>
      </c>
      <c r="Y25" s="2"/>
      <c r="Z25" s="2">
        <v>1</v>
      </c>
      <c r="AA25" s="6"/>
      <c r="AB25" s="1"/>
      <c r="AC25" s="1"/>
    </row>
    <row r="26" spans="1:29" ht="31.5" x14ac:dyDescent="0.25">
      <c r="A26" s="2">
        <v>25</v>
      </c>
      <c r="B26" s="3" t="s">
        <v>150</v>
      </c>
      <c r="C26" s="3" t="s">
        <v>46</v>
      </c>
      <c r="D26" s="4" t="s">
        <v>151</v>
      </c>
      <c r="E26" s="5" t="s">
        <v>117</v>
      </c>
      <c r="F26" s="6"/>
      <c r="G26" s="3">
        <v>2</v>
      </c>
      <c r="H26" s="7">
        <v>2</v>
      </c>
      <c r="I26" s="8">
        <v>1.3333333333333333</v>
      </c>
      <c r="J26" s="9">
        <v>0.66666666666666663</v>
      </c>
      <c r="K26" s="17"/>
      <c r="L26" s="15"/>
      <c r="M26" s="2" t="s">
        <v>11</v>
      </c>
      <c r="N26" s="2"/>
      <c r="O26" s="3">
        <v>1</v>
      </c>
      <c r="P26" s="3">
        <v>0</v>
      </c>
      <c r="Q26" s="2" t="s">
        <v>140</v>
      </c>
      <c r="R26" s="2" t="s">
        <v>124</v>
      </c>
      <c r="S26" s="12">
        <f t="shared" si="0"/>
        <v>20</v>
      </c>
      <c r="T26" s="13">
        <f t="shared" si="1"/>
        <v>20</v>
      </c>
      <c r="U26" s="10">
        <f t="shared" si="2"/>
        <v>0</v>
      </c>
      <c r="V26" s="11">
        <f t="shared" si="6"/>
        <v>0</v>
      </c>
      <c r="W26" s="2">
        <f t="shared" si="4"/>
        <v>49.999999999999993</v>
      </c>
      <c r="X26" s="2">
        <f t="shared" si="5"/>
        <v>10</v>
      </c>
      <c r="Y26" s="2"/>
      <c r="Z26" s="2">
        <v>1</v>
      </c>
      <c r="AA26" s="6"/>
      <c r="AB26" s="1"/>
      <c r="AC26" s="1"/>
    </row>
    <row r="27" spans="1:29" ht="31.5" x14ac:dyDescent="0.25">
      <c r="A27" s="2">
        <v>26</v>
      </c>
      <c r="B27" s="3" t="s">
        <v>150</v>
      </c>
      <c r="C27" s="3" t="s">
        <v>46</v>
      </c>
      <c r="D27" s="4" t="s">
        <v>41</v>
      </c>
      <c r="E27" s="5" t="s">
        <v>42</v>
      </c>
      <c r="F27" s="6"/>
      <c r="G27" s="3">
        <v>3</v>
      </c>
      <c r="H27" s="7">
        <v>2</v>
      </c>
      <c r="I27" s="8">
        <v>2.3333333333333335</v>
      </c>
      <c r="J27" s="9"/>
      <c r="K27" s="17"/>
      <c r="L27" s="15"/>
      <c r="M27" s="2"/>
      <c r="N27" s="2"/>
      <c r="O27" s="3">
        <v>1</v>
      </c>
      <c r="P27" s="3">
        <v>0</v>
      </c>
      <c r="Q27" s="2" t="s">
        <v>152</v>
      </c>
      <c r="R27" s="2" t="s">
        <v>124</v>
      </c>
      <c r="S27" s="12">
        <f t="shared" si="0"/>
        <v>35</v>
      </c>
      <c r="T27" s="13">
        <f t="shared" si="1"/>
        <v>0</v>
      </c>
      <c r="U27" s="10">
        <f t="shared" si="2"/>
        <v>0</v>
      </c>
      <c r="V27" s="11">
        <f t="shared" si="6"/>
        <v>0</v>
      </c>
      <c r="W27" s="2">
        <f t="shared" si="4"/>
        <v>70</v>
      </c>
      <c r="X27" s="2">
        <f t="shared" si="5"/>
        <v>10</v>
      </c>
      <c r="Y27" s="2"/>
      <c r="Z27" s="2">
        <v>1</v>
      </c>
      <c r="AA27" s="6"/>
      <c r="AB27" s="1"/>
      <c r="AC27" s="1"/>
    </row>
    <row r="28" spans="1:29" ht="31.5" x14ac:dyDescent="0.25">
      <c r="A28" s="2">
        <v>27</v>
      </c>
      <c r="B28" s="3" t="s">
        <v>150</v>
      </c>
      <c r="C28" s="3" t="s">
        <v>46</v>
      </c>
      <c r="D28" s="4" t="s">
        <v>153</v>
      </c>
      <c r="E28" s="5" t="s">
        <v>154</v>
      </c>
      <c r="F28" s="6"/>
      <c r="G28" s="3">
        <v>0</v>
      </c>
      <c r="H28" s="7">
        <v>2</v>
      </c>
      <c r="I28" s="8">
        <v>1.3333333333333333</v>
      </c>
      <c r="J28" s="9">
        <v>0.66666666666666663</v>
      </c>
      <c r="K28" s="17"/>
      <c r="L28" s="15"/>
      <c r="M28" s="2" t="s">
        <v>11</v>
      </c>
      <c r="N28" s="2"/>
      <c r="O28" s="3">
        <v>1</v>
      </c>
      <c r="P28" s="3">
        <v>0</v>
      </c>
      <c r="Q28" s="2" t="s">
        <v>155</v>
      </c>
      <c r="R28" s="2" t="s">
        <v>124</v>
      </c>
      <c r="S28" s="12">
        <f t="shared" si="0"/>
        <v>20</v>
      </c>
      <c r="T28" s="13">
        <f t="shared" si="1"/>
        <v>20</v>
      </c>
      <c r="U28" s="10">
        <f t="shared" si="2"/>
        <v>0</v>
      </c>
      <c r="V28" s="11">
        <f t="shared" si="6"/>
        <v>0</v>
      </c>
      <c r="W28" s="2">
        <f t="shared" si="4"/>
        <v>49.999999999999993</v>
      </c>
      <c r="X28" s="2">
        <f t="shared" si="5"/>
        <v>10</v>
      </c>
      <c r="Y28" s="2"/>
      <c r="Z28" s="2">
        <v>1</v>
      </c>
      <c r="AA28" s="6"/>
      <c r="AB28" s="1"/>
      <c r="AC28" s="1"/>
    </row>
    <row r="29" spans="1:29" ht="31.5" x14ac:dyDescent="0.25">
      <c r="A29" s="2">
        <v>28</v>
      </c>
      <c r="B29" s="3" t="s">
        <v>150</v>
      </c>
      <c r="C29" s="3" t="s">
        <v>46</v>
      </c>
      <c r="D29" s="4" t="s">
        <v>156</v>
      </c>
      <c r="E29" s="5" t="s">
        <v>157</v>
      </c>
      <c r="F29" s="6"/>
      <c r="G29" s="3">
        <v>3</v>
      </c>
      <c r="H29" s="7">
        <v>2</v>
      </c>
      <c r="I29" s="8">
        <v>2</v>
      </c>
      <c r="J29" s="9"/>
      <c r="K29" s="17"/>
      <c r="L29" s="15"/>
      <c r="M29" s="2"/>
      <c r="N29" s="2"/>
      <c r="O29" s="3">
        <v>1</v>
      </c>
      <c r="P29" s="3">
        <v>0</v>
      </c>
      <c r="Q29" s="4" t="s">
        <v>141</v>
      </c>
      <c r="R29" s="2" t="s">
        <v>124</v>
      </c>
      <c r="S29" s="12">
        <f t="shared" si="0"/>
        <v>30</v>
      </c>
      <c r="T29" s="13">
        <f t="shared" si="1"/>
        <v>0</v>
      </c>
      <c r="U29" s="10">
        <f t="shared" si="2"/>
        <v>0</v>
      </c>
      <c r="V29" s="11">
        <f t="shared" si="6"/>
        <v>0</v>
      </c>
      <c r="W29" s="2">
        <f t="shared" si="4"/>
        <v>60</v>
      </c>
      <c r="X29" s="2">
        <f t="shared" si="5"/>
        <v>10</v>
      </c>
      <c r="Y29" s="2"/>
      <c r="Z29" s="2">
        <v>1</v>
      </c>
      <c r="AA29" s="6"/>
      <c r="AB29" s="1"/>
      <c r="AC29" s="1"/>
    </row>
    <row r="30" spans="1:29" ht="31.5" x14ac:dyDescent="0.25">
      <c r="A30" s="2">
        <v>29</v>
      </c>
      <c r="B30" s="3" t="s">
        <v>150</v>
      </c>
      <c r="C30" s="3" t="s">
        <v>46</v>
      </c>
      <c r="D30" s="4" t="s">
        <v>158</v>
      </c>
      <c r="E30" s="5" t="s">
        <v>159</v>
      </c>
      <c r="F30" s="6"/>
      <c r="G30" s="3">
        <v>0</v>
      </c>
      <c r="H30" s="7">
        <v>2</v>
      </c>
      <c r="I30" s="8">
        <v>1.3333333333333333</v>
      </c>
      <c r="J30" s="9">
        <v>0.66666666666666663</v>
      </c>
      <c r="K30" s="17"/>
      <c r="L30" s="15"/>
      <c r="M30" s="2" t="s">
        <v>11</v>
      </c>
      <c r="N30" s="2"/>
      <c r="O30" s="3">
        <v>1</v>
      </c>
      <c r="P30" s="3">
        <v>0</v>
      </c>
      <c r="Q30" s="4" t="s">
        <v>144</v>
      </c>
      <c r="R30" s="2" t="s">
        <v>124</v>
      </c>
      <c r="S30" s="12">
        <f t="shared" si="0"/>
        <v>20</v>
      </c>
      <c r="T30" s="13">
        <f t="shared" si="1"/>
        <v>20</v>
      </c>
      <c r="U30" s="10">
        <f t="shared" si="2"/>
        <v>0</v>
      </c>
      <c r="V30" s="11">
        <f t="shared" si="6"/>
        <v>0</v>
      </c>
      <c r="W30" s="2">
        <f t="shared" si="4"/>
        <v>49.999999999999993</v>
      </c>
      <c r="X30" s="2">
        <f t="shared" si="5"/>
        <v>10</v>
      </c>
      <c r="Y30" s="2"/>
      <c r="Z30" s="2">
        <v>1</v>
      </c>
      <c r="AA30" s="6"/>
      <c r="AB30" s="1"/>
      <c r="AC30" s="1"/>
    </row>
    <row r="31" spans="1:29" ht="31.5" x14ac:dyDescent="0.25">
      <c r="A31" s="2">
        <v>30</v>
      </c>
      <c r="B31" s="3" t="s">
        <v>150</v>
      </c>
      <c r="C31" s="3" t="s">
        <v>46</v>
      </c>
      <c r="D31" s="4" t="s">
        <v>160</v>
      </c>
      <c r="E31" s="5" t="s">
        <v>66</v>
      </c>
      <c r="F31" s="6"/>
      <c r="G31" s="3">
        <v>4</v>
      </c>
      <c r="H31" s="7">
        <v>2</v>
      </c>
      <c r="I31" s="8">
        <v>2</v>
      </c>
      <c r="J31" s="9"/>
      <c r="K31" s="17"/>
      <c r="L31" s="15"/>
      <c r="M31" s="2"/>
      <c r="N31" s="2"/>
      <c r="O31" s="3">
        <v>1</v>
      </c>
      <c r="P31" s="3">
        <v>0</v>
      </c>
      <c r="Q31" s="2" t="s">
        <v>161</v>
      </c>
      <c r="R31" s="2" t="s">
        <v>124</v>
      </c>
      <c r="S31" s="12">
        <f t="shared" si="0"/>
        <v>30</v>
      </c>
      <c r="T31" s="13">
        <f t="shared" si="1"/>
        <v>0</v>
      </c>
      <c r="U31" s="10">
        <f t="shared" si="2"/>
        <v>0</v>
      </c>
      <c r="V31" s="11">
        <f t="shared" si="6"/>
        <v>0</v>
      </c>
      <c r="W31" s="2">
        <f t="shared" si="4"/>
        <v>60</v>
      </c>
      <c r="X31" s="2">
        <f t="shared" si="5"/>
        <v>10</v>
      </c>
      <c r="Y31" s="2"/>
      <c r="Z31" s="2">
        <v>1</v>
      </c>
      <c r="AA31" s="6"/>
      <c r="AB31" s="1"/>
      <c r="AC31" s="1"/>
    </row>
    <row r="32" spans="1:29" ht="31.5" x14ac:dyDescent="0.25">
      <c r="A32" s="2">
        <v>31</v>
      </c>
      <c r="B32" s="3" t="s">
        <v>73</v>
      </c>
      <c r="C32" s="3" t="s">
        <v>74</v>
      </c>
      <c r="D32" s="4" t="s">
        <v>162</v>
      </c>
      <c r="E32" s="5" t="s">
        <v>163</v>
      </c>
      <c r="F32" s="6"/>
      <c r="G32" s="3">
        <v>3</v>
      </c>
      <c r="H32" s="7">
        <v>2</v>
      </c>
      <c r="I32" s="8">
        <v>2</v>
      </c>
      <c r="J32" s="9"/>
      <c r="K32" s="17"/>
      <c r="L32" s="15"/>
      <c r="M32" s="2"/>
      <c r="N32" s="2"/>
      <c r="O32" s="3">
        <v>0</v>
      </c>
      <c r="P32" s="3">
        <v>0</v>
      </c>
      <c r="Q32" s="2" t="s">
        <v>143</v>
      </c>
      <c r="R32" s="2" t="s">
        <v>124</v>
      </c>
      <c r="S32" s="12">
        <f t="shared" si="0"/>
        <v>30</v>
      </c>
      <c r="T32" s="13">
        <f t="shared" si="1"/>
        <v>0</v>
      </c>
      <c r="U32" s="10">
        <f t="shared" si="2"/>
        <v>0</v>
      </c>
      <c r="V32" s="11">
        <f t="shared" si="6"/>
        <v>0</v>
      </c>
      <c r="W32" s="2">
        <f t="shared" si="4"/>
        <v>60</v>
      </c>
      <c r="X32" s="2">
        <f t="shared" si="5"/>
        <v>10</v>
      </c>
      <c r="Y32" s="2"/>
      <c r="Z32" s="2">
        <v>1</v>
      </c>
      <c r="AA32" s="6"/>
      <c r="AB32" s="1"/>
      <c r="AC32" s="1"/>
    </row>
    <row r="33" spans="1:29" ht="31.5" x14ac:dyDescent="0.25">
      <c r="A33" s="2">
        <v>32</v>
      </c>
      <c r="B33" s="3" t="s">
        <v>73</v>
      </c>
      <c r="C33" s="3" t="s">
        <v>74</v>
      </c>
      <c r="D33" s="4" t="s">
        <v>164</v>
      </c>
      <c r="E33" s="5" t="s">
        <v>76</v>
      </c>
      <c r="F33" s="6"/>
      <c r="G33" s="3">
        <v>4</v>
      </c>
      <c r="H33" s="7">
        <v>2</v>
      </c>
      <c r="I33" s="8">
        <v>2</v>
      </c>
      <c r="J33" s="9"/>
      <c r="K33" s="17"/>
      <c r="L33" s="15"/>
      <c r="M33" s="2"/>
      <c r="N33" s="2"/>
      <c r="O33" s="3">
        <v>0</v>
      </c>
      <c r="P33" s="3">
        <v>0</v>
      </c>
      <c r="Q33" s="2" t="s">
        <v>152</v>
      </c>
      <c r="R33" s="2" t="s">
        <v>124</v>
      </c>
      <c r="S33" s="12">
        <f t="shared" si="0"/>
        <v>30</v>
      </c>
      <c r="T33" s="13">
        <f t="shared" si="1"/>
        <v>0</v>
      </c>
      <c r="U33" s="10">
        <f t="shared" si="2"/>
        <v>0</v>
      </c>
      <c r="V33" s="11">
        <f t="shared" si="6"/>
        <v>0</v>
      </c>
      <c r="W33" s="2">
        <f t="shared" si="4"/>
        <v>60</v>
      </c>
      <c r="X33" s="2">
        <f t="shared" si="5"/>
        <v>10</v>
      </c>
      <c r="Y33" s="2"/>
      <c r="Z33" s="2">
        <v>1</v>
      </c>
      <c r="AA33" s="6"/>
      <c r="AB33" s="1"/>
      <c r="AC33" s="1"/>
    </row>
    <row r="34" spans="1:29" ht="31.5" x14ac:dyDescent="0.25">
      <c r="A34" s="2">
        <v>33</v>
      </c>
      <c r="B34" s="3" t="s">
        <v>73</v>
      </c>
      <c r="C34" s="3" t="s">
        <v>74</v>
      </c>
      <c r="D34" s="4" t="s">
        <v>165</v>
      </c>
      <c r="E34" s="5" t="s">
        <v>78</v>
      </c>
      <c r="F34" s="6"/>
      <c r="G34" s="3">
        <v>4</v>
      </c>
      <c r="H34" s="7">
        <v>3</v>
      </c>
      <c r="I34" s="8">
        <v>3</v>
      </c>
      <c r="J34" s="9"/>
      <c r="K34" s="17"/>
      <c r="L34" s="15"/>
      <c r="M34" s="2"/>
      <c r="N34" s="2"/>
      <c r="O34" s="3">
        <v>0</v>
      </c>
      <c r="P34" s="3">
        <v>0</v>
      </c>
      <c r="Q34" s="2" t="s">
        <v>166</v>
      </c>
      <c r="R34" s="2" t="s">
        <v>124</v>
      </c>
      <c r="S34" s="12">
        <f t="shared" si="0"/>
        <v>45</v>
      </c>
      <c r="T34" s="13">
        <f t="shared" si="1"/>
        <v>0</v>
      </c>
      <c r="U34" s="10">
        <f t="shared" si="2"/>
        <v>0</v>
      </c>
      <c r="V34" s="11">
        <f t="shared" si="6"/>
        <v>0</v>
      </c>
      <c r="W34" s="2">
        <f t="shared" si="4"/>
        <v>90</v>
      </c>
      <c r="X34" s="2">
        <f t="shared" si="5"/>
        <v>15</v>
      </c>
      <c r="Y34" s="2"/>
      <c r="Z34" s="2">
        <v>1</v>
      </c>
      <c r="AA34" s="6"/>
      <c r="AB34" s="1"/>
      <c r="AC34" s="1"/>
    </row>
    <row r="35" spans="1:29" ht="31.5" x14ac:dyDescent="0.25">
      <c r="A35" s="2">
        <v>34</v>
      </c>
      <c r="B35" s="3" t="s">
        <v>73</v>
      </c>
      <c r="C35" s="3" t="s">
        <v>74</v>
      </c>
      <c r="D35" s="4" t="s">
        <v>167</v>
      </c>
      <c r="E35" s="5" t="s">
        <v>86</v>
      </c>
      <c r="F35" s="6"/>
      <c r="G35" s="3">
        <v>4</v>
      </c>
      <c r="H35" s="7">
        <v>3</v>
      </c>
      <c r="I35" s="8">
        <v>3</v>
      </c>
      <c r="J35" s="9"/>
      <c r="K35" s="17"/>
      <c r="L35" s="15"/>
      <c r="M35" s="2"/>
      <c r="N35" s="2"/>
      <c r="O35" s="3">
        <v>0</v>
      </c>
      <c r="P35" s="3">
        <v>0</v>
      </c>
      <c r="Q35" s="2" t="s">
        <v>143</v>
      </c>
      <c r="R35" s="2" t="s">
        <v>124</v>
      </c>
      <c r="S35" s="12">
        <f t="shared" si="0"/>
        <v>45</v>
      </c>
      <c r="T35" s="13">
        <f t="shared" si="1"/>
        <v>0</v>
      </c>
      <c r="U35" s="10">
        <f t="shared" si="2"/>
        <v>0</v>
      </c>
      <c r="V35" s="11">
        <f t="shared" si="6"/>
        <v>0</v>
      </c>
      <c r="W35" s="2">
        <f t="shared" si="4"/>
        <v>90</v>
      </c>
      <c r="X35" s="2">
        <f t="shared" si="5"/>
        <v>15</v>
      </c>
      <c r="Y35" s="2"/>
      <c r="Z35" s="2">
        <v>1</v>
      </c>
      <c r="AA35" s="6"/>
      <c r="AB35" s="1"/>
      <c r="AC35" s="1"/>
    </row>
    <row r="36" spans="1:29" ht="31.5" x14ac:dyDescent="0.25">
      <c r="A36" s="2">
        <v>35</v>
      </c>
      <c r="B36" s="3" t="s">
        <v>73</v>
      </c>
      <c r="C36" s="3" t="s">
        <v>74</v>
      </c>
      <c r="D36" s="4" t="s">
        <v>168</v>
      </c>
      <c r="E36" s="5" t="s">
        <v>169</v>
      </c>
      <c r="F36" s="6"/>
      <c r="G36" s="3">
        <v>4</v>
      </c>
      <c r="H36" s="7">
        <v>2</v>
      </c>
      <c r="I36" s="8">
        <v>2</v>
      </c>
      <c r="J36" s="9"/>
      <c r="K36" s="17"/>
      <c r="L36" s="15"/>
      <c r="M36" s="2"/>
      <c r="N36" s="2"/>
      <c r="O36" s="3">
        <v>0</v>
      </c>
      <c r="P36" s="3">
        <v>0</v>
      </c>
      <c r="Q36" s="2" t="s">
        <v>143</v>
      </c>
      <c r="R36" s="2" t="s">
        <v>124</v>
      </c>
      <c r="S36" s="12">
        <f t="shared" si="0"/>
        <v>30</v>
      </c>
      <c r="T36" s="13">
        <f t="shared" si="1"/>
        <v>0</v>
      </c>
      <c r="U36" s="10">
        <f t="shared" si="2"/>
        <v>0</v>
      </c>
      <c r="V36" s="11">
        <f t="shared" si="6"/>
        <v>0</v>
      </c>
      <c r="W36" s="2">
        <f t="shared" si="4"/>
        <v>60</v>
      </c>
      <c r="X36" s="2">
        <f t="shared" si="5"/>
        <v>10</v>
      </c>
      <c r="Y36" s="2"/>
      <c r="Z36" s="2">
        <v>1</v>
      </c>
      <c r="AA36" s="6"/>
      <c r="AB36" s="1"/>
      <c r="AC36" s="1"/>
    </row>
    <row r="37" spans="1:29" ht="31.5" x14ac:dyDescent="0.25">
      <c r="A37" s="2">
        <v>36</v>
      </c>
      <c r="B37" s="3" t="s">
        <v>73</v>
      </c>
      <c r="C37" s="3" t="s">
        <v>74</v>
      </c>
      <c r="D37" s="4" t="s">
        <v>87</v>
      </c>
      <c r="E37" s="5" t="s">
        <v>88</v>
      </c>
      <c r="F37" s="6"/>
      <c r="G37" s="3">
        <v>5</v>
      </c>
      <c r="H37" s="7">
        <v>3</v>
      </c>
      <c r="I37" s="8">
        <v>3</v>
      </c>
      <c r="J37" s="9"/>
      <c r="K37" s="17"/>
      <c r="L37" s="15"/>
      <c r="M37" s="2"/>
      <c r="N37" s="2"/>
      <c r="O37" s="3">
        <v>0</v>
      </c>
      <c r="P37" s="3">
        <v>0</v>
      </c>
      <c r="Q37" s="2" t="s">
        <v>170</v>
      </c>
      <c r="R37" s="2" t="s">
        <v>124</v>
      </c>
      <c r="S37" s="12">
        <f t="shared" si="0"/>
        <v>45</v>
      </c>
      <c r="T37" s="13">
        <f t="shared" si="1"/>
        <v>0</v>
      </c>
      <c r="U37" s="10">
        <f t="shared" si="2"/>
        <v>0</v>
      </c>
      <c r="V37" s="11">
        <f t="shared" si="6"/>
        <v>0</v>
      </c>
      <c r="W37" s="2">
        <f t="shared" si="4"/>
        <v>90</v>
      </c>
      <c r="X37" s="2">
        <f t="shared" si="5"/>
        <v>15</v>
      </c>
      <c r="Y37" s="2"/>
      <c r="Z37" s="2">
        <v>1</v>
      </c>
      <c r="AA37" s="6"/>
      <c r="AB37" s="1"/>
      <c r="AC37" s="1"/>
    </row>
    <row r="38" spans="1:29" ht="31.5" x14ac:dyDescent="0.25">
      <c r="A38" s="2">
        <v>37</v>
      </c>
      <c r="B38" s="3" t="s">
        <v>73</v>
      </c>
      <c r="C38" s="3" t="s">
        <v>74</v>
      </c>
      <c r="D38" s="4" t="s">
        <v>97</v>
      </c>
      <c r="E38" s="5" t="s">
        <v>98</v>
      </c>
      <c r="F38" s="6"/>
      <c r="G38" s="3">
        <v>5</v>
      </c>
      <c r="H38" s="7">
        <v>3</v>
      </c>
      <c r="I38" s="8">
        <v>3</v>
      </c>
      <c r="J38" s="9"/>
      <c r="K38" s="17"/>
      <c r="L38" s="15"/>
      <c r="M38" s="2"/>
      <c r="N38" s="2"/>
      <c r="O38" s="3">
        <v>0</v>
      </c>
      <c r="P38" s="3">
        <v>0</v>
      </c>
      <c r="Q38" s="2" t="s">
        <v>170</v>
      </c>
      <c r="R38" s="2" t="s">
        <v>124</v>
      </c>
      <c r="S38" s="12">
        <f t="shared" si="0"/>
        <v>45</v>
      </c>
      <c r="T38" s="13">
        <f t="shared" si="1"/>
        <v>0</v>
      </c>
      <c r="U38" s="10">
        <f t="shared" si="2"/>
        <v>0</v>
      </c>
      <c r="V38" s="11">
        <f t="shared" si="6"/>
        <v>0</v>
      </c>
      <c r="W38" s="2">
        <f t="shared" si="4"/>
        <v>90</v>
      </c>
      <c r="X38" s="2">
        <f t="shared" si="5"/>
        <v>15</v>
      </c>
      <c r="Y38" s="2"/>
      <c r="Z38" s="2">
        <v>1</v>
      </c>
      <c r="AA38" s="6"/>
      <c r="AB38" s="1"/>
      <c r="AC38" s="1"/>
    </row>
    <row r="39" spans="1:29" ht="31.5" x14ac:dyDescent="0.25">
      <c r="A39" s="2">
        <v>38</v>
      </c>
      <c r="B39" s="3" t="s">
        <v>73</v>
      </c>
      <c r="C39" s="3" t="s">
        <v>74</v>
      </c>
      <c r="D39" s="4" t="s">
        <v>89</v>
      </c>
      <c r="E39" s="5" t="s">
        <v>90</v>
      </c>
      <c r="F39" s="6"/>
      <c r="G39" s="3">
        <v>5</v>
      </c>
      <c r="H39" s="7">
        <v>3</v>
      </c>
      <c r="I39" s="8">
        <v>3</v>
      </c>
      <c r="J39" s="9"/>
      <c r="K39" s="17"/>
      <c r="L39" s="15"/>
      <c r="M39" s="2"/>
      <c r="N39" s="2"/>
      <c r="O39" s="3">
        <v>0</v>
      </c>
      <c r="P39" s="3">
        <v>0</v>
      </c>
      <c r="Q39" s="2" t="s">
        <v>85</v>
      </c>
      <c r="R39" s="2" t="s">
        <v>124</v>
      </c>
      <c r="S39" s="12">
        <f t="shared" si="0"/>
        <v>45</v>
      </c>
      <c r="T39" s="13">
        <f t="shared" si="1"/>
        <v>0</v>
      </c>
      <c r="U39" s="10">
        <f t="shared" si="2"/>
        <v>0</v>
      </c>
      <c r="V39" s="11">
        <f t="shared" si="6"/>
        <v>0</v>
      </c>
      <c r="W39" s="2">
        <f t="shared" si="4"/>
        <v>90</v>
      </c>
      <c r="X39" s="2">
        <f t="shared" si="5"/>
        <v>15</v>
      </c>
      <c r="Y39" s="2"/>
      <c r="Z39" s="2">
        <v>1</v>
      </c>
      <c r="AA39" s="6"/>
      <c r="AB39" s="1"/>
      <c r="AC39" s="1"/>
    </row>
    <row r="40" spans="1:29" ht="31.5" x14ac:dyDescent="0.25">
      <c r="A40" s="2">
        <v>39</v>
      </c>
      <c r="B40" s="3" t="s">
        <v>73</v>
      </c>
      <c r="C40" s="3" t="s">
        <v>74</v>
      </c>
      <c r="D40" s="4" t="s">
        <v>171</v>
      </c>
      <c r="E40" s="5" t="s">
        <v>172</v>
      </c>
      <c r="F40" s="6"/>
      <c r="G40" s="3">
        <v>5</v>
      </c>
      <c r="H40" s="7">
        <v>3</v>
      </c>
      <c r="I40" s="8">
        <v>2</v>
      </c>
      <c r="J40" s="9">
        <v>1</v>
      </c>
      <c r="K40" s="17"/>
      <c r="L40" s="15"/>
      <c r="M40" s="2" t="s">
        <v>11</v>
      </c>
      <c r="N40" s="2"/>
      <c r="O40" s="3">
        <v>0</v>
      </c>
      <c r="P40" s="3">
        <v>0</v>
      </c>
      <c r="Q40" s="2" t="s">
        <v>83</v>
      </c>
      <c r="R40" s="2" t="s">
        <v>124</v>
      </c>
      <c r="S40" s="12">
        <f t="shared" si="0"/>
        <v>30</v>
      </c>
      <c r="T40" s="13">
        <f t="shared" si="1"/>
        <v>30</v>
      </c>
      <c r="U40" s="10">
        <f t="shared" si="2"/>
        <v>0</v>
      </c>
      <c r="V40" s="11">
        <f t="shared" si="6"/>
        <v>0</v>
      </c>
      <c r="W40" s="2">
        <f t="shared" si="4"/>
        <v>75</v>
      </c>
      <c r="X40" s="2">
        <f t="shared" si="5"/>
        <v>15</v>
      </c>
      <c r="Y40" s="2"/>
      <c r="Z40" s="2">
        <v>1</v>
      </c>
      <c r="AA40" s="6"/>
      <c r="AB40" s="1"/>
      <c r="AC40" s="1"/>
    </row>
    <row r="41" spans="1:29" ht="31.5" x14ac:dyDescent="0.25">
      <c r="A41" s="2">
        <v>40</v>
      </c>
      <c r="B41" s="3" t="s">
        <v>73</v>
      </c>
      <c r="C41" s="3" t="s">
        <v>74</v>
      </c>
      <c r="D41" s="4" t="s">
        <v>173</v>
      </c>
      <c r="E41" s="5" t="s">
        <v>115</v>
      </c>
      <c r="F41" s="6"/>
      <c r="G41" s="3">
        <v>5</v>
      </c>
      <c r="H41" s="7">
        <v>2</v>
      </c>
      <c r="I41" s="8">
        <v>1.3333333333333333</v>
      </c>
      <c r="J41" s="9">
        <v>0.66666666666666663</v>
      </c>
      <c r="K41" s="17"/>
      <c r="L41" s="15"/>
      <c r="M41" s="2" t="s">
        <v>11</v>
      </c>
      <c r="N41" s="2"/>
      <c r="O41" s="3">
        <v>1</v>
      </c>
      <c r="P41" s="3">
        <v>12</v>
      </c>
      <c r="Q41" s="2" t="s">
        <v>83</v>
      </c>
      <c r="R41" s="2" t="s">
        <v>124</v>
      </c>
      <c r="S41" s="12">
        <f t="shared" si="0"/>
        <v>20</v>
      </c>
      <c r="T41" s="13">
        <f t="shared" si="1"/>
        <v>20</v>
      </c>
      <c r="U41" s="10">
        <f t="shared" si="2"/>
        <v>0</v>
      </c>
      <c r="V41" s="11">
        <f t="shared" si="6"/>
        <v>0</v>
      </c>
      <c r="W41" s="2">
        <f t="shared" si="4"/>
        <v>49.999999999999993</v>
      </c>
      <c r="X41" s="2">
        <f t="shared" si="5"/>
        <v>10</v>
      </c>
      <c r="Y41" s="2"/>
      <c r="Z41" s="2">
        <v>1</v>
      </c>
      <c r="AA41" s="6"/>
      <c r="AB41" s="1"/>
      <c r="AC41" s="1"/>
    </row>
    <row r="42" spans="1:29" ht="31.5" x14ac:dyDescent="0.25">
      <c r="A42" s="2">
        <v>41</v>
      </c>
      <c r="B42" s="3" t="s">
        <v>73</v>
      </c>
      <c r="C42" s="3" t="s">
        <v>74</v>
      </c>
      <c r="D42" s="4" t="s">
        <v>174</v>
      </c>
      <c r="E42" s="5" t="s">
        <v>175</v>
      </c>
      <c r="F42" s="6"/>
      <c r="G42" s="3">
        <v>6</v>
      </c>
      <c r="H42" s="7">
        <v>3</v>
      </c>
      <c r="I42" s="8">
        <v>1</v>
      </c>
      <c r="J42" s="9">
        <v>2</v>
      </c>
      <c r="K42" s="17"/>
      <c r="L42" s="15"/>
      <c r="M42" s="2" t="s">
        <v>11</v>
      </c>
      <c r="N42" s="2"/>
      <c r="O42" s="3">
        <v>0</v>
      </c>
      <c r="P42" s="3">
        <v>0</v>
      </c>
      <c r="Q42" s="2" t="s">
        <v>85</v>
      </c>
      <c r="R42" s="2" t="s">
        <v>124</v>
      </c>
      <c r="S42" s="12">
        <f t="shared" si="0"/>
        <v>15</v>
      </c>
      <c r="T42" s="13">
        <f t="shared" si="1"/>
        <v>60</v>
      </c>
      <c r="U42" s="10">
        <f t="shared" si="2"/>
        <v>0</v>
      </c>
      <c r="V42" s="11">
        <f t="shared" si="6"/>
        <v>0</v>
      </c>
      <c r="W42" s="2">
        <f t="shared" si="4"/>
        <v>60</v>
      </c>
      <c r="X42" s="2">
        <f t="shared" si="5"/>
        <v>15</v>
      </c>
      <c r="Y42" s="2"/>
      <c r="Z42" s="2">
        <v>1</v>
      </c>
      <c r="AA42" s="6"/>
      <c r="AB42" s="1"/>
      <c r="AC42" s="1"/>
    </row>
    <row r="43" spans="1:29" ht="31.5" x14ac:dyDescent="0.25">
      <c r="A43" s="2">
        <v>42</v>
      </c>
      <c r="B43" s="3" t="s">
        <v>73</v>
      </c>
      <c r="C43" s="3" t="s">
        <v>74</v>
      </c>
      <c r="D43" s="4" t="s">
        <v>106</v>
      </c>
      <c r="E43" s="5" t="s">
        <v>107</v>
      </c>
      <c r="F43" s="6"/>
      <c r="G43" s="3">
        <v>6</v>
      </c>
      <c r="H43" s="7">
        <v>3</v>
      </c>
      <c r="I43" s="8">
        <v>2</v>
      </c>
      <c r="J43" s="9">
        <v>1</v>
      </c>
      <c r="K43" s="17"/>
      <c r="L43" s="15"/>
      <c r="M43" s="2" t="s">
        <v>11</v>
      </c>
      <c r="N43" s="2"/>
      <c r="O43" s="3">
        <v>0</v>
      </c>
      <c r="P43" s="3">
        <v>0</v>
      </c>
      <c r="Q43" s="2" t="s">
        <v>176</v>
      </c>
      <c r="R43" s="2" t="s">
        <v>124</v>
      </c>
      <c r="S43" s="12">
        <f t="shared" si="0"/>
        <v>30</v>
      </c>
      <c r="T43" s="13">
        <f t="shared" si="1"/>
        <v>30</v>
      </c>
      <c r="U43" s="10">
        <f t="shared" si="2"/>
        <v>0</v>
      </c>
      <c r="V43" s="11">
        <f t="shared" si="6"/>
        <v>0</v>
      </c>
      <c r="W43" s="2">
        <f t="shared" si="4"/>
        <v>75</v>
      </c>
      <c r="X43" s="2">
        <f t="shared" si="5"/>
        <v>15</v>
      </c>
      <c r="Y43" s="2"/>
      <c r="Z43" s="2">
        <v>1</v>
      </c>
      <c r="AA43" s="6"/>
      <c r="AB43" s="1"/>
      <c r="AC43" s="1"/>
    </row>
    <row r="44" spans="1:29" ht="31.5" x14ac:dyDescent="0.25">
      <c r="A44" s="2">
        <v>43</v>
      </c>
      <c r="B44" s="3" t="s">
        <v>73</v>
      </c>
      <c r="C44" s="3" t="s">
        <v>74</v>
      </c>
      <c r="D44" s="4" t="s">
        <v>177</v>
      </c>
      <c r="E44" s="5" t="s">
        <v>178</v>
      </c>
      <c r="F44" s="6"/>
      <c r="G44" s="3">
        <v>6</v>
      </c>
      <c r="H44" s="7">
        <v>3</v>
      </c>
      <c r="I44" s="8">
        <v>1</v>
      </c>
      <c r="J44" s="9">
        <v>2</v>
      </c>
      <c r="K44" s="17"/>
      <c r="L44" s="15"/>
      <c r="M44" s="2" t="s">
        <v>11</v>
      </c>
      <c r="N44" s="2"/>
      <c r="O44" s="3">
        <v>0</v>
      </c>
      <c r="P44" s="3">
        <v>0</v>
      </c>
      <c r="Q44" s="2" t="s">
        <v>179</v>
      </c>
      <c r="R44" s="2" t="s">
        <v>124</v>
      </c>
      <c r="S44" s="12">
        <f t="shared" si="0"/>
        <v>15</v>
      </c>
      <c r="T44" s="13">
        <f t="shared" si="1"/>
        <v>60</v>
      </c>
      <c r="U44" s="10">
        <f t="shared" si="2"/>
        <v>0</v>
      </c>
      <c r="V44" s="11">
        <f t="shared" si="6"/>
        <v>0</v>
      </c>
      <c r="W44" s="2">
        <f t="shared" si="4"/>
        <v>60</v>
      </c>
      <c r="X44" s="2">
        <f t="shared" si="5"/>
        <v>15</v>
      </c>
      <c r="Y44" s="2"/>
      <c r="Z44" s="2">
        <v>1</v>
      </c>
      <c r="AA44" s="6"/>
      <c r="AB44" s="1"/>
      <c r="AC44" s="1"/>
    </row>
    <row r="45" spans="1:29" ht="31.5" x14ac:dyDescent="0.25">
      <c r="A45" s="2">
        <v>44</v>
      </c>
      <c r="B45" s="3" t="s">
        <v>73</v>
      </c>
      <c r="C45" s="3" t="s">
        <v>74</v>
      </c>
      <c r="D45" s="4" t="s">
        <v>95</v>
      </c>
      <c r="E45" s="5" t="s">
        <v>96</v>
      </c>
      <c r="F45" s="6"/>
      <c r="G45" s="3">
        <v>7</v>
      </c>
      <c r="H45" s="7">
        <v>3</v>
      </c>
      <c r="I45" s="8">
        <v>3</v>
      </c>
      <c r="J45" s="9"/>
      <c r="K45" s="17"/>
      <c r="L45" s="15"/>
      <c r="M45" s="2"/>
      <c r="N45" s="2"/>
      <c r="O45" s="3">
        <v>0</v>
      </c>
      <c r="P45" s="3">
        <v>0</v>
      </c>
      <c r="Q45" s="2" t="s">
        <v>145</v>
      </c>
      <c r="R45" s="2" t="s">
        <v>124</v>
      </c>
      <c r="S45" s="12">
        <f t="shared" si="0"/>
        <v>45</v>
      </c>
      <c r="T45" s="13">
        <f t="shared" si="1"/>
        <v>0</v>
      </c>
      <c r="U45" s="10">
        <f t="shared" si="2"/>
        <v>0</v>
      </c>
      <c r="V45" s="11">
        <f t="shared" si="6"/>
        <v>0</v>
      </c>
      <c r="W45" s="2">
        <f t="shared" si="4"/>
        <v>90</v>
      </c>
      <c r="X45" s="2">
        <f t="shared" si="5"/>
        <v>15</v>
      </c>
      <c r="Y45" s="2"/>
      <c r="Z45" s="2">
        <v>1</v>
      </c>
      <c r="AA45" s="6"/>
      <c r="AB45" s="1"/>
      <c r="AC45" s="1"/>
    </row>
    <row r="46" spans="1:29" ht="31.5" x14ac:dyDescent="0.25">
      <c r="A46" s="2">
        <v>45</v>
      </c>
      <c r="B46" s="3" t="s">
        <v>73</v>
      </c>
      <c r="C46" s="3" t="s">
        <v>74</v>
      </c>
      <c r="D46" s="4" t="s">
        <v>180</v>
      </c>
      <c r="E46" s="5" t="s">
        <v>181</v>
      </c>
      <c r="F46" s="6"/>
      <c r="G46" s="3">
        <v>6</v>
      </c>
      <c r="H46" s="7">
        <v>3</v>
      </c>
      <c r="I46" s="8">
        <v>2</v>
      </c>
      <c r="J46" s="9">
        <v>1</v>
      </c>
      <c r="K46" s="17"/>
      <c r="L46" s="15"/>
      <c r="M46" s="2" t="s">
        <v>11</v>
      </c>
      <c r="N46" s="2"/>
      <c r="O46" s="3">
        <v>0</v>
      </c>
      <c r="P46" s="3">
        <v>0</v>
      </c>
      <c r="Q46" s="2" t="s">
        <v>91</v>
      </c>
      <c r="R46" s="2" t="s">
        <v>124</v>
      </c>
      <c r="S46" s="12">
        <f t="shared" si="0"/>
        <v>30</v>
      </c>
      <c r="T46" s="13">
        <f t="shared" si="1"/>
        <v>30</v>
      </c>
      <c r="U46" s="10">
        <f t="shared" si="2"/>
        <v>0</v>
      </c>
      <c r="V46" s="11">
        <f t="shared" si="6"/>
        <v>0</v>
      </c>
      <c r="W46" s="2">
        <f t="shared" si="4"/>
        <v>75</v>
      </c>
      <c r="X46" s="2">
        <f t="shared" si="5"/>
        <v>15</v>
      </c>
      <c r="Y46" s="2"/>
      <c r="Z46" s="2">
        <v>1</v>
      </c>
      <c r="AA46" s="6"/>
      <c r="AB46" s="1"/>
      <c r="AC46" s="1"/>
    </row>
    <row r="47" spans="1:29" ht="31.5" x14ac:dyDescent="0.25">
      <c r="A47" s="2">
        <v>46</v>
      </c>
      <c r="B47" s="3" t="s">
        <v>73</v>
      </c>
      <c r="C47" s="3" t="s">
        <v>74</v>
      </c>
      <c r="D47" s="4" t="s">
        <v>180</v>
      </c>
      <c r="E47" s="5" t="s">
        <v>182</v>
      </c>
      <c r="F47" s="6"/>
      <c r="G47" s="3">
        <v>7</v>
      </c>
      <c r="H47" s="7">
        <v>3</v>
      </c>
      <c r="I47" s="8">
        <v>2</v>
      </c>
      <c r="J47" s="9">
        <v>1</v>
      </c>
      <c r="K47" s="17"/>
      <c r="L47" s="15"/>
      <c r="M47" s="2" t="s">
        <v>11</v>
      </c>
      <c r="N47" s="2"/>
      <c r="O47" s="3">
        <v>0</v>
      </c>
      <c r="P47" s="3">
        <v>0</v>
      </c>
      <c r="Q47" s="2" t="s">
        <v>179</v>
      </c>
      <c r="R47" s="2" t="s">
        <v>124</v>
      </c>
      <c r="S47" s="12">
        <f t="shared" si="0"/>
        <v>30</v>
      </c>
      <c r="T47" s="13">
        <f t="shared" si="1"/>
        <v>30</v>
      </c>
      <c r="U47" s="10">
        <f t="shared" si="2"/>
        <v>0</v>
      </c>
      <c r="V47" s="11">
        <f t="shared" si="6"/>
        <v>0</v>
      </c>
      <c r="W47" s="2">
        <f t="shared" si="4"/>
        <v>75</v>
      </c>
      <c r="X47" s="2">
        <f t="shared" si="5"/>
        <v>15</v>
      </c>
      <c r="Y47" s="2"/>
      <c r="Z47" s="2">
        <v>1</v>
      </c>
      <c r="AA47" s="6"/>
      <c r="AB47" s="1"/>
      <c r="AC47" s="1"/>
    </row>
    <row r="48" spans="1:29" ht="31.5" x14ac:dyDescent="0.25">
      <c r="A48" s="2">
        <v>47</v>
      </c>
      <c r="B48" s="3" t="s">
        <v>183</v>
      </c>
      <c r="C48" s="3" t="s">
        <v>74</v>
      </c>
      <c r="D48" s="4" t="s">
        <v>104</v>
      </c>
      <c r="E48" s="5" t="s">
        <v>105</v>
      </c>
      <c r="F48" s="6"/>
      <c r="G48" s="3">
        <v>6</v>
      </c>
      <c r="H48" s="7">
        <v>2</v>
      </c>
      <c r="I48" s="8">
        <v>3</v>
      </c>
      <c r="J48" s="9"/>
      <c r="K48" s="17"/>
      <c r="L48" s="15"/>
      <c r="M48" s="2"/>
      <c r="N48" s="2"/>
      <c r="O48" s="3">
        <v>1</v>
      </c>
      <c r="P48" s="3">
        <v>0</v>
      </c>
      <c r="Q48" s="2" t="s">
        <v>85</v>
      </c>
      <c r="R48" s="2" t="s">
        <v>124</v>
      </c>
      <c r="S48" s="12">
        <f t="shared" si="0"/>
        <v>45</v>
      </c>
      <c r="T48" s="13">
        <f t="shared" si="1"/>
        <v>0</v>
      </c>
      <c r="U48" s="10">
        <f t="shared" si="2"/>
        <v>0</v>
      </c>
      <c r="V48" s="11">
        <f t="shared" si="6"/>
        <v>0</v>
      </c>
      <c r="W48" s="2">
        <f t="shared" si="4"/>
        <v>90</v>
      </c>
      <c r="X48" s="2">
        <f t="shared" si="5"/>
        <v>10</v>
      </c>
      <c r="Y48" s="2"/>
      <c r="Z48" s="2">
        <v>1</v>
      </c>
      <c r="AA48" s="6"/>
      <c r="AB48" s="1"/>
      <c r="AC48" s="1"/>
    </row>
    <row r="49" spans="1:29" ht="31.5" x14ac:dyDescent="0.25">
      <c r="A49" s="2">
        <v>48</v>
      </c>
      <c r="B49" s="3" t="s">
        <v>183</v>
      </c>
      <c r="C49" s="3" t="s">
        <v>74</v>
      </c>
      <c r="D49" s="4" t="s">
        <v>110</v>
      </c>
      <c r="E49" s="5" t="s">
        <v>184</v>
      </c>
      <c r="F49" s="6"/>
      <c r="G49" s="3">
        <v>5</v>
      </c>
      <c r="H49" s="7">
        <v>2</v>
      </c>
      <c r="I49" s="8">
        <v>2</v>
      </c>
      <c r="J49" s="9"/>
      <c r="K49" s="17"/>
      <c r="L49" s="15"/>
      <c r="M49" s="2"/>
      <c r="N49" s="2"/>
      <c r="O49" s="3">
        <v>1</v>
      </c>
      <c r="P49" s="3">
        <v>0</v>
      </c>
      <c r="Q49" s="2" t="s">
        <v>83</v>
      </c>
      <c r="R49" s="2" t="s">
        <v>124</v>
      </c>
      <c r="S49" s="12">
        <f t="shared" si="0"/>
        <v>30</v>
      </c>
      <c r="T49" s="13">
        <f t="shared" si="1"/>
        <v>0</v>
      </c>
      <c r="U49" s="10">
        <f t="shared" si="2"/>
        <v>0</v>
      </c>
      <c r="V49" s="11">
        <f t="shared" si="6"/>
        <v>0</v>
      </c>
      <c r="W49" s="2">
        <f t="shared" si="4"/>
        <v>60</v>
      </c>
      <c r="X49" s="2">
        <f t="shared" si="5"/>
        <v>10</v>
      </c>
      <c r="Y49" s="2"/>
      <c r="Z49" s="2">
        <v>1</v>
      </c>
      <c r="AA49" s="6"/>
      <c r="AB49" s="1"/>
      <c r="AC49" s="1"/>
    </row>
    <row r="50" spans="1:29" ht="31.5" x14ac:dyDescent="0.25">
      <c r="A50" s="2">
        <v>49</v>
      </c>
      <c r="B50" s="3" t="s">
        <v>183</v>
      </c>
      <c r="C50" s="3" t="s">
        <v>74</v>
      </c>
      <c r="D50" s="4" t="s">
        <v>185</v>
      </c>
      <c r="E50" s="5" t="s">
        <v>84</v>
      </c>
      <c r="F50" s="6"/>
      <c r="G50" s="3">
        <v>6</v>
      </c>
      <c r="H50" s="7">
        <v>2</v>
      </c>
      <c r="I50" s="8">
        <v>3</v>
      </c>
      <c r="J50" s="9"/>
      <c r="K50" s="17"/>
      <c r="L50" s="15"/>
      <c r="M50" s="2"/>
      <c r="N50" s="2"/>
      <c r="O50" s="3">
        <v>1</v>
      </c>
      <c r="P50" s="3">
        <v>0</v>
      </c>
      <c r="Q50" s="2" t="s">
        <v>176</v>
      </c>
      <c r="R50" s="2" t="s">
        <v>124</v>
      </c>
      <c r="S50" s="12">
        <f t="shared" si="0"/>
        <v>45</v>
      </c>
      <c r="T50" s="13">
        <f t="shared" si="1"/>
        <v>0</v>
      </c>
      <c r="U50" s="10">
        <f t="shared" si="2"/>
        <v>0</v>
      </c>
      <c r="V50" s="11">
        <f t="shared" si="6"/>
        <v>0</v>
      </c>
      <c r="W50" s="2">
        <f t="shared" si="4"/>
        <v>90</v>
      </c>
      <c r="X50" s="2">
        <f t="shared" si="5"/>
        <v>10</v>
      </c>
      <c r="Y50" s="2"/>
      <c r="Z50" s="2">
        <v>1</v>
      </c>
      <c r="AA50" s="6"/>
      <c r="AB50" s="1"/>
      <c r="AC50" s="1"/>
    </row>
    <row r="51" spans="1:29" ht="31.5" x14ac:dyDescent="0.25">
      <c r="A51" s="2">
        <v>50</v>
      </c>
      <c r="B51" s="3" t="s">
        <v>183</v>
      </c>
      <c r="C51" s="3" t="s">
        <v>74</v>
      </c>
      <c r="D51" s="4" t="s">
        <v>112</v>
      </c>
      <c r="E51" s="5" t="s">
        <v>186</v>
      </c>
      <c r="F51" s="6"/>
      <c r="G51" s="3">
        <v>6</v>
      </c>
      <c r="H51" s="7">
        <v>2</v>
      </c>
      <c r="I51" s="8">
        <v>2</v>
      </c>
      <c r="J51" s="9"/>
      <c r="K51" s="17"/>
      <c r="L51" s="15"/>
      <c r="M51" s="2"/>
      <c r="N51" s="2"/>
      <c r="O51" s="3">
        <v>1</v>
      </c>
      <c r="P51" s="3">
        <v>0</v>
      </c>
      <c r="Q51" s="2" t="s">
        <v>83</v>
      </c>
      <c r="R51" s="2" t="s">
        <v>124</v>
      </c>
      <c r="S51" s="12">
        <f t="shared" si="0"/>
        <v>30</v>
      </c>
      <c r="T51" s="13">
        <f t="shared" si="1"/>
        <v>0</v>
      </c>
      <c r="U51" s="10">
        <f t="shared" si="2"/>
        <v>0</v>
      </c>
      <c r="V51" s="11">
        <f t="shared" si="6"/>
        <v>0</v>
      </c>
      <c r="W51" s="2">
        <f t="shared" si="4"/>
        <v>60</v>
      </c>
      <c r="X51" s="2">
        <f t="shared" si="5"/>
        <v>10</v>
      </c>
      <c r="Y51" s="2"/>
      <c r="Z51" s="2">
        <v>1</v>
      </c>
      <c r="AA51" s="6"/>
      <c r="AB51" s="1"/>
      <c r="AC51" s="1"/>
    </row>
    <row r="52" spans="1:29" ht="31.5" x14ac:dyDescent="0.25">
      <c r="A52" s="2">
        <v>51</v>
      </c>
      <c r="B52" s="3" t="s">
        <v>183</v>
      </c>
      <c r="C52" s="3" t="s">
        <v>74</v>
      </c>
      <c r="D52" s="4" t="s">
        <v>187</v>
      </c>
      <c r="E52" s="5" t="s">
        <v>82</v>
      </c>
      <c r="F52" s="6"/>
      <c r="G52" s="3">
        <v>7</v>
      </c>
      <c r="H52" s="7">
        <v>2</v>
      </c>
      <c r="I52" s="8">
        <v>1.3333333333333333</v>
      </c>
      <c r="J52" s="9">
        <v>0.66666666666666663</v>
      </c>
      <c r="K52" s="17"/>
      <c r="L52" s="15"/>
      <c r="M52" s="2" t="s">
        <v>11</v>
      </c>
      <c r="N52" s="2"/>
      <c r="O52" s="3">
        <v>1</v>
      </c>
      <c r="P52" s="3">
        <v>0</v>
      </c>
      <c r="Q52" s="2" t="s">
        <v>83</v>
      </c>
      <c r="R52" s="2" t="s">
        <v>124</v>
      </c>
      <c r="S52" s="12">
        <f t="shared" si="0"/>
        <v>20</v>
      </c>
      <c r="T52" s="13">
        <f t="shared" si="1"/>
        <v>20</v>
      </c>
      <c r="U52" s="10">
        <f t="shared" si="2"/>
        <v>0</v>
      </c>
      <c r="V52" s="11">
        <f t="shared" si="6"/>
        <v>0</v>
      </c>
      <c r="W52" s="2">
        <f t="shared" si="4"/>
        <v>49.999999999999993</v>
      </c>
      <c r="X52" s="2">
        <f t="shared" si="5"/>
        <v>10</v>
      </c>
      <c r="Y52" s="2"/>
      <c r="Z52" s="2">
        <v>1</v>
      </c>
      <c r="AA52" s="6"/>
      <c r="AB52" s="1"/>
      <c r="AC52" s="1"/>
    </row>
    <row r="53" spans="1:29" ht="31.5" x14ac:dyDescent="0.25">
      <c r="A53" s="2">
        <v>52</v>
      </c>
      <c r="B53" s="3" t="s">
        <v>183</v>
      </c>
      <c r="C53" s="3" t="s">
        <v>74</v>
      </c>
      <c r="D53" s="4" t="s">
        <v>188</v>
      </c>
      <c r="E53" s="5" t="s">
        <v>189</v>
      </c>
      <c r="F53" s="6"/>
      <c r="G53" s="3">
        <v>0</v>
      </c>
      <c r="H53" s="7">
        <v>2</v>
      </c>
      <c r="I53" s="8">
        <v>1.3333333333333333</v>
      </c>
      <c r="J53" s="9">
        <v>0.66666666666666663</v>
      </c>
      <c r="K53" s="17"/>
      <c r="L53" s="15"/>
      <c r="M53" s="2" t="s">
        <v>11</v>
      </c>
      <c r="N53" s="2"/>
      <c r="O53" s="3">
        <v>1</v>
      </c>
      <c r="P53" s="3">
        <v>0</v>
      </c>
      <c r="Q53" s="2" t="s">
        <v>83</v>
      </c>
      <c r="R53" s="2" t="s">
        <v>124</v>
      </c>
      <c r="S53" s="12">
        <f t="shared" si="0"/>
        <v>20</v>
      </c>
      <c r="T53" s="13">
        <f t="shared" si="1"/>
        <v>20</v>
      </c>
      <c r="U53" s="10">
        <f t="shared" si="2"/>
        <v>0</v>
      </c>
      <c r="V53" s="11">
        <f t="shared" si="6"/>
        <v>0</v>
      </c>
      <c r="W53" s="2">
        <f t="shared" si="4"/>
        <v>49.999999999999993</v>
      </c>
      <c r="X53" s="2">
        <f t="shared" si="5"/>
        <v>10</v>
      </c>
      <c r="Y53" s="2"/>
      <c r="Z53" s="2">
        <v>1</v>
      </c>
      <c r="AA53" s="6"/>
      <c r="AB53" s="1"/>
      <c r="AC53" s="1"/>
    </row>
    <row r="54" spans="1:29" ht="31.5" x14ac:dyDescent="0.25">
      <c r="A54" s="2">
        <v>53</v>
      </c>
      <c r="B54" s="3" t="s">
        <v>183</v>
      </c>
      <c r="C54" s="3" t="s">
        <v>74</v>
      </c>
      <c r="D54" s="4" t="s">
        <v>190</v>
      </c>
      <c r="E54" s="5" t="s">
        <v>191</v>
      </c>
      <c r="F54" s="6"/>
      <c r="G54" s="3">
        <v>0</v>
      </c>
      <c r="H54" s="7">
        <v>2</v>
      </c>
      <c r="I54" s="8">
        <v>1.3333333333333333</v>
      </c>
      <c r="J54" s="9">
        <v>0.66666666666666663</v>
      </c>
      <c r="K54" s="17"/>
      <c r="L54" s="15"/>
      <c r="M54" s="2" t="s">
        <v>11</v>
      </c>
      <c r="N54" s="2"/>
      <c r="O54" s="3">
        <v>1</v>
      </c>
      <c r="P54" s="3">
        <v>0</v>
      </c>
      <c r="Q54" s="2" t="s">
        <v>155</v>
      </c>
      <c r="R54" s="2" t="s">
        <v>124</v>
      </c>
      <c r="S54" s="12">
        <f t="shared" si="0"/>
        <v>20</v>
      </c>
      <c r="T54" s="13">
        <f t="shared" si="1"/>
        <v>20</v>
      </c>
      <c r="U54" s="10">
        <f t="shared" si="2"/>
        <v>0</v>
      </c>
      <c r="V54" s="11">
        <f t="shared" si="6"/>
        <v>0</v>
      </c>
      <c r="W54" s="2">
        <f t="shared" si="4"/>
        <v>49.999999999999993</v>
      </c>
      <c r="X54" s="2">
        <f t="shared" si="5"/>
        <v>10</v>
      </c>
      <c r="Y54" s="2"/>
      <c r="Z54" s="2">
        <v>1</v>
      </c>
      <c r="AA54" s="6"/>
      <c r="AB54" s="1"/>
      <c r="AC54" s="1"/>
    </row>
    <row r="55" spans="1:29" ht="31.5" x14ac:dyDescent="0.25">
      <c r="A55" s="2">
        <v>54</v>
      </c>
      <c r="B55" s="3" t="s">
        <v>183</v>
      </c>
      <c r="C55" s="3" t="s">
        <v>74</v>
      </c>
      <c r="D55" s="4" t="s">
        <v>192</v>
      </c>
      <c r="E55" s="5" t="s">
        <v>193</v>
      </c>
      <c r="F55" s="6"/>
      <c r="G55" s="3">
        <v>5</v>
      </c>
      <c r="H55" s="7">
        <v>2</v>
      </c>
      <c r="I55" s="8">
        <v>2</v>
      </c>
      <c r="J55" s="9"/>
      <c r="K55" s="17"/>
      <c r="L55" s="15"/>
      <c r="M55" s="2"/>
      <c r="N55" s="2"/>
      <c r="O55" s="3">
        <v>1</v>
      </c>
      <c r="P55" s="3">
        <v>0</v>
      </c>
      <c r="Q55" s="2" t="s">
        <v>85</v>
      </c>
      <c r="R55" s="2" t="s">
        <v>124</v>
      </c>
      <c r="S55" s="12">
        <f t="shared" si="0"/>
        <v>30</v>
      </c>
      <c r="T55" s="13">
        <f t="shared" si="1"/>
        <v>0</v>
      </c>
      <c r="U55" s="10">
        <f t="shared" si="2"/>
        <v>0</v>
      </c>
      <c r="V55" s="11">
        <f t="shared" si="6"/>
        <v>0</v>
      </c>
      <c r="W55" s="2">
        <f t="shared" si="4"/>
        <v>60</v>
      </c>
      <c r="X55" s="2">
        <f t="shared" si="5"/>
        <v>10</v>
      </c>
      <c r="Y55" s="2"/>
      <c r="Z55" s="2">
        <v>1</v>
      </c>
      <c r="AA55" s="6"/>
      <c r="AB55" s="1"/>
      <c r="AC55" s="1"/>
    </row>
    <row r="56" spans="1:29" ht="31.5" x14ac:dyDescent="0.25">
      <c r="A56" s="2">
        <v>55</v>
      </c>
      <c r="B56" s="3" t="s">
        <v>183</v>
      </c>
      <c r="C56" s="3" t="s">
        <v>74</v>
      </c>
      <c r="D56" s="4" t="s">
        <v>101</v>
      </c>
      <c r="E56" s="5" t="s">
        <v>102</v>
      </c>
      <c r="F56" s="6"/>
      <c r="G56" s="3">
        <v>6</v>
      </c>
      <c r="H56" s="7">
        <v>2</v>
      </c>
      <c r="I56" s="8">
        <v>1.3333333333333333</v>
      </c>
      <c r="J56" s="9">
        <v>0.66666666666666663</v>
      </c>
      <c r="K56" s="17"/>
      <c r="L56" s="15"/>
      <c r="M56" s="2" t="s">
        <v>11</v>
      </c>
      <c r="N56" s="2"/>
      <c r="O56" s="3">
        <v>1</v>
      </c>
      <c r="P56" s="3">
        <v>0</v>
      </c>
      <c r="Q56" s="2" t="s">
        <v>143</v>
      </c>
      <c r="R56" s="2" t="s">
        <v>124</v>
      </c>
      <c r="S56" s="12">
        <f t="shared" si="0"/>
        <v>20</v>
      </c>
      <c r="T56" s="13">
        <f t="shared" si="1"/>
        <v>20</v>
      </c>
      <c r="U56" s="10">
        <f t="shared" si="2"/>
        <v>0</v>
      </c>
      <c r="V56" s="11">
        <f t="shared" si="6"/>
        <v>0</v>
      </c>
      <c r="W56" s="2">
        <f t="shared" si="4"/>
        <v>49.999999999999993</v>
      </c>
      <c r="X56" s="2">
        <f t="shared" si="5"/>
        <v>10</v>
      </c>
      <c r="Y56" s="2"/>
      <c r="Z56" s="2">
        <v>1</v>
      </c>
      <c r="AA56" s="6"/>
      <c r="AB56" s="1"/>
      <c r="AC56" s="1"/>
    </row>
    <row r="57" spans="1:29" ht="31.5" x14ac:dyDescent="0.25">
      <c r="A57" s="2">
        <v>56</v>
      </c>
      <c r="B57" s="3" t="s">
        <v>183</v>
      </c>
      <c r="C57" s="3" t="s">
        <v>74</v>
      </c>
      <c r="D57" s="4" t="s">
        <v>194</v>
      </c>
      <c r="E57" s="5" t="s">
        <v>195</v>
      </c>
      <c r="F57" s="6"/>
      <c r="G57" s="3">
        <v>7</v>
      </c>
      <c r="H57" s="7">
        <v>2</v>
      </c>
      <c r="I57" s="8">
        <v>1.3333333333333333</v>
      </c>
      <c r="J57" s="9">
        <v>0.66666666666666663</v>
      </c>
      <c r="K57" s="17"/>
      <c r="L57" s="15"/>
      <c r="M57" s="2" t="s">
        <v>11</v>
      </c>
      <c r="N57" s="2"/>
      <c r="O57" s="3">
        <v>1</v>
      </c>
      <c r="P57" s="3">
        <v>0</v>
      </c>
      <c r="Q57" s="2" t="s">
        <v>179</v>
      </c>
      <c r="R57" s="2" t="s">
        <v>124</v>
      </c>
      <c r="S57" s="12">
        <f t="shared" si="0"/>
        <v>20</v>
      </c>
      <c r="T57" s="13">
        <f t="shared" si="1"/>
        <v>20</v>
      </c>
      <c r="U57" s="10">
        <f t="shared" si="2"/>
        <v>0</v>
      </c>
      <c r="V57" s="11">
        <f t="shared" si="6"/>
        <v>0</v>
      </c>
      <c r="W57" s="2">
        <f t="shared" si="4"/>
        <v>49.999999999999993</v>
      </c>
      <c r="X57" s="2">
        <f t="shared" si="5"/>
        <v>10</v>
      </c>
      <c r="Y57" s="2"/>
      <c r="Z57" s="2">
        <v>1</v>
      </c>
      <c r="AA57" s="6"/>
      <c r="AB57" s="1"/>
      <c r="AC57" s="1"/>
    </row>
    <row r="58" spans="1:29" ht="31.5" x14ac:dyDescent="0.25">
      <c r="A58" s="2">
        <v>57</v>
      </c>
      <c r="B58" s="3" t="s">
        <v>183</v>
      </c>
      <c r="C58" s="3" t="s">
        <v>74</v>
      </c>
      <c r="D58" s="4" t="s">
        <v>196</v>
      </c>
      <c r="E58" s="5" t="s">
        <v>113</v>
      </c>
      <c r="F58" s="6"/>
      <c r="G58" s="3">
        <v>7</v>
      </c>
      <c r="H58" s="7">
        <v>2</v>
      </c>
      <c r="I58" s="8">
        <v>1.3333333333333333</v>
      </c>
      <c r="J58" s="9">
        <v>0.66666666666666663</v>
      </c>
      <c r="K58" s="17"/>
      <c r="L58" s="15"/>
      <c r="M58" s="2" t="s">
        <v>11</v>
      </c>
      <c r="N58" s="2"/>
      <c r="O58" s="3">
        <v>1</v>
      </c>
      <c r="P58" s="3">
        <v>0</v>
      </c>
      <c r="Q58" s="2" t="s">
        <v>179</v>
      </c>
      <c r="R58" s="2" t="s">
        <v>124</v>
      </c>
      <c r="S58" s="12">
        <f t="shared" si="0"/>
        <v>20</v>
      </c>
      <c r="T58" s="13">
        <f t="shared" si="1"/>
        <v>20</v>
      </c>
      <c r="U58" s="10">
        <f t="shared" si="2"/>
        <v>0</v>
      </c>
      <c r="V58" s="11">
        <f t="shared" si="6"/>
        <v>0</v>
      </c>
      <c r="W58" s="2">
        <f t="shared" si="4"/>
        <v>49.999999999999993</v>
      </c>
      <c r="X58" s="2">
        <f t="shared" si="5"/>
        <v>10</v>
      </c>
      <c r="Y58" s="2"/>
      <c r="Z58" s="2">
        <v>1</v>
      </c>
      <c r="AA58" s="6"/>
      <c r="AB58" s="1"/>
      <c r="AC58" s="1"/>
    </row>
    <row r="59" spans="1:29" ht="31.5" x14ac:dyDescent="0.25">
      <c r="A59" s="2">
        <v>58</v>
      </c>
      <c r="B59" s="3" t="s">
        <v>118</v>
      </c>
      <c r="C59" s="3" t="s">
        <v>119</v>
      </c>
      <c r="D59" s="4" t="s">
        <v>120</v>
      </c>
      <c r="E59" s="5" t="s">
        <v>121</v>
      </c>
      <c r="F59" s="6"/>
      <c r="G59" s="3">
        <v>7</v>
      </c>
      <c r="H59" s="7">
        <v>4</v>
      </c>
      <c r="I59" s="8"/>
      <c r="J59" s="9"/>
      <c r="K59" s="17"/>
      <c r="L59" s="15">
        <v>4</v>
      </c>
      <c r="M59" s="2"/>
      <c r="N59" s="2"/>
      <c r="O59" s="3">
        <v>0</v>
      </c>
      <c r="P59" s="3">
        <v>0</v>
      </c>
      <c r="Q59" s="2"/>
      <c r="R59" s="2"/>
      <c r="S59" s="12">
        <f t="shared" si="0"/>
        <v>0</v>
      </c>
      <c r="T59" s="13">
        <f t="shared" si="1"/>
        <v>0</v>
      </c>
      <c r="U59" s="10">
        <f t="shared" si="2"/>
        <v>0</v>
      </c>
      <c r="V59" s="11">
        <f t="shared" si="6"/>
        <v>180</v>
      </c>
      <c r="W59" s="2">
        <f t="shared" si="4"/>
        <v>180</v>
      </c>
      <c r="X59" s="2">
        <f t="shared" si="5"/>
        <v>20</v>
      </c>
      <c r="Y59" s="2"/>
      <c r="Z59" s="2">
        <v>1</v>
      </c>
      <c r="AA59" s="6"/>
      <c r="AB59" s="1"/>
      <c r="AC59" s="1"/>
    </row>
    <row r="60" spans="1:29" ht="31.5" x14ac:dyDescent="0.25">
      <c r="A60" s="2">
        <v>59</v>
      </c>
      <c r="B60" s="3" t="s">
        <v>118</v>
      </c>
      <c r="C60" s="3" t="s">
        <v>119</v>
      </c>
      <c r="D60" s="4" t="s">
        <v>122</v>
      </c>
      <c r="E60" s="5" t="s">
        <v>123</v>
      </c>
      <c r="F60" s="6"/>
      <c r="G60" s="3">
        <v>8</v>
      </c>
      <c r="H60" s="7">
        <v>6</v>
      </c>
      <c r="I60" s="8"/>
      <c r="J60" s="9"/>
      <c r="K60" s="17"/>
      <c r="L60" s="15">
        <v>6</v>
      </c>
      <c r="M60" s="2"/>
      <c r="N60" s="2"/>
      <c r="O60" s="3">
        <v>0</v>
      </c>
      <c r="P60" s="3">
        <v>0</v>
      </c>
      <c r="Q60" s="2"/>
      <c r="R60" s="2"/>
      <c r="S60" s="12">
        <f t="shared" si="0"/>
        <v>0</v>
      </c>
      <c r="T60" s="13">
        <f t="shared" si="1"/>
        <v>0</v>
      </c>
      <c r="U60" s="10">
        <f t="shared" si="2"/>
        <v>0</v>
      </c>
      <c r="V60" s="11">
        <f t="shared" si="6"/>
        <v>270</v>
      </c>
      <c r="W60" s="2">
        <f t="shared" si="4"/>
        <v>270</v>
      </c>
      <c r="X60" s="2">
        <f t="shared" si="5"/>
        <v>30</v>
      </c>
      <c r="Y60" s="2"/>
      <c r="Z60" s="2">
        <v>1</v>
      </c>
      <c r="AA60" s="6"/>
      <c r="AB60" s="1"/>
      <c r="AC60" s="1"/>
    </row>
    <row r="61" spans="1:29" ht="31.5" x14ac:dyDescent="0.25">
      <c r="A61" s="2">
        <v>60</v>
      </c>
      <c r="B61" s="3" t="s">
        <v>7</v>
      </c>
      <c r="C61" s="3" t="s">
        <v>8</v>
      </c>
      <c r="D61" s="4" t="s">
        <v>16</v>
      </c>
      <c r="E61" s="5" t="s">
        <v>17</v>
      </c>
      <c r="F61" s="6"/>
      <c r="G61" s="3">
        <v>6</v>
      </c>
      <c r="H61" s="7">
        <v>3</v>
      </c>
      <c r="I61" s="8">
        <v>1</v>
      </c>
      <c r="J61" s="9">
        <v>2</v>
      </c>
      <c r="K61" s="17"/>
      <c r="L61" s="15"/>
      <c r="M61" s="2" t="s">
        <v>11</v>
      </c>
      <c r="N61" s="2"/>
      <c r="O61" s="3">
        <v>0</v>
      </c>
      <c r="P61" s="3">
        <v>0</v>
      </c>
      <c r="Q61" s="2"/>
      <c r="R61" s="2"/>
      <c r="S61" s="12">
        <f t="shared" si="0"/>
        <v>15</v>
      </c>
      <c r="T61" s="13">
        <f t="shared" si="1"/>
        <v>60</v>
      </c>
      <c r="U61" s="10">
        <f t="shared" si="2"/>
        <v>0</v>
      </c>
      <c r="V61" s="11">
        <f t="shared" si="6"/>
        <v>0</v>
      </c>
      <c r="W61" s="2">
        <f t="shared" si="4"/>
        <v>60</v>
      </c>
      <c r="X61" s="2">
        <f t="shared" si="5"/>
        <v>15</v>
      </c>
      <c r="Y61" s="2"/>
      <c r="Z61" s="2">
        <v>0</v>
      </c>
      <c r="AA61" s="6"/>
      <c r="AB61" s="1"/>
      <c r="AC61" s="1"/>
    </row>
    <row r="62" spans="1:29" ht="31.5" x14ac:dyDescent="0.25">
      <c r="A62" s="2">
        <v>61</v>
      </c>
      <c r="B62" s="3" t="s">
        <v>7</v>
      </c>
      <c r="C62" s="3" t="s">
        <v>8</v>
      </c>
      <c r="D62" s="4" t="s">
        <v>18</v>
      </c>
      <c r="E62" s="14" t="s">
        <v>19</v>
      </c>
      <c r="F62" s="6"/>
      <c r="G62" s="3">
        <v>1</v>
      </c>
      <c r="H62" s="7">
        <v>8</v>
      </c>
      <c r="I62" s="8"/>
      <c r="J62" s="9"/>
      <c r="K62" s="17"/>
      <c r="L62" s="15"/>
      <c r="M62" s="2"/>
      <c r="N62" s="2"/>
      <c r="O62" s="3">
        <v>0</v>
      </c>
      <c r="P62" s="3">
        <v>0</v>
      </c>
      <c r="Q62" s="2"/>
      <c r="R62" s="2"/>
      <c r="S62" s="12">
        <f t="shared" si="0"/>
        <v>0</v>
      </c>
      <c r="T62" s="13">
        <f t="shared" si="1"/>
        <v>0</v>
      </c>
      <c r="U62" s="10">
        <f t="shared" si="2"/>
        <v>0</v>
      </c>
      <c r="V62" s="11">
        <f t="shared" si="6"/>
        <v>0</v>
      </c>
      <c r="W62" s="2">
        <f t="shared" si="4"/>
        <v>0</v>
      </c>
      <c r="X62" s="2">
        <f t="shared" si="5"/>
        <v>40</v>
      </c>
      <c r="Y62" s="2"/>
      <c r="Z62" s="2">
        <v>0</v>
      </c>
      <c r="AA62" s="6"/>
      <c r="AB62" s="1"/>
      <c r="AC62" s="1"/>
    </row>
  </sheetData>
  <dataValidations count="5">
    <dataValidation type="list" allowBlank="1" showErrorMessage="1" sqref="Y2:Y62" xr:uid="{00000000-0002-0000-0100-000000000000}">
      <formula1>#REF!</formula1>
    </dataValidation>
    <dataValidation type="list" allowBlank="1" showErrorMessage="1" sqref="Z2:Z62" xr:uid="{00000000-0002-0000-0100-000001000000}">
      <formula1>"1,0"</formula1>
    </dataValidation>
    <dataValidation type="list" allowBlank="1" showErrorMessage="1" sqref="R2:R62" xr:uid="{00000000-0002-0000-0100-000002000000}">
      <formula1>"Tiên quyết (c),Học trước (d),Song hành (e)"</formula1>
    </dataValidation>
    <dataValidation type="list" allowBlank="1" showErrorMessage="1" sqref="N2:N62" xr:uid="{00000000-0002-0000-0100-000003000000}">
      <formula1>"Nhóm 1,Nhóm 2,Nhóm 3,Nhóm 4"</formula1>
    </dataValidation>
    <dataValidation type="list" allowBlank="1" showErrorMessage="1" sqref="M2:M62" xr:uid="{00000000-0002-0000-0100-000004000000}">
      <formula1>"T,N"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D63"/>
  <sheetViews>
    <sheetView workbookViewId="0">
      <selection activeCell="A2" sqref="A2:A63"/>
    </sheetView>
  </sheetViews>
  <sheetFormatPr defaultColWidth="14.42578125" defaultRowHeight="15" customHeight="1" outlineLevelCol="1" x14ac:dyDescent="0.25"/>
  <cols>
    <col min="1" max="1" width="9.28515625" customWidth="1"/>
    <col min="2" max="2" width="17.85546875" customWidth="1"/>
    <col min="3" max="3" width="22.85546875" customWidth="1"/>
    <col min="5" max="5" width="23.42578125" customWidth="1"/>
    <col min="7" max="12" width="9.140625" customWidth="1"/>
    <col min="13" max="13" width="18.140625" customWidth="1" outlineLevel="1"/>
    <col min="14" max="26" width="14.42578125" outlineLevel="1"/>
    <col min="27" max="27" width="20.42578125" customWidth="1" outlineLevel="1"/>
    <col min="28" max="30" width="14.42578125" outlineLevel="1"/>
  </cols>
  <sheetData>
    <row r="1" spans="1:30" ht="15" customHeight="1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</row>
    <row r="2" spans="1:30" x14ac:dyDescent="0.25">
      <c r="A2" s="2">
        <v>1</v>
      </c>
      <c r="B2" s="3" t="s">
        <v>7</v>
      </c>
      <c r="C2" s="3" t="s">
        <v>8</v>
      </c>
      <c r="D2" s="4" t="s">
        <v>9</v>
      </c>
      <c r="E2" s="5" t="s">
        <v>10</v>
      </c>
      <c r="F2" s="6"/>
      <c r="G2" s="3">
        <v>1</v>
      </c>
      <c r="H2" s="7">
        <v>3</v>
      </c>
      <c r="I2" s="8">
        <v>3</v>
      </c>
      <c r="J2" s="9"/>
      <c r="K2" s="17"/>
      <c r="L2" s="15"/>
      <c r="M2" s="2"/>
      <c r="N2" s="2"/>
      <c r="O2" s="3">
        <v>0</v>
      </c>
      <c r="P2" s="3">
        <v>0</v>
      </c>
      <c r="Q2" s="2"/>
      <c r="R2" s="2"/>
      <c r="S2" s="12">
        <f t="shared" ref="S2:S63" si="0">I2*15</f>
        <v>45</v>
      </c>
      <c r="T2" s="13">
        <f t="shared" ref="T2:T63" si="1">IF(J2="",0,IF(M2="T",J2*15*2,IF(M2="N",J2*15*3,"fail")))</f>
        <v>0</v>
      </c>
      <c r="U2" s="10">
        <f t="shared" ref="U2:U63" si="2">K2*15</f>
        <v>0</v>
      </c>
      <c r="V2" s="11">
        <f t="shared" ref="V2:V3" si="3">IF(L2="",0,IF(M2="T",L2*15*2,IF(M2="N",L2*15*3,"fail")))</f>
        <v>0</v>
      </c>
      <c r="W2" s="2">
        <f t="shared" ref="W2:W63" si="4">(I2*2+J2+K2*3+L2*3)*15</f>
        <v>90</v>
      </c>
      <c r="X2" s="2">
        <f t="shared" ref="X2:X63" si="5">H2*5</f>
        <v>15</v>
      </c>
      <c r="Y2" s="2"/>
      <c r="Z2" s="2">
        <v>1</v>
      </c>
      <c r="AA2" s="6"/>
      <c r="AB2" s="1"/>
      <c r="AC2" s="1"/>
      <c r="AD2" s="1"/>
    </row>
    <row r="3" spans="1:30" x14ac:dyDescent="0.25">
      <c r="A3" s="2">
        <v>2</v>
      </c>
      <c r="B3" s="3" t="s">
        <v>7</v>
      </c>
      <c r="C3" s="3" t="s">
        <v>8</v>
      </c>
      <c r="D3" s="4" t="s">
        <v>140</v>
      </c>
      <c r="E3" s="5" t="s">
        <v>197</v>
      </c>
      <c r="F3" s="6"/>
      <c r="G3" s="3">
        <v>2</v>
      </c>
      <c r="H3" s="7">
        <v>2</v>
      </c>
      <c r="I3" s="8">
        <v>2</v>
      </c>
      <c r="J3" s="9"/>
      <c r="K3" s="17"/>
      <c r="L3" s="15"/>
      <c r="M3" s="2"/>
      <c r="N3" s="2"/>
      <c r="O3" s="3">
        <v>0</v>
      </c>
      <c r="P3" s="3">
        <v>0</v>
      </c>
      <c r="Q3" s="2" t="s">
        <v>9</v>
      </c>
      <c r="R3" s="2" t="s">
        <v>124</v>
      </c>
      <c r="S3" s="12">
        <f t="shared" si="0"/>
        <v>30</v>
      </c>
      <c r="T3" s="13">
        <f t="shared" si="1"/>
        <v>0</v>
      </c>
      <c r="U3" s="10">
        <f t="shared" si="2"/>
        <v>0</v>
      </c>
      <c r="V3" s="11">
        <f t="shared" si="3"/>
        <v>0</v>
      </c>
      <c r="W3" s="2">
        <f t="shared" si="4"/>
        <v>60</v>
      </c>
      <c r="X3" s="2">
        <f t="shared" si="5"/>
        <v>10</v>
      </c>
      <c r="Y3" s="2"/>
      <c r="Z3" s="2">
        <v>1</v>
      </c>
      <c r="AA3" s="6"/>
      <c r="AB3" s="1"/>
      <c r="AC3" s="1"/>
      <c r="AD3" s="1"/>
    </row>
    <row r="4" spans="1:30" x14ac:dyDescent="0.25">
      <c r="A4" s="2">
        <v>3</v>
      </c>
      <c r="B4" s="3" t="s">
        <v>7</v>
      </c>
      <c r="C4" s="3" t="s">
        <v>8</v>
      </c>
      <c r="D4" s="4" t="s">
        <v>125</v>
      </c>
      <c r="E4" s="5" t="s">
        <v>13</v>
      </c>
      <c r="F4" s="6"/>
      <c r="G4" s="3">
        <v>3</v>
      </c>
      <c r="H4" s="7">
        <v>2</v>
      </c>
      <c r="I4" s="8">
        <v>2</v>
      </c>
      <c r="J4" s="9"/>
      <c r="K4" s="17"/>
      <c r="L4" s="15"/>
      <c r="M4" s="2"/>
      <c r="N4" s="2"/>
      <c r="O4" s="3">
        <v>0</v>
      </c>
      <c r="P4" s="3">
        <v>0</v>
      </c>
      <c r="Q4" s="2"/>
      <c r="R4" s="2"/>
      <c r="S4" s="12">
        <f t="shared" si="0"/>
        <v>30</v>
      </c>
      <c r="T4" s="13">
        <f t="shared" si="1"/>
        <v>0</v>
      </c>
      <c r="U4" s="10">
        <f t="shared" si="2"/>
        <v>0</v>
      </c>
      <c r="V4" s="11">
        <f t="shared" ref="V4:V63" si="6">IF(L4="",0,IF(M4="T",L4*15*2,L4*15*3))</f>
        <v>0</v>
      </c>
      <c r="W4" s="2">
        <f t="shared" si="4"/>
        <v>60</v>
      </c>
      <c r="X4" s="2">
        <f t="shared" si="5"/>
        <v>10</v>
      </c>
      <c r="Y4" s="2"/>
      <c r="Z4" s="2">
        <v>1</v>
      </c>
      <c r="AA4" s="6"/>
      <c r="AB4" s="1"/>
      <c r="AC4" s="1"/>
      <c r="AD4" s="1"/>
    </row>
    <row r="5" spans="1:30" x14ac:dyDescent="0.25">
      <c r="A5" s="2">
        <v>4</v>
      </c>
      <c r="B5" s="3" t="s">
        <v>7</v>
      </c>
      <c r="C5" s="3" t="s">
        <v>8</v>
      </c>
      <c r="D5" s="4" t="s">
        <v>126</v>
      </c>
      <c r="E5" s="5" t="s">
        <v>127</v>
      </c>
      <c r="F5" s="6"/>
      <c r="G5" s="3">
        <v>5</v>
      </c>
      <c r="H5" s="7">
        <v>2</v>
      </c>
      <c r="I5" s="8">
        <v>2</v>
      </c>
      <c r="J5" s="9"/>
      <c r="K5" s="17"/>
      <c r="L5" s="15"/>
      <c r="M5" s="2"/>
      <c r="N5" s="2"/>
      <c r="O5" s="3">
        <v>0</v>
      </c>
      <c r="P5" s="3">
        <v>0</v>
      </c>
      <c r="Q5" s="2"/>
      <c r="R5" s="2"/>
      <c r="S5" s="12">
        <f t="shared" si="0"/>
        <v>30</v>
      </c>
      <c r="T5" s="13">
        <f t="shared" si="1"/>
        <v>0</v>
      </c>
      <c r="U5" s="10">
        <f t="shared" si="2"/>
        <v>0</v>
      </c>
      <c r="V5" s="11">
        <f t="shared" si="6"/>
        <v>0</v>
      </c>
      <c r="W5" s="2">
        <f t="shared" si="4"/>
        <v>60</v>
      </c>
      <c r="X5" s="2">
        <f t="shared" si="5"/>
        <v>10</v>
      </c>
      <c r="Y5" s="2"/>
      <c r="Z5" s="2">
        <v>1</v>
      </c>
      <c r="AA5" s="6"/>
      <c r="AB5" s="1"/>
      <c r="AC5" s="1"/>
      <c r="AD5" s="1"/>
    </row>
    <row r="6" spans="1:30" x14ac:dyDescent="0.25">
      <c r="A6" s="2">
        <v>5</v>
      </c>
      <c r="B6" s="3" t="s">
        <v>7</v>
      </c>
      <c r="C6" s="3" t="s">
        <v>8</v>
      </c>
      <c r="D6" s="4" t="s">
        <v>26</v>
      </c>
      <c r="E6" s="5" t="s">
        <v>27</v>
      </c>
      <c r="F6" s="6"/>
      <c r="G6" s="3">
        <v>4</v>
      </c>
      <c r="H6" s="7">
        <v>2</v>
      </c>
      <c r="I6" s="8">
        <v>2</v>
      </c>
      <c r="J6" s="9"/>
      <c r="K6" s="17"/>
      <c r="L6" s="15"/>
      <c r="M6" s="2"/>
      <c r="N6" s="2"/>
      <c r="O6" s="3">
        <v>0</v>
      </c>
      <c r="P6" s="3">
        <v>0</v>
      </c>
      <c r="Q6" s="2"/>
      <c r="R6" s="2"/>
      <c r="S6" s="12">
        <f t="shared" si="0"/>
        <v>30</v>
      </c>
      <c r="T6" s="13">
        <f t="shared" si="1"/>
        <v>0</v>
      </c>
      <c r="U6" s="10">
        <f t="shared" si="2"/>
        <v>0</v>
      </c>
      <c r="V6" s="11">
        <f t="shared" si="6"/>
        <v>0</v>
      </c>
      <c r="W6" s="2">
        <f t="shared" si="4"/>
        <v>60</v>
      </c>
      <c r="X6" s="2">
        <f t="shared" si="5"/>
        <v>10</v>
      </c>
      <c r="Y6" s="2"/>
      <c r="Z6" s="2">
        <v>1</v>
      </c>
      <c r="AA6" s="6"/>
      <c r="AB6" s="1"/>
      <c r="AC6" s="1"/>
      <c r="AD6" s="1"/>
    </row>
    <row r="7" spans="1:30" x14ac:dyDescent="0.25">
      <c r="A7" s="2">
        <v>6</v>
      </c>
      <c r="B7" s="3" t="s">
        <v>7</v>
      </c>
      <c r="C7" s="3" t="s">
        <v>8</v>
      </c>
      <c r="D7" s="4" t="s">
        <v>141</v>
      </c>
      <c r="E7" s="5" t="s">
        <v>21</v>
      </c>
      <c r="F7" s="6"/>
      <c r="G7" s="3">
        <v>1</v>
      </c>
      <c r="H7" s="7">
        <v>2</v>
      </c>
      <c r="I7" s="8">
        <v>2</v>
      </c>
      <c r="J7" s="9"/>
      <c r="K7" s="17"/>
      <c r="L7" s="15"/>
      <c r="M7" s="2"/>
      <c r="N7" s="2"/>
      <c r="O7" s="3">
        <v>0</v>
      </c>
      <c r="P7" s="3">
        <v>0</v>
      </c>
      <c r="Q7" s="2"/>
      <c r="R7" s="2"/>
      <c r="S7" s="12">
        <f t="shared" si="0"/>
        <v>30</v>
      </c>
      <c r="T7" s="13">
        <f t="shared" si="1"/>
        <v>0</v>
      </c>
      <c r="U7" s="10">
        <f t="shared" si="2"/>
        <v>0</v>
      </c>
      <c r="V7" s="11">
        <f t="shared" si="6"/>
        <v>0</v>
      </c>
      <c r="W7" s="2">
        <f t="shared" si="4"/>
        <v>60</v>
      </c>
      <c r="X7" s="2">
        <f t="shared" si="5"/>
        <v>10</v>
      </c>
      <c r="Y7" s="2"/>
      <c r="Z7" s="2">
        <v>1</v>
      </c>
      <c r="AA7" s="6"/>
      <c r="AB7" s="1"/>
      <c r="AC7" s="1"/>
      <c r="AD7" s="1"/>
    </row>
    <row r="8" spans="1:30" x14ac:dyDescent="0.25">
      <c r="A8" s="2">
        <v>7</v>
      </c>
      <c r="B8" s="3" t="s">
        <v>7</v>
      </c>
      <c r="C8" s="3" t="s">
        <v>8</v>
      </c>
      <c r="D8" s="4" t="s">
        <v>198</v>
      </c>
      <c r="E8" s="5" t="s">
        <v>131</v>
      </c>
      <c r="F8" s="6"/>
      <c r="G8" s="3">
        <v>1</v>
      </c>
      <c r="H8" s="7">
        <v>3</v>
      </c>
      <c r="I8" s="8">
        <v>3</v>
      </c>
      <c r="J8" s="9"/>
      <c r="K8" s="17"/>
      <c r="L8" s="15"/>
      <c r="M8" s="2"/>
      <c r="N8" s="2"/>
      <c r="O8" s="3">
        <v>0</v>
      </c>
      <c r="P8" s="3">
        <v>0</v>
      </c>
      <c r="Q8" s="2"/>
      <c r="R8" s="2"/>
      <c r="S8" s="12">
        <f t="shared" si="0"/>
        <v>45</v>
      </c>
      <c r="T8" s="13">
        <f t="shared" si="1"/>
        <v>0</v>
      </c>
      <c r="U8" s="10">
        <f t="shared" si="2"/>
        <v>0</v>
      </c>
      <c r="V8" s="11">
        <f t="shared" si="6"/>
        <v>0</v>
      </c>
      <c r="W8" s="2">
        <f t="shared" si="4"/>
        <v>90</v>
      </c>
      <c r="X8" s="2">
        <f t="shared" si="5"/>
        <v>15</v>
      </c>
      <c r="Y8" s="2"/>
      <c r="Z8" s="2">
        <v>1</v>
      </c>
      <c r="AA8" s="6"/>
      <c r="AB8" s="1"/>
      <c r="AC8" s="1"/>
      <c r="AD8" s="1"/>
    </row>
    <row r="9" spans="1:30" x14ac:dyDescent="0.25">
      <c r="A9" s="2">
        <v>8</v>
      </c>
      <c r="B9" s="3" t="s">
        <v>7</v>
      </c>
      <c r="C9" s="3" t="s">
        <v>8</v>
      </c>
      <c r="D9" s="4" t="s">
        <v>199</v>
      </c>
      <c r="E9" s="5" t="s">
        <v>23</v>
      </c>
      <c r="F9" s="6"/>
      <c r="G9" s="3">
        <v>1</v>
      </c>
      <c r="H9" s="7">
        <v>3</v>
      </c>
      <c r="I9" s="8">
        <v>3</v>
      </c>
      <c r="J9" s="9"/>
      <c r="K9" s="17"/>
      <c r="L9" s="15"/>
      <c r="M9" s="2"/>
      <c r="N9" s="2"/>
      <c r="O9" s="3">
        <v>0</v>
      </c>
      <c r="P9" s="3">
        <v>0</v>
      </c>
      <c r="Q9" s="2"/>
      <c r="R9" s="2"/>
      <c r="S9" s="12">
        <f t="shared" si="0"/>
        <v>45</v>
      </c>
      <c r="T9" s="13">
        <f t="shared" si="1"/>
        <v>0</v>
      </c>
      <c r="U9" s="10">
        <f t="shared" si="2"/>
        <v>0</v>
      </c>
      <c r="V9" s="11">
        <f t="shared" si="6"/>
        <v>0</v>
      </c>
      <c r="W9" s="2">
        <f t="shared" si="4"/>
        <v>90</v>
      </c>
      <c r="X9" s="2">
        <f t="shared" si="5"/>
        <v>15</v>
      </c>
      <c r="Y9" s="2"/>
      <c r="Z9" s="2">
        <v>1</v>
      </c>
      <c r="AA9" s="6"/>
      <c r="AB9" s="1"/>
      <c r="AC9" s="1"/>
      <c r="AD9" s="1"/>
    </row>
    <row r="10" spans="1:30" x14ac:dyDescent="0.25">
      <c r="A10" s="2">
        <v>9</v>
      </c>
      <c r="B10" s="3" t="s">
        <v>7</v>
      </c>
      <c r="C10" s="3" t="s">
        <v>8</v>
      </c>
      <c r="D10" s="4" t="s">
        <v>137</v>
      </c>
      <c r="E10" s="5" t="s">
        <v>200</v>
      </c>
      <c r="F10" s="6"/>
      <c r="G10" s="3">
        <v>1</v>
      </c>
      <c r="H10" s="7">
        <v>2</v>
      </c>
      <c r="I10" s="8">
        <v>2</v>
      </c>
      <c r="J10" s="9"/>
      <c r="K10" s="17"/>
      <c r="L10" s="15"/>
      <c r="M10" s="2"/>
      <c r="N10" s="2"/>
      <c r="O10" s="3">
        <v>0</v>
      </c>
      <c r="P10" s="3">
        <v>0</v>
      </c>
      <c r="Q10" s="2"/>
      <c r="R10" s="2"/>
      <c r="S10" s="12">
        <f t="shared" si="0"/>
        <v>30</v>
      </c>
      <c r="T10" s="13">
        <f t="shared" si="1"/>
        <v>0</v>
      </c>
      <c r="U10" s="10">
        <f t="shared" si="2"/>
        <v>0</v>
      </c>
      <c r="V10" s="11">
        <f t="shared" si="6"/>
        <v>0</v>
      </c>
      <c r="W10" s="2">
        <f t="shared" si="4"/>
        <v>60</v>
      </c>
      <c r="X10" s="2">
        <f t="shared" si="5"/>
        <v>10</v>
      </c>
      <c r="Y10" s="2"/>
      <c r="Z10" s="2">
        <v>1</v>
      </c>
      <c r="AA10" s="6"/>
      <c r="AB10" s="1"/>
      <c r="AC10" s="1"/>
      <c r="AD10" s="1"/>
    </row>
    <row r="11" spans="1:30" x14ac:dyDescent="0.25">
      <c r="A11" s="2">
        <v>10</v>
      </c>
      <c r="B11" s="3" t="s">
        <v>7</v>
      </c>
      <c r="C11" s="3" t="s">
        <v>8</v>
      </c>
      <c r="D11" s="4" t="s">
        <v>201</v>
      </c>
      <c r="E11" s="5" t="s">
        <v>202</v>
      </c>
      <c r="F11" s="6"/>
      <c r="G11" s="3">
        <v>2</v>
      </c>
      <c r="H11" s="7">
        <v>2</v>
      </c>
      <c r="I11" s="8">
        <v>2</v>
      </c>
      <c r="J11" s="9"/>
      <c r="K11" s="17"/>
      <c r="L11" s="15"/>
      <c r="M11" s="2"/>
      <c r="N11" s="2"/>
      <c r="O11" s="3">
        <v>1</v>
      </c>
      <c r="P11" s="3">
        <v>2</v>
      </c>
      <c r="Q11" s="2" t="s">
        <v>137</v>
      </c>
      <c r="R11" s="2" t="s">
        <v>124</v>
      </c>
      <c r="S11" s="12">
        <f t="shared" si="0"/>
        <v>30</v>
      </c>
      <c r="T11" s="13">
        <f t="shared" si="1"/>
        <v>0</v>
      </c>
      <c r="U11" s="10">
        <f t="shared" si="2"/>
        <v>0</v>
      </c>
      <c r="V11" s="11">
        <f t="shared" si="6"/>
        <v>0</v>
      </c>
      <c r="W11" s="2">
        <f t="shared" si="4"/>
        <v>60</v>
      </c>
      <c r="X11" s="2">
        <f t="shared" si="5"/>
        <v>10</v>
      </c>
      <c r="Y11" s="2"/>
      <c r="Z11" s="2">
        <v>1</v>
      </c>
      <c r="AA11" s="6"/>
      <c r="AB11" s="1"/>
      <c r="AC11" s="1"/>
      <c r="AD11" s="1"/>
    </row>
    <row r="12" spans="1:30" x14ac:dyDescent="0.25">
      <c r="A12" s="2">
        <v>11</v>
      </c>
      <c r="B12" s="3" t="s">
        <v>7</v>
      </c>
      <c r="C12" s="3" t="s">
        <v>8</v>
      </c>
      <c r="D12" s="4" t="s">
        <v>203</v>
      </c>
      <c r="E12" s="5" t="s">
        <v>31</v>
      </c>
      <c r="F12" s="6"/>
      <c r="G12" s="3">
        <v>1</v>
      </c>
      <c r="H12" s="7">
        <v>3</v>
      </c>
      <c r="I12" s="8">
        <v>3</v>
      </c>
      <c r="J12" s="9"/>
      <c r="K12" s="17"/>
      <c r="L12" s="15"/>
      <c r="M12" s="2"/>
      <c r="N12" s="2"/>
      <c r="O12" s="3">
        <v>0</v>
      </c>
      <c r="P12" s="3">
        <v>0</v>
      </c>
      <c r="Q12" s="2"/>
      <c r="R12" s="2"/>
      <c r="S12" s="12">
        <f t="shared" si="0"/>
        <v>45</v>
      </c>
      <c r="T12" s="13">
        <f t="shared" si="1"/>
        <v>0</v>
      </c>
      <c r="U12" s="10">
        <f t="shared" si="2"/>
        <v>0</v>
      </c>
      <c r="V12" s="11">
        <f t="shared" si="6"/>
        <v>0</v>
      </c>
      <c r="W12" s="2">
        <f t="shared" si="4"/>
        <v>90</v>
      </c>
      <c r="X12" s="2">
        <f t="shared" si="5"/>
        <v>15</v>
      </c>
      <c r="Y12" s="2"/>
      <c r="Z12" s="2">
        <v>1</v>
      </c>
      <c r="AA12" s="6"/>
      <c r="AB12" s="1"/>
      <c r="AC12" s="1"/>
      <c r="AD12" s="1"/>
    </row>
    <row r="13" spans="1:30" x14ac:dyDescent="0.25">
      <c r="A13" s="2">
        <v>12</v>
      </c>
      <c r="B13" s="3" t="s">
        <v>7</v>
      </c>
      <c r="C13" s="3" t="s">
        <v>8</v>
      </c>
      <c r="D13" s="4" t="s">
        <v>204</v>
      </c>
      <c r="E13" s="5" t="s">
        <v>33</v>
      </c>
      <c r="F13" s="6"/>
      <c r="G13" s="3">
        <v>2</v>
      </c>
      <c r="H13" s="7">
        <v>3</v>
      </c>
      <c r="I13" s="8">
        <v>3</v>
      </c>
      <c r="J13" s="9"/>
      <c r="K13" s="17"/>
      <c r="L13" s="15"/>
      <c r="M13" s="2"/>
      <c r="N13" s="2"/>
      <c r="O13" s="3">
        <v>0</v>
      </c>
      <c r="P13" s="3">
        <v>0</v>
      </c>
      <c r="Q13" s="2" t="s">
        <v>203</v>
      </c>
      <c r="R13" s="2" t="s">
        <v>124</v>
      </c>
      <c r="S13" s="12">
        <f t="shared" si="0"/>
        <v>45</v>
      </c>
      <c r="T13" s="13">
        <f t="shared" si="1"/>
        <v>0</v>
      </c>
      <c r="U13" s="10">
        <f t="shared" si="2"/>
        <v>0</v>
      </c>
      <c r="V13" s="11">
        <f t="shared" si="6"/>
        <v>0</v>
      </c>
      <c r="W13" s="2">
        <f t="shared" si="4"/>
        <v>90</v>
      </c>
      <c r="X13" s="2">
        <f t="shared" si="5"/>
        <v>15</v>
      </c>
      <c r="Y13" s="2"/>
      <c r="Z13" s="2">
        <v>1</v>
      </c>
      <c r="AA13" s="6"/>
      <c r="AB13" s="1"/>
      <c r="AC13" s="1"/>
      <c r="AD13" s="1"/>
    </row>
    <row r="14" spans="1:30" x14ac:dyDescent="0.25">
      <c r="A14" s="2">
        <v>13</v>
      </c>
      <c r="B14" s="3" t="s">
        <v>7</v>
      </c>
      <c r="C14" s="3" t="s">
        <v>8</v>
      </c>
      <c r="D14" s="4" t="s">
        <v>205</v>
      </c>
      <c r="E14" s="5" t="s">
        <v>35</v>
      </c>
      <c r="F14" s="6"/>
      <c r="G14" s="3">
        <v>3</v>
      </c>
      <c r="H14" s="7">
        <v>3</v>
      </c>
      <c r="I14" s="8">
        <v>3</v>
      </c>
      <c r="J14" s="9"/>
      <c r="K14" s="17"/>
      <c r="L14" s="15"/>
      <c r="M14" s="2"/>
      <c r="N14" s="2"/>
      <c r="O14" s="3">
        <v>0</v>
      </c>
      <c r="P14" s="3">
        <v>0</v>
      </c>
      <c r="Q14" s="2" t="s">
        <v>204</v>
      </c>
      <c r="R14" s="2" t="s">
        <v>124</v>
      </c>
      <c r="S14" s="12">
        <f t="shared" si="0"/>
        <v>45</v>
      </c>
      <c r="T14" s="13">
        <f t="shared" si="1"/>
        <v>0</v>
      </c>
      <c r="U14" s="10">
        <f t="shared" si="2"/>
        <v>0</v>
      </c>
      <c r="V14" s="11">
        <f t="shared" si="6"/>
        <v>0</v>
      </c>
      <c r="W14" s="2">
        <f t="shared" si="4"/>
        <v>90</v>
      </c>
      <c r="X14" s="2">
        <f t="shared" si="5"/>
        <v>15</v>
      </c>
      <c r="Y14" s="2"/>
      <c r="Z14" s="2">
        <v>1</v>
      </c>
      <c r="AA14" s="6"/>
      <c r="AB14" s="1"/>
      <c r="AC14" s="1"/>
      <c r="AD14" s="1"/>
    </row>
    <row r="15" spans="1:30" x14ac:dyDescent="0.25">
      <c r="A15" s="2">
        <v>14</v>
      </c>
      <c r="B15" s="3" t="s">
        <v>7</v>
      </c>
      <c r="C15" s="3" t="s">
        <v>8</v>
      </c>
      <c r="D15" s="4" t="s">
        <v>16</v>
      </c>
      <c r="E15" s="5" t="s">
        <v>17</v>
      </c>
      <c r="F15" s="6"/>
      <c r="G15" s="3">
        <v>5</v>
      </c>
      <c r="H15" s="7">
        <v>3</v>
      </c>
      <c r="I15" s="8">
        <v>1</v>
      </c>
      <c r="J15" s="9">
        <v>2</v>
      </c>
      <c r="K15" s="17"/>
      <c r="L15" s="15"/>
      <c r="M15" s="2" t="s">
        <v>11</v>
      </c>
      <c r="N15" s="2"/>
      <c r="O15" s="3">
        <v>0</v>
      </c>
      <c r="P15" s="3">
        <v>0</v>
      </c>
      <c r="Q15" s="2"/>
      <c r="R15" s="2"/>
      <c r="S15" s="12">
        <f t="shared" si="0"/>
        <v>15</v>
      </c>
      <c r="T15" s="13">
        <f t="shared" si="1"/>
        <v>60</v>
      </c>
      <c r="U15" s="10">
        <f t="shared" si="2"/>
        <v>0</v>
      </c>
      <c r="V15" s="11">
        <f t="shared" si="6"/>
        <v>0</v>
      </c>
      <c r="W15" s="2">
        <f t="shared" si="4"/>
        <v>60</v>
      </c>
      <c r="X15" s="2">
        <f t="shared" si="5"/>
        <v>15</v>
      </c>
      <c r="Y15" s="2"/>
      <c r="Z15" s="2">
        <v>0</v>
      </c>
      <c r="AA15" s="6"/>
      <c r="AB15" s="1"/>
      <c r="AC15" s="1"/>
      <c r="AD15" s="1"/>
    </row>
    <row r="16" spans="1:30" x14ac:dyDescent="0.25">
      <c r="A16" s="2">
        <v>15</v>
      </c>
      <c r="B16" s="3" t="s">
        <v>7</v>
      </c>
      <c r="C16" s="3" t="s">
        <v>8</v>
      </c>
      <c r="D16" s="4" t="s">
        <v>18</v>
      </c>
      <c r="E16" s="14" t="s">
        <v>19</v>
      </c>
      <c r="F16" s="6"/>
      <c r="G16" s="3">
        <v>6</v>
      </c>
      <c r="H16" s="7">
        <v>8</v>
      </c>
      <c r="I16" s="8"/>
      <c r="J16" s="9"/>
      <c r="K16" s="17"/>
      <c r="L16" s="15"/>
      <c r="M16" s="2"/>
      <c r="N16" s="2"/>
      <c r="O16" s="3">
        <v>0</v>
      </c>
      <c r="P16" s="3">
        <v>0</v>
      </c>
      <c r="Q16" s="2"/>
      <c r="R16" s="2"/>
      <c r="S16" s="12">
        <f t="shared" si="0"/>
        <v>0</v>
      </c>
      <c r="T16" s="13">
        <f t="shared" si="1"/>
        <v>0</v>
      </c>
      <c r="U16" s="10">
        <f t="shared" si="2"/>
        <v>0</v>
      </c>
      <c r="V16" s="11">
        <f t="shared" si="6"/>
        <v>0</v>
      </c>
      <c r="W16" s="2">
        <f t="shared" si="4"/>
        <v>0</v>
      </c>
      <c r="X16" s="2">
        <f t="shared" si="5"/>
        <v>40</v>
      </c>
      <c r="Y16" s="2"/>
      <c r="Z16" s="2">
        <v>0</v>
      </c>
      <c r="AA16" s="6"/>
      <c r="AB16" s="1"/>
      <c r="AC16" s="1"/>
      <c r="AD16" s="1"/>
    </row>
    <row r="17" spans="1:30" x14ac:dyDescent="0.25">
      <c r="A17" s="2">
        <v>16</v>
      </c>
      <c r="B17" s="3" t="s">
        <v>45</v>
      </c>
      <c r="C17" s="3" t="s">
        <v>46</v>
      </c>
      <c r="D17" s="4" t="s">
        <v>206</v>
      </c>
      <c r="E17" s="5" t="s">
        <v>56</v>
      </c>
      <c r="F17" s="6"/>
      <c r="G17" s="3">
        <v>2</v>
      </c>
      <c r="H17" s="7">
        <v>2</v>
      </c>
      <c r="I17" s="8">
        <v>2</v>
      </c>
      <c r="J17" s="9"/>
      <c r="K17" s="17"/>
      <c r="L17" s="15"/>
      <c r="M17" s="2"/>
      <c r="N17" s="2"/>
      <c r="O17" s="3">
        <v>0</v>
      </c>
      <c r="P17" s="3">
        <v>0</v>
      </c>
      <c r="Q17" s="2" t="s">
        <v>9</v>
      </c>
      <c r="R17" s="2" t="s">
        <v>124</v>
      </c>
      <c r="S17" s="12">
        <f t="shared" si="0"/>
        <v>30</v>
      </c>
      <c r="T17" s="13">
        <f t="shared" si="1"/>
        <v>0</v>
      </c>
      <c r="U17" s="10">
        <f t="shared" si="2"/>
        <v>0</v>
      </c>
      <c r="V17" s="11">
        <f t="shared" si="6"/>
        <v>0</v>
      </c>
      <c r="W17" s="2">
        <f t="shared" si="4"/>
        <v>60</v>
      </c>
      <c r="X17" s="2">
        <f t="shared" si="5"/>
        <v>10</v>
      </c>
      <c r="Y17" s="2"/>
      <c r="Z17" s="2">
        <v>1</v>
      </c>
      <c r="AA17" s="6"/>
      <c r="AB17" s="1"/>
      <c r="AC17" s="1"/>
      <c r="AD17" s="1"/>
    </row>
    <row r="18" spans="1:30" x14ac:dyDescent="0.25">
      <c r="A18" s="2">
        <v>17</v>
      </c>
      <c r="B18" s="3" t="s">
        <v>45</v>
      </c>
      <c r="C18" s="3" t="s">
        <v>46</v>
      </c>
      <c r="D18" s="4" t="s">
        <v>207</v>
      </c>
      <c r="E18" s="5" t="s">
        <v>208</v>
      </c>
      <c r="F18" s="6"/>
      <c r="G18" s="3">
        <v>2</v>
      </c>
      <c r="H18" s="7">
        <v>3</v>
      </c>
      <c r="I18" s="8">
        <v>3</v>
      </c>
      <c r="J18" s="9"/>
      <c r="K18" s="17"/>
      <c r="L18" s="15"/>
      <c r="M18" s="2"/>
      <c r="N18" s="2"/>
      <c r="O18" s="3">
        <v>0</v>
      </c>
      <c r="P18" s="3">
        <v>0</v>
      </c>
      <c r="Q18" s="2" t="s">
        <v>140</v>
      </c>
      <c r="R18" s="2" t="s">
        <v>124</v>
      </c>
      <c r="S18" s="12">
        <f t="shared" si="0"/>
        <v>45</v>
      </c>
      <c r="T18" s="13">
        <f t="shared" si="1"/>
        <v>0</v>
      </c>
      <c r="U18" s="10">
        <f t="shared" si="2"/>
        <v>0</v>
      </c>
      <c r="V18" s="11">
        <f t="shared" si="6"/>
        <v>0</v>
      </c>
      <c r="W18" s="2">
        <f t="shared" si="4"/>
        <v>90</v>
      </c>
      <c r="X18" s="2">
        <f t="shared" si="5"/>
        <v>15</v>
      </c>
      <c r="Y18" s="2"/>
      <c r="Z18" s="2">
        <v>1</v>
      </c>
      <c r="AA18" s="6"/>
      <c r="AB18" s="1"/>
      <c r="AC18" s="1"/>
      <c r="AD18" s="1"/>
    </row>
    <row r="19" spans="1:30" x14ac:dyDescent="0.25">
      <c r="A19" s="2">
        <v>18</v>
      </c>
      <c r="B19" s="3" t="s">
        <v>45</v>
      </c>
      <c r="C19" s="3" t="s">
        <v>46</v>
      </c>
      <c r="D19" s="4" t="s">
        <v>209</v>
      </c>
      <c r="E19" s="5" t="s">
        <v>62</v>
      </c>
      <c r="F19" s="6"/>
      <c r="G19" s="3">
        <v>2</v>
      </c>
      <c r="H19" s="7">
        <v>2</v>
      </c>
      <c r="I19" s="8">
        <v>2</v>
      </c>
      <c r="J19" s="9"/>
      <c r="K19" s="17"/>
      <c r="L19" s="15"/>
      <c r="M19" s="2"/>
      <c r="N19" s="2"/>
      <c r="O19" s="3">
        <v>0</v>
      </c>
      <c r="P19" s="3">
        <v>0</v>
      </c>
      <c r="Q19" s="2" t="s">
        <v>140</v>
      </c>
      <c r="R19" s="2" t="s">
        <v>124</v>
      </c>
      <c r="S19" s="12">
        <f t="shared" si="0"/>
        <v>30</v>
      </c>
      <c r="T19" s="13">
        <f t="shared" si="1"/>
        <v>0</v>
      </c>
      <c r="U19" s="10">
        <f t="shared" si="2"/>
        <v>0</v>
      </c>
      <c r="V19" s="11">
        <f t="shared" si="6"/>
        <v>0</v>
      </c>
      <c r="W19" s="2">
        <f t="shared" si="4"/>
        <v>60</v>
      </c>
      <c r="X19" s="2">
        <f t="shared" si="5"/>
        <v>10</v>
      </c>
      <c r="Y19" s="2"/>
      <c r="Z19" s="2">
        <v>1</v>
      </c>
      <c r="AA19" s="6"/>
      <c r="AB19" s="1"/>
      <c r="AC19" s="1"/>
      <c r="AD19" s="1"/>
    </row>
    <row r="20" spans="1:30" x14ac:dyDescent="0.25">
      <c r="A20" s="2">
        <v>19</v>
      </c>
      <c r="B20" s="3" t="s">
        <v>45</v>
      </c>
      <c r="C20" s="3" t="s">
        <v>46</v>
      </c>
      <c r="D20" s="4" t="s">
        <v>210</v>
      </c>
      <c r="E20" s="5" t="s">
        <v>48</v>
      </c>
      <c r="F20" s="6"/>
      <c r="G20" s="3">
        <v>2</v>
      </c>
      <c r="H20" s="7">
        <v>3</v>
      </c>
      <c r="I20" s="8">
        <v>3</v>
      </c>
      <c r="J20" s="9"/>
      <c r="K20" s="17"/>
      <c r="L20" s="15"/>
      <c r="M20" s="2"/>
      <c r="N20" s="2"/>
      <c r="O20" s="3">
        <v>0</v>
      </c>
      <c r="P20" s="3">
        <v>0</v>
      </c>
      <c r="Q20" s="2" t="s">
        <v>9</v>
      </c>
      <c r="R20" s="2" t="s">
        <v>124</v>
      </c>
      <c r="S20" s="12">
        <f t="shared" si="0"/>
        <v>45</v>
      </c>
      <c r="T20" s="13">
        <f t="shared" si="1"/>
        <v>0</v>
      </c>
      <c r="U20" s="10">
        <f t="shared" si="2"/>
        <v>0</v>
      </c>
      <c r="V20" s="11">
        <f t="shared" si="6"/>
        <v>0</v>
      </c>
      <c r="W20" s="2">
        <f t="shared" si="4"/>
        <v>90</v>
      </c>
      <c r="X20" s="2">
        <f t="shared" si="5"/>
        <v>15</v>
      </c>
      <c r="Y20" s="2"/>
      <c r="Z20" s="2">
        <v>1</v>
      </c>
      <c r="AA20" s="6"/>
      <c r="AB20" s="1"/>
      <c r="AC20" s="1"/>
      <c r="AD20" s="1"/>
    </row>
    <row r="21" spans="1:30" x14ac:dyDescent="0.25">
      <c r="A21" s="2">
        <v>20</v>
      </c>
      <c r="B21" s="3" t="s">
        <v>45</v>
      </c>
      <c r="C21" s="3" t="s">
        <v>46</v>
      </c>
      <c r="D21" s="4" t="s">
        <v>211</v>
      </c>
      <c r="E21" s="5" t="s">
        <v>58</v>
      </c>
      <c r="F21" s="6"/>
      <c r="G21" s="3">
        <v>2</v>
      </c>
      <c r="H21" s="7">
        <v>2</v>
      </c>
      <c r="I21" s="8">
        <v>2</v>
      </c>
      <c r="J21" s="9"/>
      <c r="K21" s="17"/>
      <c r="L21" s="15"/>
      <c r="M21" s="2"/>
      <c r="N21" s="2"/>
      <c r="O21" s="3">
        <v>0</v>
      </c>
      <c r="P21" s="3">
        <v>0</v>
      </c>
      <c r="Q21" s="2" t="s">
        <v>140</v>
      </c>
      <c r="R21" s="2" t="s">
        <v>124</v>
      </c>
      <c r="S21" s="12">
        <f t="shared" si="0"/>
        <v>30</v>
      </c>
      <c r="T21" s="13">
        <f t="shared" si="1"/>
        <v>0</v>
      </c>
      <c r="U21" s="10">
        <f t="shared" si="2"/>
        <v>0</v>
      </c>
      <c r="V21" s="11">
        <f t="shared" si="6"/>
        <v>0</v>
      </c>
      <c r="W21" s="2">
        <f t="shared" si="4"/>
        <v>60</v>
      </c>
      <c r="X21" s="2">
        <f t="shared" si="5"/>
        <v>10</v>
      </c>
      <c r="Y21" s="2"/>
      <c r="Z21" s="2">
        <v>1</v>
      </c>
      <c r="AA21" s="6"/>
      <c r="AB21" s="1"/>
      <c r="AC21" s="1"/>
      <c r="AD21" s="1"/>
    </row>
    <row r="22" spans="1:30" x14ac:dyDescent="0.25">
      <c r="A22" s="2">
        <v>21</v>
      </c>
      <c r="B22" s="3" t="s">
        <v>45</v>
      </c>
      <c r="C22" s="3" t="s">
        <v>46</v>
      </c>
      <c r="D22" s="4" t="s">
        <v>212</v>
      </c>
      <c r="E22" s="5" t="s">
        <v>52</v>
      </c>
      <c r="F22" s="6"/>
      <c r="G22" s="3">
        <v>3</v>
      </c>
      <c r="H22" s="7">
        <v>3</v>
      </c>
      <c r="I22" s="8">
        <v>3</v>
      </c>
      <c r="J22" s="9"/>
      <c r="K22" s="17"/>
      <c r="L22" s="15"/>
      <c r="M22" s="2"/>
      <c r="N22" s="2"/>
      <c r="O22" s="3">
        <v>0</v>
      </c>
      <c r="P22" s="3">
        <v>0</v>
      </c>
      <c r="Q22" s="2" t="s">
        <v>207</v>
      </c>
      <c r="R22" s="2" t="s">
        <v>124</v>
      </c>
      <c r="S22" s="12">
        <f t="shared" si="0"/>
        <v>45</v>
      </c>
      <c r="T22" s="13">
        <f t="shared" si="1"/>
        <v>0</v>
      </c>
      <c r="U22" s="10">
        <f t="shared" si="2"/>
        <v>0</v>
      </c>
      <c r="V22" s="11">
        <f t="shared" si="6"/>
        <v>0</v>
      </c>
      <c r="W22" s="2">
        <f t="shared" si="4"/>
        <v>90</v>
      </c>
      <c r="X22" s="2">
        <f t="shared" si="5"/>
        <v>15</v>
      </c>
      <c r="Y22" s="2"/>
      <c r="Z22" s="2">
        <v>1</v>
      </c>
      <c r="AA22" s="6"/>
      <c r="AB22" s="1"/>
      <c r="AC22" s="1"/>
      <c r="AD22" s="1"/>
    </row>
    <row r="23" spans="1:30" x14ac:dyDescent="0.25">
      <c r="A23" s="2">
        <v>22</v>
      </c>
      <c r="B23" s="3" t="s">
        <v>45</v>
      </c>
      <c r="C23" s="3" t="s">
        <v>46</v>
      </c>
      <c r="D23" s="4" t="s">
        <v>143</v>
      </c>
      <c r="E23" s="5" t="s">
        <v>60</v>
      </c>
      <c r="F23" s="6"/>
      <c r="G23" s="3">
        <v>3</v>
      </c>
      <c r="H23" s="7">
        <v>3</v>
      </c>
      <c r="I23" s="8">
        <v>3</v>
      </c>
      <c r="J23" s="9"/>
      <c r="K23" s="17"/>
      <c r="L23" s="15"/>
      <c r="M23" s="2"/>
      <c r="N23" s="2"/>
      <c r="O23" s="3">
        <v>0</v>
      </c>
      <c r="P23" s="3">
        <v>0</v>
      </c>
      <c r="Q23" s="2" t="s">
        <v>207</v>
      </c>
      <c r="R23" s="2" t="s">
        <v>124</v>
      </c>
      <c r="S23" s="12">
        <f t="shared" si="0"/>
        <v>45</v>
      </c>
      <c r="T23" s="13">
        <f t="shared" si="1"/>
        <v>0</v>
      </c>
      <c r="U23" s="10">
        <f t="shared" si="2"/>
        <v>0</v>
      </c>
      <c r="V23" s="11">
        <f t="shared" si="6"/>
        <v>0</v>
      </c>
      <c r="W23" s="2">
        <f t="shared" si="4"/>
        <v>90</v>
      </c>
      <c r="X23" s="2">
        <f t="shared" si="5"/>
        <v>15</v>
      </c>
      <c r="Y23" s="2"/>
      <c r="Z23" s="2">
        <v>1</v>
      </c>
      <c r="AA23" s="6"/>
      <c r="AB23" s="1"/>
      <c r="AC23" s="1"/>
      <c r="AD23" s="1"/>
    </row>
    <row r="24" spans="1:30" x14ac:dyDescent="0.25">
      <c r="A24" s="2">
        <v>23</v>
      </c>
      <c r="B24" s="3" t="s">
        <v>45</v>
      </c>
      <c r="C24" s="3" t="s">
        <v>46</v>
      </c>
      <c r="D24" s="4" t="s">
        <v>213</v>
      </c>
      <c r="E24" s="5" t="s">
        <v>139</v>
      </c>
      <c r="F24" s="6"/>
      <c r="G24" s="3">
        <v>1</v>
      </c>
      <c r="H24" s="7">
        <v>1</v>
      </c>
      <c r="I24" s="8">
        <v>1</v>
      </c>
      <c r="J24" s="9"/>
      <c r="K24" s="17"/>
      <c r="L24" s="15"/>
      <c r="M24" s="2"/>
      <c r="N24" s="2"/>
      <c r="O24" s="3">
        <v>0</v>
      </c>
      <c r="P24" s="3">
        <v>0</v>
      </c>
      <c r="Q24" s="2"/>
      <c r="R24" s="2"/>
      <c r="S24" s="12">
        <f t="shared" si="0"/>
        <v>15</v>
      </c>
      <c r="T24" s="13">
        <f t="shared" si="1"/>
        <v>0</v>
      </c>
      <c r="U24" s="10">
        <f t="shared" si="2"/>
        <v>0</v>
      </c>
      <c r="V24" s="11">
        <f t="shared" si="6"/>
        <v>0</v>
      </c>
      <c r="W24" s="2">
        <f t="shared" si="4"/>
        <v>30</v>
      </c>
      <c r="X24" s="2">
        <f t="shared" si="5"/>
        <v>5</v>
      </c>
      <c r="Y24" s="2"/>
      <c r="Z24" s="2">
        <v>1</v>
      </c>
      <c r="AA24" s="6"/>
      <c r="AB24" s="1"/>
      <c r="AC24" s="1"/>
      <c r="AD24" s="1"/>
    </row>
    <row r="25" spans="1:30" x14ac:dyDescent="0.25">
      <c r="A25" s="2">
        <v>24</v>
      </c>
      <c r="B25" s="3" t="s">
        <v>45</v>
      </c>
      <c r="C25" s="3" t="s">
        <v>46</v>
      </c>
      <c r="D25" s="4" t="s">
        <v>214</v>
      </c>
      <c r="E25" s="5" t="s">
        <v>64</v>
      </c>
      <c r="F25" s="6"/>
      <c r="G25" s="3">
        <v>3</v>
      </c>
      <c r="H25" s="7">
        <v>2</v>
      </c>
      <c r="I25" s="8">
        <v>2</v>
      </c>
      <c r="J25" s="9"/>
      <c r="K25" s="17"/>
      <c r="L25" s="15"/>
      <c r="M25" s="2"/>
      <c r="N25" s="2"/>
      <c r="O25" s="3">
        <v>0</v>
      </c>
      <c r="P25" s="3">
        <v>0</v>
      </c>
      <c r="Q25" s="2" t="s">
        <v>207</v>
      </c>
      <c r="R25" s="2" t="s">
        <v>124</v>
      </c>
      <c r="S25" s="12">
        <f t="shared" si="0"/>
        <v>30</v>
      </c>
      <c r="T25" s="13">
        <f t="shared" si="1"/>
        <v>0</v>
      </c>
      <c r="U25" s="10">
        <f t="shared" si="2"/>
        <v>0</v>
      </c>
      <c r="V25" s="11">
        <f t="shared" si="6"/>
        <v>0</v>
      </c>
      <c r="W25" s="2">
        <f t="shared" si="4"/>
        <v>60</v>
      </c>
      <c r="X25" s="2">
        <f t="shared" si="5"/>
        <v>10</v>
      </c>
      <c r="Y25" s="2"/>
      <c r="Z25" s="2">
        <v>1</v>
      </c>
      <c r="AA25" s="6"/>
      <c r="AB25" s="1"/>
      <c r="AC25" s="1"/>
      <c r="AD25" s="1"/>
    </row>
    <row r="26" spans="1:30" x14ac:dyDescent="0.25">
      <c r="A26" s="2">
        <v>25</v>
      </c>
      <c r="B26" s="3" t="s">
        <v>45</v>
      </c>
      <c r="C26" s="3" t="s">
        <v>46</v>
      </c>
      <c r="D26" s="4" t="s">
        <v>146</v>
      </c>
      <c r="E26" s="5" t="s">
        <v>147</v>
      </c>
      <c r="F26" s="6"/>
      <c r="G26" s="3">
        <v>3</v>
      </c>
      <c r="H26" s="7">
        <v>3</v>
      </c>
      <c r="I26" s="8">
        <v>3</v>
      </c>
      <c r="J26" s="9"/>
      <c r="K26" s="17"/>
      <c r="L26" s="15"/>
      <c r="M26" s="2"/>
      <c r="N26" s="2"/>
      <c r="O26" s="3">
        <v>0</v>
      </c>
      <c r="P26" s="3">
        <v>0</v>
      </c>
      <c r="Q26" s="2" t="s">
        <v>207</v>
      </c>
      <c r="R26" s="2" t="s">
        <v>124</v>
      </c>
      <c r="S26" s="12">
        <f t="shared" si="0"/>
        <v>45</v>
      </c>
      <c r="T26" s="13">
        <f t="shared" si="1"/>
        <v>0</v>
      </c>
      <c r="U26" s="10">
        <f t="shared" si="2"/>
        <v>0</v>
      </c>
      <c r="V26" s="11">
        <f t="shared" si="6"/>
        <v>0</v>
      </c>
      <c r="W26" s="2">
        <f t="shared" si="4"/>
        <v>90</v>
      </c>
      <c r="X26" s="2">
        <f t="shared" si="5"/>
        <v>15</v>
      </c>
      <c r="Y26" s="2"/>
      <c r="Z26" s="2">
        <v>1</v>
      </c>
      <c r="AA26" s="6"/>
      <c r="AB26" s="1"/>
      <c r="AC26" s="1"/>
      <c r="AD26" s="1"/>
    </row>
    <row r="27" spans="1:30" x14ac:dyDescent="0.25">
      <c r="A27" s="2">
        <v>26</v>
      </c>
      <c r="B27" s="3" t="s">
        <v>45</v>
      </c>
      <c r="C27" s="3" t="s">
        <v>46</v>
      </c>
      <c r="D27" s="4" t="s">
        <v>148</v>
      </c>
      <c r="E27" s="5" t="s">
        <v>149</v>
      </c>
      <c r="F27" s="6"/>
      <c r="G27" s="3">
        <v>6</v>
      </c>
      <c r="H27" s="7">
        <v>3</v>
      </c>
      <c r="I27" s="8">
        <v>3</v>
      </c>
      <c r="J27" s="9"/>
      <c r="K27" s="17"/>
      <c r="L27" s="15"/>
      <c r="M27" s="2"/>
      <c r="N27" s="2"/>
      <c r="O27" s="3">
        <v>0</v>
      </c>
      <c r="P27" s="3">
        <v>0</v>
      </c>
      <c r="Q27" s="2" t="s">
        <v>205</v>
      </c>
      <c r="R27" s="2" t="s">
        <v>124</v>
      </c>
      <c r="S27" s="12">
        <f t="shared" si="0"/>
        <v>45</v>
      </c>
      <c r="T27" s="13">
        <f t="shared" si="1"/>
        <v>0</v>
      </c>
      <c r="U27" s="10">
        <f t="shared" si="2"/>
        <v>0</v>
      </c>
      <c r="V27" s="11">
        <f t="shared" si="6"/>
        <v>0</v>
      </c>
      <c r="W27" s="2">
        <f t="shared" si="4"/>
        <v>90</v>
      </c>
      <c r="X27" s="2">
        <f t="shared" si="5"/>
        <v>15</v>
      </c>
      <c r="Y27" s="2"/>
      <c r="Z27" s="2">
        <v>1</v>
      </c>
      <c r="AA27" s="6"/>
      <c r="AB27" s="1"/>
      <c r="AC27" s="1"/>
      <c r="AD27" s="1"/>
    </row>
    <row r="28" spans="1:30" x14ac:dyDescent="0.25">
      <c r="A28" s="2">
        <v>27</v>
      </c>
      <c r="B28" s="3" t="s">
        <v>215</v>
      </c>
      <c r="C28" s="3" t="s">
        <v>46</v>
      </c>
      <c r="D28" s="4" t="s">
        <v>116</v>
      </c>
      <c r="E28" s="5" t="s">
        <v>117</v>
      </c>
      <c r="F28" s="6"/>
      <c r="G28" s="3">
        <v>2</v>
      </c>
      <c r="H28" s="7">
        <v>2</v>
      </c>
      <c r="I28" s="8">
        <v>2</v>
      </c>
      <c r="J28" s="9"/>
      <c r="K28" s="17"/>
      <c r="L28" s="15"/>
      <c r="M28" s="2"/>
      <c r="N28" s="2"/>
      <c r="O28" s="3">
        <v>1</v>
      </c>
      <c r="P28" s="3">
        <v>0</v>
      </c>
      <c r="Q28" s="2" t="s">
        <v>140</v>
      </c>
      <c r="R28" s="2" t="s">
        <v>124</v>
      </c>
      <c r="S28" s="12">
        <f t="shared" si="0"/>
        <v>30</v>
      </c>
      <c r="T28" s="13">
        <f t="shared" si="1"/>
        <v>0</v>
      </c>
      <c r="U28" s="10">
        <f t="shared" si="2"/>
        <v>0</v>
      </c>
      <c r="V28" s="11">
        <f t="shared" si="6"/>
        <v>0</v>
      </c>
      <c r="W28" s="2">
        <f t="shared" si="4"/>
        <v>60</v>
      </c>
      <c r="X28" s="2">
        <f t="shared" si="5"/>
        <v>10</v>
      </c>
      <c r="Y28" s="2"/>
      <c r="Z28" s="2">
        <v>1</v>
      </c>
      <c r="AA28" s="6"/>
      <c r="AB28" s="1"/>
      <c r="AC28" s="1"/>
      <c r="AD28" s="1"/>
    </row>
    <row r="29" spans="1:30" x14ac:dyDescent="0.25">
      <c r="A29" s="2">
        <v>28</v>
      </c>
      <c r="B29" s="3" t="s">
        <v>215</v>
      </c>
      <c r="C29" s="3" t="s">
        <v>46</v>
      </c>
      <c r="D29" s="4" t="s">
        <v>216</v>
      </c>
      <c r="E29" s="5" t="s">
        <v>42</v>
      </c>
      <c r="F29" s="6"/>
      <c r="G29" s="3">
        <v>4</v>
      </c>
      <c r="H29" s="7">
        <v>2</v>
      </c>
      <c r="I29" s="8">
        <v>2</v>
      </c>
      <c r="J29" s="9"/>
      <c r="K29" s="17"/>
      <c r="L29" s="15"/>
      <c r="M29" s="2"/>
      <c r="N29" s="2"/>
      <c r="O29" s="3">
        <v>1</v>
      </c>
      <c r="P29" s="3">
        <v>0</v>
      </c>
      <c r="Q29" s="2" t="s">
        <v>209</v>
      </c>
      <c r="R29" s="2" t="s">
        <v>124</v>
      </c>
      <c r="S29" s="12">
        <f t="shared" si="0"/>
        <v>30</v>
      </c>
      <c r="T29" s="13">
        <f t="shared" si="1"/>
        <v>0</v>
      </c>
      <c r="U29" s="10">
        <f t="shared" si="2"/>
        <v>0</v>
      </c>
      <c r="V29" s="11">
        <f t="shared" si="6"/>
        <v>0</v>
      </c>
      <c r="W29" s="2">
        <f t="shared" si="4"/>
        <v>60</v>
      </c>
      <c r="X29" s="2">
        <f t="shared" si="5"/>
        <v>10</v>
      </c>
      <c r="Y29" s="2"/>
      <c r="Z29" s="2">
        <v>1</v>
      </c>
      <c r="AA29" s="6"/>
      <c r="AB29" s="1"/>
      <c r="AC29" s="1"/>
      <c r="AD29" s="1"/>
    </row>
    <row r="30" spans="1:30" x14ac:dyDescent="0.25">
      <c r="A30" s="2">
        <v>29</v>
      </c>
      <c r="B30" s="3" t="s">
        <v>215</v>
      </c>
      <c r="C30" s="3" t="s">
        <v>46</v>
      </c>
      <c r="D30" s="4" t="s">
        <v>217</v>
      </c>
      <c r="E30" s="5" t="s">
        <v>154</v>
      </c>
      <c r="F30" s="6"/>
      <c r="G30" s="3">
        <v>6</v>
      </c>
      <c r="H30" s="7">
        <v>2</v>
      </c>
      <c r="I30" s="8">
        <v>2</v>
      </c>
      <c r="J30" s="9"/>
      <c r="K30" s="17"/>
      <c r="L30" s="15"/>
      <c r="M30" s="2"/>
      <c r="N30" s="2"/>
      <c r="O30" s="3">
        <v>1</v>
      </c>
      <c r="P30" s="3">
        <v>0</v>
      </c>
      <c r="Q30" s="2" t="s">
        <v>201</v>
      </c>
      <c r="R30" s="2" t="s">
        <v>124</v>
      </c>
      <c r="S30" s="12">
        <f t="shared" si="0"/>
        <v>30</v>
      </c>
      <c r="T30" s="13">
        <f t="shared" si="1"/>
        <v>0</v>
      </c>
      <c r="U30" s="10">
        <f t="shared" si="2"/>
        <v>0</v>
      </c>
      <c r="V30" s="11">
        <f t="shared" si="6"/>
        <v>0</v>
      </c>
      <c r="W30" s="2">
        <f t="shared" si="4"/>
        <v>60</v>
      </c>
      <c r="X30" s="2">
        <f t="shared" si="5"/>
        <v>10</v>
      </c>
      <c r="Y30" s="2"/>
      <c r="Z30" s="2">
        <v>1</v>
      </c>
      <c r="AA30" s="6"/>
      <c r="AB30" s="1"/>
      <c r="AC30" s="1"/>
      <c r="AD30" s="1"/>
    </row>
    <row r="31" spans="1:30" x14ac:dyDescent="0.25">
      <c r="A31" s="2">
        <v>30</v>
      </c>
      <c r="B31" s="3" t="s">
        <v>215</v>
      </c>
      <c r="C31" s="3" t="s">
        <v>46</v>
      </c>
      <c r="D31" s="4" t="s">
        <v>218</v>
      </c>
      <c r="E31" s="5" t="s">
        <v>159</v>
      </c>
      <c r="F31" s="6"/>
      <c r="G31" s="3">
        <v>6</v>
      </c>
      <c r="H31" s="7">
        <v>2</v>
      </c>
      <c r="I31" s="8">
        <v>2</v>
      </c>
      <c r="J31" s="9"/>
      <c r="K31" s="17"/>
      <c r="L31" s="15"/>
      <c r="M31" s="2"/>
      <c r="N31" s="2"/>
      <c r="O31" s="3">
        <v>1</v>
      </c>
      <c r="P31" s="3">
        <v>0</v>
      </c>
      <c r="Q31" s="2" t="s">
        <v>212</v>
      </c>
      <c r="R31" s="2" t="s">
        <v>124</v>
      </c>
      <c r="S31" s="12">
        <f t="shared" si="0"/>
        <v>30</v>
      </c>
      <c r="T31" s="13">
        <f t="shared" si="1"/>
        <v>0</v>
      </c>
      <c r="U31" s="10">
        <f t="shared" si="2"/>
        <v>0</v>
      </c>
      <c r="V31" s="11">
        <f t="shared" si="6"/>
        <v>0</v>
      </c>
      <c r="W31" s="2">
        <f t="shared" si="4"/>
        <v>60</v>
      </c>
      <c r="X31" s="2">
        <f t="shared" si="5"/>
        <v>10</v>
      </c>
      <c r="Y31" s="2"/>
      <c r="Z31" s="2">
        <v>1</v>
      </c>
      <c r="AA31" s="6"/>
      <c r="AB31" s="1"/>
      <c r="AC31" s="1"/>
      <c r="AD31" s="1"/>
    </row>
    <row r="32" spans="1:30" x14ac:dyDescent="0.25">
      <c r="A32" s="2">
        <v>31</v>
      </c>
      <c r="B32" s="3" t="s">
        <v>215</v>
      </c>
      <c r="C32" s="3" t="s">
        <v>46</v>
      </c>
      <c r="D32" s="4" t="s">
        <v>160</v>
      </c>
      <c r="E32" s="5" t="s">
        <v>66</v>
      </c>
      <c r="F32" s="6"/>
      <c r="G32" s="3">
        <v>4</v>
      </c>
      <c r="H32" s="7">
        <v>2</v>
      </c>
      <c r="I32" s="8">
        <v>2</v>
      </c>
      <c r="J32" s="9"/>
      <c r="K32" s="17"/>
      <c r="L32" s="15"/>
      <c r="M32" s="2"/>
      <c r="N32" s="2"/>
      <c r="O32" s="3">
        <v>1</v>
      </c>
      <c r="P32" s="3">
        <v>0</v>
      </c>
      <c r="Q32" s="2" t="s">
        <v>199</v>
      </c>
      <c r="R32" s="2" t="s">
        <v>124</v>
      </c>
      <c r="S32" s="12">
        <f t="shared" si="0"/>
        <v>30</v>
      </c>
      <c r="T32" s="13">
        <f t="shared" si="1"/>
        <v>0</v>
      </c>
      <c r="U32" s="10">
        <f t="shared" si="2"/>
        <v>0</v>
      </c>
      <c r="V32" s="11">
        <f t="shared" si="6"/>
        <v>0</v>
      </c>
      <c r="W32" s="2">
        <f t="shared" si="4"/>
        <v>60</v>
      </c>
      <c r="X32" s="2">
        <f t="shared" si="5"/>
        <v>10</v>
      </c>
      <c r="Y32" s="2"/>
      <c r="Z32" s="2">
        <v>1</v>
      </c>
      <c r="AA32" s="6"/>
      <c r="AB32" s="1"/>
      <c r="AC32" s="1"/>
      <c r="AD32" s="1"/>
    </row>
    <row r="33" spans="1:30" x14ac:dyDescent="0.25">
      <c r="A33" s="2">
        <v>32</v>
      </c>
      <c r="B33" s="3" t="s">
        <v>215</v>
      </c>
      <c r="C33" s="3" t="s">
        <v>46</v>
      </c>
      <c r="D33" s="4" t="s">
        <v>156</v>
      </c>
      <c r="E33" s="5" t="s">
        <v>157</v>
      </c>
      <c r="F33" s="6"/>
      <c r="G33" s="3">
        <v>5</v>
      </c>
      <c r="H33" s="7">
        <v>2</v>
      </c>
      <c r="I33" s="8">
        <v>2</v>
      </c>
      <c r="J33" s="9"/>
      <c r="K33" s="17"/>
      <c r="L33" s="15"/>
      <c r="M33" s="2"/>
      <c r="N33" s="2"/>
      <c r="O33" s="3">
        <v>1</v>
      </c>
      <c r="P33" s="3">
        <v>0</v>
      </c>
      <c r="Q33" s="2" t="s">
        <v>141</v>
      </c>
      <c r="R33" s="2" t="s">
        <v>124</v>
      </c>
      <c r="S33" s="12">
        <f t="shared" si="0"/>
        <v>30</v>
      </c>
      <c r="T33" s="13">
        <f t="shared" si="1"/>
        <v>0</v>
      </c>
      <c r="U33" s="10">
        <f t="shared" si="2"/>
        <v>0</v>
      </c>
      <c r="V33" s="11">
        <f t="shared" si="6"/>
        <v>0</v>
      </c>
      <c r="W33" s="2">
        <f t="shared" si="4"/>
        <v>60</v>
      </c>
      <c r="X33" s="2">
        <f t="shared" si="5"/>
        <v>10</v>
      </c>
      <c r="Y33" s="2"/>
      <c r="Z33" s="2">
        <v>1</v>
      </c>
      <c r="AA33" s="6"/>
      <c r="AB33" s="1"/>
      <c r="AC33" s="1"/>
      <c r="AD33" s="1"/>
    </row>
    <row r="34" spans="1:30" x14ac:dyDescent="0.25">
      <c r="A34" s="2">
        <v>33</v>
      </c>
      <c r="B34" s="3" t="s">
        <v>73</v>
      </c>
      <c r="C34" s="3" t="s">
        <v>74</v>
      </c>
      <c r="D34" s="4" t="s">
        <v>162</v>
      </c>
      <c r="E34" s="5" t="s">
        <v>163</v>
      </c>
      <c r="F34" s="6"/>
      <c r="G34" s="3">
        <v>3</v>
      </c>
      <c r="H34" s="7">
        <v>2</v>
      </c>
      <c r="I34" s="8">
        <v>2</v>
      </c>
      <c r="J34" s="9"/>
      <c r="K34" s="17"/>
      <c r="L34" s="15"/>
      <c r="M34" s="2"/>
      <c r="N34" s="2"/>
      <c r="O34" s="3">
        <v>0</v>
      </c>
      <c r="P34" s="3">
        <v>0</v>
      </c>
      <c r="Q34" s="2" t="s">
        <v>219</v>
      </c>
      <c r="R34" s="2" t="s">
        <v>124</v>
      </c>
      <c r="S34" s="12">
        <f t="shared" si="0"/>
        <v>30</v>
      </c>
      <c r="T34" s="13">
        <f t="shared" si="1"/>
        <v>0</v>
      </c>
      <c r="U34" s="10">
        <f t="shared" si="2"/>
        <v>0</v>
      </c>
      <c r="V34" s="11">
        <f t="shared" si="6"/>
        <v>0</v>
      </c>
      <c r="W34" s="2">
        <f t="shared" si="4"/>
        <v>60</v>
      </c>
      <c r="X34" s="2">
        <f t="shared" si="5"/>
        <v>10</v>
      </c>
      <c r="Y34" s="2"/>
      <c r="Z34" s="2">
        <v>1</v>
      </c>
      <c r="AA34" s="6"/>
      <c r="AB34" s="1"/>
      <c r="AC34" s="1"/>
      <c r="AD34" s="1"/>
    </row>
    <row r="35" spans="1:30" x14ac:dyDescent="0.25">
      <c r="A35" s="2">
        <v>34</v>
      </c>
      <c r="B35" s="3" t="s">
        <v>73</v>
      </c>
      <c r="C35" s="3" t="s">
        <v>74</v>
      </c>
      <c r="D35" s="4" t="s">
        <v>165</v>
      </c>
      <c r="E35" s="5" t="s">
        <v>78</v>
      </c>
      <c r="F35" s="6"/>
      <c r="G35" s="3">
        <v>4</v>
      </c>
      <c r="H35" s="7">
        <v>3</v>
      </c>
      <c r="I35" s="8">
        <v>3</v>
      </c>
      <c r="J35" s="9"/>
      <c r="K35" s="17"/>
      <c r="L35" s="15"/>
      <c r="M35" s="2"/>
      <c r="N35" s="2"/>
      <c r="O35" s="3">
        <v>0</v>
      </c>
      <c r="P35" s="3">
        <v>0</v>
      </c>
      <c r="Q35" s="2" t="s">
        <v>146</v>
      </c>
      <c r="R35" s="2" t="s">
        <v>124</v>
      </c>
      <c r="S35" s="12">
        <f t="shared" si="0"/>
        <v>45</v>
      </c>
      <c r="T35" s="13">
        <f t="shared" si="1"/>
        <v>0</v>
      </c>
      <c r="U35" s="10">
        <f t="shared" si="2"/>
        <v>0</v>
      </c>
      <c r="V35" s="11">
        <f t="shared" si="6"/>
        <v>0</v>
      </c>
      <c r="W35" s="2">
        <f t="shared" si="4"/>
        <v>90</v>
      </c>
      <c r="X35" s="2">
        <f t="shared" si="5"/>
        <v>15</v>
      </c>
      <c r="Y35" s="2"/>
      <c r="Z35" s="2">
        <v>1</v>
      </c>
      <c r="AA35" s="6"/>
      <c r="AB35" s="1"/>
      <c r="AC35" s="1"/>
      <c r="AD35" s="1"/>
    </row>
    <row r="36" spans="1:30" x14ac:dyDescent="0.25">
      <c r="A36" s="2">
        <v>35</v>
      </c>
      <c r="B36" s="3" t="s">
        <v>73</v>
      </c>
      <c r="C36" s="3" t="s">
        <v>74</v>
      </c>
      <c r="D36" s="4" t="s">
        <v>167</v>
      </c>
      <c r="E36" s="5" t="s">
        <v>86</v>
      </c>
      <c r="F36" s="6"/>
      <c r="G36" s="3">
        <v>4</v>
      </c>
      <c r="H36" s="7">
        <v>3</v>
      </c>
      <c r="I36" s="8">
        <v>3</v>
      </c>
      <c r="J36" s="9"/>
      <c r="K36" s="17"/>
      <c r="L36" s="15"/>
      <c r="M36" s="2"/>
      <c r="N36" s="2"/>
      <c r="O36" s="3">
        <v>0</v>
      </c>
      <c r="P36" s="3">
        <v>0</v>
      </c>
      <c r="Q36" s="2" t="s">
        <v>219</v>
      </c>
      <c r="R36" s="2" t="s">
        <v>124</v>
      </c>
      <c r="S36" s="12">
        <f t="shared" si="0"/>
        <v>45</v>
      </c>
      <c r="T36" s="13">
        <f t="shared" si="1"/>
        <v>0</v>
      </c>
      <c r="U36" s="10">
        <f t="shared" si="2"/>
        <v>0</v>
      </c>
      <c r="V36" s="11">
        <f t="shared" si="6"/>
        <v>0</v>
      </c>
      <c r="W36" s="2">
        <f t="shared" si="4"/>
        <v>90</v>
      </c>
      <c r="X36" s="2">
        <f t="shared" si="5"/>
        <v>15</v>
      </c>
      <c r="Y36" s="2"/>
      <c r="Z36" s="2">
        <v>1</v>
      </c>
      <c r="AA36" s="6"/>
      <c r="AB36" s="1"/>
      <c r="AC36" s="1"/>
      <c r="AD36" s="1"/>
    </row>
    <row r="37" spans="1:30" x14ac:dyDescent="0.25">
      <c r="A37" s="2">
        <v>36</v>
      </c>
      <c r="B37" s="3" t="s">
        <v>73</v>
      </c>
      <c r="C37" s="3" t="s">
        <v>74</v>
      </c>
      <c r="D37" s="4" t="s">
        <v>168</v>
      </c>
      <c r="E37" s="5" t="s">
        <v>169</v>
      </c>
      <c r="F37" s="6"/>
      <c r="G37" s="3">
        <v>4</v>
      </c>
      <c r="H37" s="7">
        <v>2</v>
      </c>
      <c r="I37" s="8">
        <v>2</v>
      </c>
      <c r="J37" s="9"/>
      <c r="K37" s="17"/>
      <c r="L37" s="15"/>
      <c r="M37" s="2"/>
      <c r="N37" s="2"/>
      <c r="O37" s="3">
        <v>0</v>
      </c>
      <c r="P37" s="3">
        <v>0</v>
      </c>
      <c r="Q37" s="2" t="s">
        <v>219</v>
      </c>
      <c r="R37" s="2" t="s">
        <v>124</v>
      </c>
      <c r="S37" s="12">
        <f t="shared" si="0"/>
        <v>30</v>
      </c>
      <c r="T37" s="13">
        <f t="shared" si="1"/>
        <v>0</v>
      </c>
      <c r="U37" s="10">
        <f t="shared" si="2"/>
        <v>0</v>
      </c>
      <c r="V37" s="11">
        <f t="shared" si="6"/>
        <v>0</v>
      </c>
      <c r="W37" s="2">
        <f t="shared" si="4"/>
        <v>60</v>
      </c>
      <c r="X37" s="2">
        <f t="shared" si="5"/>
        <v>10</v>
      </c>
      <c r="Y37" s="2"/>
      <c r="Z37" s="2">
        <v>1</v>
      </c>
      <c r="AA37" s="6"/>
      <c r="AB37" s="1"/>
      <c r="AC37" s="1"/>
      <c r="AD37" s="1"/>
    </row>
    <row r="38" spans="1:30" x14ac:dyDescent="0.25">
      <c r="A38" s="2">
        <v>37</v>
      </c>
      <c r="B38" s="3" t="s">
        <v>73</v>
      </c>
      <c r="C38" s="3" t="s">
        <v>74</v>
      </c>
      <c r="D38" s="4" t="s">
        <v>87</v>
      </c>
      <c r="E38" s="5" t="s">
        <v>88</v>
      </c>
      <c r="F38" s="6"/>
      <c r="G38" s="3">
        <v>5</v>
      </c>
      <c r="H38" s="7">
        <v>3</v>
      </c>
      <c r="I38" s="8">
        <v>3</v>
      </c>
      <c r="J38" s="9"/>
      <c r="K38" s="17"/>
      <c r="L38" s="15"/>
      <c r="M38" s="2"/>
      <c r="N38" s="2"/>
      <c r="O38" s="3">
        <v>0</v>
      </c>
      <c r="P38" s="3">
        <v>0</v>
      </c>
      <c r="Q38" s="2" t="s">
        <v>167</v>
      </c>
      <c r="R38" s="2" t="s">
        <v>124</v>
      </c>
      <c r="S38" s="12">
        <f t="shared" si="0"/>
        <v>45</v>
      </c>
      <c r="T38" s="13">
        <f t="shared" si="1"/>
        <v>0</v>
      </c>
      <c r="U38" s="10">
        <f t="shared" si="2"/>
        <v>0</v>
      </c>
      <c r="V38" s="11">
        <f t="shared" si="6"/>
        <v>0</v>
      </c>
      <c r="W38" s="2">
        <f t="shared" si="4"/>
        <v>90</v>
      </c>
      <c r="X38" s="2">
        <f t="shared" si="5"/>
        <v>15</v>
      </c>
      <c r="Y38" s="2"/>
      <c r="Z38" s="2">
        <v>1</v>
      </c>
      <c r="AA38" s="6"/>
      <c r="AB38" s="1"/>
      <c r="AC38" s="1"/>
      <c r="AD38" s="1"/>
    </row>
    <row r="39" spans="1:30" x14ac:dyDescent="0.25">
      <c r="A39" s="2">
        <v>38</v>
      </c>
      <c r="B39" s="3" t="s">
        <v>73</v>
      </c>
      <c r="C39" s="3" t="s">
        <v>74</v>
      </c>
      <c r="D39" s="4" t="s">
        <v>97</v>
      </c>
      <c r="E39" s="5" t="s">
        <v>98</v>
      </c>
      <c r="F39" s="6"/>
      <c r="G39" s="3">
        <v>5</v>
      </c>
      <c r="H39" s="7">
        <v>3</v>
      </c>
      <c r="I39" s="8">
        <v>3</v>
      </c>
      <c r="J39" s="9"/>
      <c r="K39" s="17"/>
      <c r="L39" s="15"/>
      <c r="M39" s="2"/>
      <c r="N39" s="2"/>
      <c r="O39" s="3">
        <v>0</v>
      </c>
      <c r="P39" s="3">
        <v>0</v>
      </c>
      <c r="Q39" s="2" t="s">
        <v>87</v>
      </c>
      <c r="R39" s="2" t="s">
        <v>124</v>
      </c>
      <c r="S39" s="12">
        <f t="shared" si="0"/>
        <v>45</v>
      </c>
      <c r="T39" s="13">
        <f t="shared" si="1"/>
        <v>0</v>
      </c>
      <c r="U39" s="10">
        <f t="shared" si="2"/>
        <v>0</v>
      </c>
      <c r="V39" s="11">
        <f t="shared" si="6"/>
        <v>0</v>
      </c>
      <c r="W39" s="2">
        <f t="shared" si="4"/>
        <v>90</v>
      </c>
      <c r="X39" s="2">
        <f t="shared" si="5"/>
        <v>15</v>
      </c>
      <c r="Y39" s="2"/>
      <c r="Z39" s="2">
        <v>1</v>
      </c>
      <c r="AA39" s="6"/>
      <c r="AB39" s="1"/>
      <c r="AC39" s="1"/>
      <c r="AD39" s="1"/>
    </row>
    <row r="40" spans="1:30" x14ac:dyDescent="0.25">
      <c r="A40" s="2">
        <v>39</v>
      </c>
      <c r="B40" s="3" t="s">
        <v>73</v>
      </c>
      <c r="C40" s="3" t="s">
        <v>74</v>
      </c>
      <c r="D40" s="4" t="s">
        <v>89</v>
      </c>
      <c r="E40" s="5" t="s">
        <v>90</v>
      </c>
      <c r="F40" s="6"/>
      <c r="G40" s="3">
        <v>5</v>
      </c>
      <c r="H40" s="7">
        <v>3</v>
      </c>
      <c r="I40" s="8">
        <v>3</v>
      </c>
      <c r="J40" s="9"/>
      <c r="K40" s="17"/>
      <c r="L40" s="15"/>
      <c r="M40" s="2"/>
      <c r="N40" s="2"/>
      <c r="O40" s="3">
        <v>0</v>
      </c>
      <c r="P40" s="3">
        <v>0</v>
      </c>
      <c r="Q40" s="2" t="s">
        <v>87</v>
      </c>
      <c r="R40" s="2" t="s">
        <v>124</v>
      </c>
      <c r="S40" s="12">
        <f t="shared" si="0"/>
        <v>45</v>
      </c>
      <c r="T40" s="13">
        <f t="shared" si="1"/>
        <v>0</v>
      </c>
      <c r="U40" s="10">
        <f t="shared" si="2"/>
        <v>0</v>
      </c>
      <c r="V40" s="11">
        <f t="shared" si="6"/>
        <v>0</v>
      </c>
      <c r="W40" s="2">
        <f t="shared" si="4"/>
        <v>90</v>
      </c>
      <c r="X40" s="2">
        <f t="shared" si="5"/>
        <v>15</v>
      </c>
      <c r="Y40" s="2"/>
      <c r="Z40" s="2">
        <v>1</v>
      </c>
      <c r="AA40" s="6"/>
      <c r="AB40" s="1"/>
      <c r="AC40" s="1"/>
      <c r="AD40" s="1"/>
    </row>
    <row r="41" spans="1:30" x14ac:dyDescent="0.25">
      <c r="A41" s="2">
        <v>40</v>
      </c>
      <c r="B41" s="3" t="s">
        <v>73</v>
      </c>
      <c r="C41" s="3" t="s">
        <v>74</v>
      </c>
      <c r="D41" s="4" t="s">
        <v>171</v>
      </c>
      <c r="E41" s="5" t="s">
        <v>172</v>
      </c>
      <c r="F41" s="6"/>
      <c r="G41" s="3">
        <v>5</v>
      </c>
      <c r="H41" s="7">
        <v>3</v>
      </c>
      <c r="I41" s="8">
        <v>3</v>
      </c>
      <c r="J41" s="9"/>
      <c r="K41" s="17"/>
      <c r="L41" s="15"/>
      <c r="M41" s="2"/>
      <c r="N41" s="2"/>
      <c r="O41" s="3">
        <v>0</v>
      </c>
      <c r="P41" s="3">
        <v>0</v>
      </c>
      <c r="Q41" s="2" t="s">
        <v>219</v>
      </c>
      <c r="R41" s="2" t="s">
        <v>124</v>
      </c>
      <c r="S41" s="12">
        <f t="shared" si="0"/>
        <v>45</v>
      </c>
      <c r="T41" s="13">
        <f t="shared" si="1"/>
        <v>0</v>
      </c>
      <c r="U41" s="10">
        <f t="shared" si="2"/>
        <v>0</v>
      </c>
      <c r="V41" s="11">
        <f t="shared" si="6"/>
        <v>0</v>
      </c>
      <c r="W41" s="2">
        <f t="shared" si="4"/>
        <v>90</v>
      </c>
      <c r="X41" s="2">
        <f t="shared" si="5"/>
        <v>15</v>
      </c>
      <c r="Y41" s="2"/>
      <c r="Z41" s="2">
        <v>1</v>
      </c>
      <c r="AA41" s="6"/>
      <c r="AB41" s="1"/>
      <c r="AC41" s="1"/>
      <c r="AD41" s="1"/>
    </row>
    <row r="42" spans="1:30" x14ac:dyDescent="0.25">
      <c r="A42" s="2">
        <v>41</v>
      </c>
      <c r="B42" s="3" t="s">
        <v>73</v>
      </c>
      <c r="C42" s="3" t="s">
        <v>74</v>
      </c>
      <c r="D42" s="4" t="s">
        <v>220</v>
      </c>
      <c r="E42" s="5" t="s">
        <v>115</v>
      </c>
      <c r="F42" s="6"/>
      <c r="G42" s="3">
        <v>6</v>
      </c>
      <c r="H42" s="7">
        <v>2</v>
      </c>
      <c r="I42" s="8">
        <v>2</v>
      </c>
      <c r="J42" s="9"/>
      <c r="K42" s="17"/>
      <c r="L42" s="15"/>
      <c r="M42" s="2"/>
      <c r="N42" s="2"/>
      <c r="O42" s="3">
        <v>0</v>
      </c>
      <c r="P42" s="3">
        <v>0</v>
      </c>
      <c r="Q42" s="2" t="s">
        <v>165</v>
      </c>
      <c r="R42" s="2" t="s">
        <v>124</v>
      </c>
      <c r="S42" s="12">
        <f t="shared" si="0"/>
        <v>30</v>
      </c>
      <c r="T42" s="13">
        <f t="shared" si="1"/>
        <v>0</v>
      </c>
      <c r="U42" s="10">
        <f t="shared" si="2"/>
        <v>0</v>
      </c>
      <c r="V42" s="11">
        <f t="shared" si="6"/>
        <v>0</v>
      </c>
      <c r="W42" s="2">
        <f t="shared" si="4"/>
        <v>60</v>
      </c>
      <c r="X42" s="2">
        <f t="shared" si="5"/>
        <v>10</v>
      </c>
      <c r="Y42" s="2"/>
      <c r="Z42" s="2">
        <v>1</v>
      </c>
      <c r="AA42" s="6"/>
      <c r="AB42" s="1"/>
      <c r="AC42" s="1"/>
      <c r="AD42" s="1"/>
    </row>
    <row r="43" spans="1:30" x14ac:dyDescent="0.25">
      <c r="A43" s="2">
        <v>42</v>
      </c>
      <c r="B43" s="3" t="s">
        <v>73</v>
      </c>
      <c r="C43" s="3" t="s">
        <v>74</v>
      </c>
      <c r="D43" s="4" t="s">
        <v>174</v>
      </c>
      <c r="E43" s="5" t="s">
        <v>175</v>
      </c>
      <c r="F43" s="6"/>
      <c r="G43" s="3">
        <v>6</v>
      </c>
      <c r="H43" s="7">
        <v>3</v>
      </c>
      <c r="I43" s="8">
        <v>3</v>
      </c>
      <c r="J43" s="9"/>
      <c r="K43" s="17"/>
      <c r="L43" s="15"/>
      <c r="M43" s="2"/>
      <c r="N43" s="2"/>
      <c r="O43" s="3">
        <v>0</v>
      </c>
      <c r="P43" s="3">
        <v>0</v>
      </c>
      <c r="Q43" s="2" t="s">
        <v>89</v>
      </c>
      <c r="R43" s="2" t="s">
        <v>124</v>
      </c>
      <c r="S43" s="12">
        <f t="shared" si="0"/>
        <v>45</v>
      </c>
      <c r="T43" s="13">
        <f t="shared" si="1"/>
        <v>0</v>
      </c>
      <c r="U43" s="10">
        <f t="shared" si="2"/>
        <v>0</v>
      </c>
      <c r="V43" s="11">
        <f t="shared" si="6"/>
        <v>0</v>
      </c>
      <c r="W43" s="2">
        <f t="shared" si="4"/>
        <v>90</v>
      </c>
      <c r="X43" s="2">
        <f t="shared" si="5"/>
        <v>15</v>
      </c>
      <c r="Y43" s="2"/>
      <c r="Z43" s="2">
        <v>1</v>
      </c>
      <c r="AA43" s="6"/>
      <c r="AB43" s="1"/>
      <c r="AC43" s="1"/>
      <c r="AD43" s="1"/>
    </row>
    <row r="44" spans="1:30" x14ac:dyDescent="0.25">
      <c r="A44" s="2">
        <v>43</v>
      </c>
      <c r="B44" s="3" t="s">
        <v>73</v>
      </c>
      <c r="C44" s="3" t="s">
        <v>74</v>
      </c>
      <c r="D44" s="4" t="s">
        <v>106</v>
      </c>
      <c r="E44" s="5" t="s">
        <v>107</v>
      </c>
      <c r="F44" s="6"/>
      <c r="G44" s="3">
        <v>6</v>
      </c>
      <c r="H44" s="7">
        <v>3</v>
      </c>
      <c r="I44" s="8">
        <v>3</v>
      </c>
      <c r="J44" s="9"/>
      <c r="K44" s="17"/>
      <c r="L44" s="15"/>
      <c r="M44" s="2"/>
      <c r="N44" s="2"/>
      <c r="O44" s="3">
        <v>0</v>
      </c>
      <c r="P44" s="3">
        <v>0</v>
      </c>
      <c r="Q44" s="2" t="s">
        <v>219</v>
      </c>
      <c r="R44" s="2" t="s">
        <v>124</v>
      </c>
      <c r="S44" s="12">
        <f t="shared" si="0"/>
        <v>45</v>
      </c>
      <c r="T44" s="13">
        <f t="shared" si="1"/>
        <v>0</v>
      </c>
      <c r="U44" s="10">
        <f t="shared" si="2"/>
        <v>0</v>
      </c>
      <c r="V44" s="11">
        <f t="shared" si="6"/>
        <v>0</v>
      </c>
      <c r="W44" s="2">
        <f t="shared" si="4"/>
        <v>90</v>
      </c>
      <c r="X44" s="2">
        <f t="shared" si="5"/>
        <v>15</v>
      </c>
      <c r="Y44" s="2"/>
      <c r="Z44" s="2">
        <v>1</v>
      </c>
      <c r="AA44" s="6"/>
      <c r="AB44" s="1"/>
      <c r="AC44" s="1"/>
      <c r="AD44" s="1"/>
    </row>
    <row r="45" spans="1:30" x14ac:dyDescent="0.25">
      <c r="A45" s="2">
        <v>44</v>
      </c>
      <c r="B45" s="3" t="s">
        <v>73</v>
      </c>
      <c r="C45" s="3" t="s">
        <v>74</v>
      </c>
      <c r="D45" s="4" t="s">
        <v>177</v>
      </c>
      <c r="E45" s="5" t="s">
        <v>178</v>
      </c>
      <c r="F45" s="6"/>
      <c r="G45" s="3">
        <v>6</v>
      </c>
      <c r="H45" s="7">
        <v>3</v>
      </c>
      <c r="I45" s="8">
        <v>3</v>
      </c>
      <c r="J45" s="9"/>
      <c r="K45" s="17"/>
      <c r="L45" s="15"/>
      <c r="M45" s="2"/>
      <c r="N45" s="2"/>
      <c r="O45" s="3">
        <v>0</v>
      </c>
      <c r="P45" s="3">
        <v>0</v>
      </c>
      <c r="Q45" s="2" t="s">
        <v>89</v>
      </c>
      <c r="R45" s="2" t="s">
        <v>124</v>
      </c>
      <c r="S45" s="12">
        <f t="shared" si="0"/>
        <v>45</v>
      </c>
      <c r="T45" s="13">
        <f t="shared" si="1"/>
        <v>0</v>
      </c>
      <c r="U45" s="10">
        <f t="shared" si="2"/>
        <v>0</v>
      </c>
      <c r="V45" s="11">
        <f t="shared" si="6"/>
        <v>0</v>
      </c>
      <c r="W45" s="2">
        <f t="shared" si="4"/>
        <v>90</v>
      </c>
      <c r="X45" s="2">
        <f t="shared" si="5"/>
        <v>15</v>
      </c>
      <c r="Y45" s="2"/>
      <c r="Z45" s="2">
        <v>1</v>
      </c>
      <c r="AA45" s="6"/>
      <c r="AB45" s="1"/>
      <c r="AC45" s="1"/>
      <c r="AD45" s="1"/>
    </row>
    <row r="46" spans="1:30" x14ac:dyDescent="0.25">
      <c r="A46" s="2">
        <v>45</v>
      </c>
      <c r="B46" s="3" t="s">
        <v>73</v>
      </c>
      <c r="C46" s="3" t="s">
        <v>74</v>
      </c>
      <c r="D46" s="4" t="s">
        <v>95</v>
      </c>
      <c r="E46" s="5" t="s">
        <v>96</v>
      </c>
      <c r="F46" s="6"/>
      <c r="G46" s="3">
        <v>6</v>
      </c>
      <c r="H46" s="7">
        <v>3</v>
      </c>
      <c r="I46" s="8">
        <v>3</v>
      </c>
      <c r="J46" s="9"/>
      <c r="K46" s="17"/>
      <c r="L46" s="15"/>
      <c r="M46" s="2"/>
      <c r="N46" s="2"/>
      <c r="O46" s="3">
        <v>0</v>
      </c>
      <c r="P46" s="3">
        <v>0</v>
      </c>
      <c r="Q46" s="2" t="s">
        <v>89</v>
      </c>
      <c r="R46" s="2" t="s">
        <v>124</v>
      </c>
      <c r="S46" s="12">
        <f t="shared" si="0"/>
        <v>45</v>
      </c>
      <c r="T46" s="13">
        <f t="shared" si="1"/>
        <v>0</v>
      </c>
      <c r="U46" s="10">
        <f t="shared" si="2"/>
        <v>0</v>
      </c>
      <c r="V46" s="11">
        <f t="shared" si="6"/>
        <v>0</v>
      </c>
      <c r="W46" s="2">
        <f t="shared" si="4"/>
        <v>90</v>
      </c>
      <c r="X46" s="2">
        <f t="shared" si="5"/>
        <v>15</v>
      </c>
      <c r="Y46" s="2"/>
      <c r="Z46" s="2">
        <v>1</v>
      </c>
      <c r="AA46" s="6"/>
      <c r="AB46" s="1"/>
      <c r="AC46" s="1"/>
      <c r="AD46" s="1"/>
    </row>
    <row r="47" spans="1:30" x14ac:dyDescent="0.25">
      <c r="A47" s="2">
        <v>46</v>
      </c>
      <c r="B47" s="3" t="s">
        <v>73</v>
      </c>
      <c r="C47" s="3" t="s">
        <v>74</v>
      </c>
      <c r="D47" s="4" t="s">
        <v>221</v>
      </c>
      <c r="E47" s="5" t="s">
        <v>181</v>
      </c>
      <c r="F47" s="6"/>
      <c r="G47" s="3">
        <v>6</v>
      </c>
      <c r="H47" s="7">
        <v>3</v>
      </c>
      <c r="I47" s="8">
        <v>1</v>
      </c>
      <c r="J47" s="9">
        <v>2</v>
      </c>
      <c r="K47" s="17"/>
      <c r="L47" s="15"/>
      <c r="M47" s="2" t="s">
        <v>11</v>
      </c>
      <c r="N47" s="2"/>
      <c r="O47" s="3">
        <v>1</v>
      </c>
      <c r="P47" s="3">
        <v>1</v>
      </c>
      <c r="Q47" s="2" t="s">
        <v>89</v>
      </c>
      <c r="R47" s="2" t="s">
        <v>124</v>
      </c>
      <c r="S47" s="12">
        <f t="shared" si="0"/>
        <v>15</v>
      </c>
      <c r="T47" s="13">
        <f t="shared" si="1"/>
        <v>60</v>
      </c>
      <c r="U47" s="10">
        <f t="shared" si="2"/>
        <v>0</v>
      </c>
      <c r="V47" s="11">
        <f t="shared" si="6"/>
        <v>0</v>
      </c>
      <c r="W47" s="2">
        <f t="shared" si="4"/>
        <v>60</v>
      </c>
      <c r="X47" s="2">
        <f t="shared" si="5"/>
        <v>15</v>
      </c>
      <c r="Y47" s="2"/>
      <c r="Z47" s="2">
        <v>1</v>
      </c>
      <c r="AA47" s="6"/>
      <c r="AB47" s="1"/>
      <c r="AC47" s="1"/>
      <c r="AD47" s="1"/>
    </row>
    <row r="48" spans="1:30" x14ac:dyDescent="0.25">
      <c r="A48" s="2">
        <v>47</v>
      </c>
      <c r="B48" s="3" t="s">
        <v>73</v>
      </c>
      <c r="C48" s="3" t="s">
        <v>74</v>
      </c>
      <c r="D48" s="4" t="s">
        <v>180</v>
      </c>
      <c r="E48" s="5" t="s">
        <v>181</v>
      </c>
      <c r="F48" s="6"/>
      <c r="G48" s="3">
        <v>6</v>
      </c>
      <c r="H48" s="7">
        <v>3</v>
      </c>
      <c r="I48" s="8">
        <v>1</v>
      </c>
      <c r="J48" s="9">
        <v>2</v>
      </c>
      <c r="K48" s="17"/>
      <c r="L48" s="15"/>
      <c r="M48" s="2" t="s">
        <v>11</v>
      </c>
      <c r="N48" s="2"/>
      <c r="O48" s="3">
        <v>1</v>
      </c>
      <c r="P48" s="3">
        <v>1</v>
      </c>
      <c r="Q48" s="2" t="s">
        <v>89</v>
      </c>
      <c r="R48" s="2" t="s">
        <v>124</v>
      </c>
      <c r="S48" s="12">
        <f t="shared" si="0"/>
        <v>15</v>
      </c>
      <c r="T48" s="13">
        <f t="shared" si="1"/>
        <v>60</v>
      </c>
      <c r="U48" s="10">
        <f t="shared" si="2"/>
        <v>0</v>
      </c>
      <c r="V48" s="11">
        <f t="shared" si="6"/>
        <v>0</v>
      </c>
      <c r="W48" s="2">
        <f t="shared" si="4"/>
        <v>60</v>
      </c>
      <c r="X48" s="2">
        <f t="shared" si="5"/>
        <v>15</v>
      </c>
      <c r="Y48" s="2"/>
      <c r="Z48" s="2">
        <v>1</v>
      </c>
      <c r="AA48" s="6"/>
      <c r="AB48" s="1"/>
      <c r="AC48" s="1"/>
      <c r="AD48" s="1"/>
    </row>
    <row r="49" spans="1:30" x14ac:dyDescent="0.25">
      <c r="A49" s="2">
        <v>48</v>
      </c>
      <c r="B49" s="3" t="s">
        <v>73</v>
      </c>
      <c r="C49" s="3" t="s">
        <v>74</v>
      </c>
      <c r="D49" s="4" t="s">
        <v>180</v>
      </c>
      <c r="E49" s="5" t="s">
        <v>182</v>
      </c>
      <c r="F49" s="6"/>
      <c r="G49" s="3">
        <v>6</v>
      </c>
      <c r="H49" s="7">
        <v>2</v>
      </c>
      <c r="I49" s="8">
        <v>2</v>
      </c>
      <c r="J49" s="9"/>
      <c r="K49" s="17"/>
      <c r="L49" s="15"/>
      <c r="M49" s="2"/>
      <c r="N49" s="2"/>
      <c r="O49" s="3">
        <v>0</v>
      </c>
      <c r="P49" s="3">
        <v>0</v>
      </c>
      <c r="Q49" s="2" t="s">
        <v>165</v>
      </c>
      <c r="R49" s="2" t="s">
        <v>124</v>
      </c>
      <c r="S49" s="12">
        <f t="shared" si="0"/>
        <v>30</v>
      </c>
      <c r="T49" s="13">
        <f t="shared" si="1"/>
        <v>0</v>
      </c>
      <c r="U49" s="10">
        <f t="shared" si="2"/>
        <v>0</v>
      </c>
      <c r="V49" s="11">
        <f t="shared" si="6"/>
        <v>0</v>
      </c>
      <c r="W49" s="2">
        <f t="shared" si="4"/>
        <v>60</v>
      </c>
      <c r="X49" s="2">
        <f t="shared" si="5"/>
        <v>10</v>
      </c>
      <c r="Y49" s="2"/>
      <c r="Z49" s="2">
        <v>1</v>
      </c>
      <c r="AA49" s="6"/>
      <c r="AB49" s="1"/>
      <c r="AC49" s="1"/>
      <c r="AD49" s="1"/>
    </row>
    <row r="50" spans="1:30" x14ac:dyDescent="0.25">
      <c r="A50" s="2">
        <v>49</v>
      </c>
      <c r="B50" s="3" t="s">
        <v>222</v>
      </c>
      <c r="C50" s="3" t="s">
        <v>74</v>
      </c>
      <c r="D50" s="4" t="s">
        <v>164</v>
      </c>
      <c r="E50" s="5" t="s">
        <v>76</v>
      </c>
      <c r="F50" s="6"/>
      <c r="G50" s="3">
        <v>6</v>
      </c>
      <c r="H50" s="7">
        <v>2</v>
      </c>
      <c r="I50" s="8">
        <v>2</v>
      </c>
      <c r="J50" s="9"/>
      <c r="K50" s="17"/>
      <c r="L50" s="15"/>
      <c r="M50" s="2"/>
      <c r="N50" s="2"/>
      <c r="O50" s="3">
        <v>1</v>
      </c>
      <c r="P50" s="3">
        <v>0</v>
      </c>
      <c r="Q50" s="2" t="s">
        <v>209</v>
      </c>
      <c r="R50" s="2" t="s">
        <v>124</v>
      </c>
      <c r="S50" s="12">
        <f t="shared" si="0"/>
        <v>30</v>
      </c>
      <c r="T50" s="13">
        <f t="shared" si="1"/>
        <v>0</v>
      </c>
      <c r="U50" s="10">
        <f t="shared" si="2"/>
        <v>0</v>
      </c>
      <c r="V50" s="11">
        <f t="shared" si="6"/>
        <v>0</v>
      </c>
      <c r="W50" s="2">
        <f t="shared" si="4"/>
        <v>60</v>
      </c>
      <c r="X50" s="2">
        <f t="shared" si="5"/>
        <v>10</v>
      </c>
      <c r="Y50" s="2"/>
      <c r="Z50" s="2">
        <v>1</v>
      </c>
      <c r="AA50" s="6"/>
      <c r="AB50" s="1"/>
      <c r="AC50" s="1"/>
      <c r="AD50" s="1"/>
    </row>
    <row r="51" spans="1:30" x14ac:dyDescent="0.25">
      <c r="A51" s="2">
        <v>50</v>
      </c>
      <c r="B51" s="3" t="s">
        <v>222</v>
      </c>
      <c r="C51" s="3" t="s">
        <v>74</v>
      </c>
      <c r="D51" s="4" t="s">
        <v>223</v>
      </c>
      <c r="E51" s="5" t="s">
        <v>191</v>
      </c>
      <c r="F51" s="6"/>
      <c r="G51" s="3">
        <v>4</v>
      </c>
      <c r="H51" s="7">
        <v>3</v>
      </c>
      <c r="I51" s="8">
        <v>3</v>
      </c>
      <c r="J51" s="9"/>
      <c r="K51" s="17"/>
      <c r="L51" s="15"/>
      <c r="M51" s="2"/>
      <c r="N51" s="2"/>
      <c r="O51" s="3">
        <v>1</v>
      </c>
      <c r="P51" s="3">
        <v>0</v>
      </c>
      <c r="Q51" s="2" t="s">
        <v>165</v>
      </c>
      <c r="R51" s="2" t="s">
        <v>124</v>
      </c>
      <c r="S51" s="12">
        <f t="shared" si="0"/>
        <v>45</v>
      </c>
      <c r="T51" s="13">
        <f t="shared" si="1"/>
        <v>0</v>
      </c>
      <c r="U51" s="10">
        <f t="shared" si="2"/>
        <v>0</v>
      </c>
      <c r="V51" s="11">
        <f t="shared" si="6"/>
        <v>0</v>
      </c>
      <c r="W51" s="2">
        <f t="shared" si="4"/>
        <v>90</v>
      </c>
      <c r="X51" s="2">
        <f t="shared" si="5"/>
        <v>15</v>
      </c>
      <c r="Y51" s="2"/>
      <c r="Z51" s="2">
        <v>1</v>
      </c>
      <c r="AA51" s="6"/>
      <c r="AB51" s="1"/>
      <c r="AC51" s="1"/>
      <c r="AD51" s="1"/>
    </row>
    <row r="52" spans="1:30" x14ac:dyDescent="0.25">
      <c r="A52" s="2">
        <v>51</v>
      </c>
      <c r="B52" s="3" t="s">
        <v>222</v>
      </c>
      <c r="C52" s="3" t="s">
        <v>74</v>
      </c>
      <c r="D52" s="4" t="s">
        <v>187</v>
      </c>
      <c r="E52" s="5" t="s">
        <v>82</v>
      </c>
      <c r="F52" s="6"/>
      <c r="G52" s="3">
        <v>6</v>
      </c>
      <c r="H52" s="7">
        <v>3</v>
      </c>
      <c r="I52" s="8">
        <v>3</v>
      </c>
      <c r="J52" s="9"/>
      <c r="K52" s="17"/>
      <c r="L52" s="15"/>
      <c r="M52" s="2"/>
      <c r="N52" s="2"/>
      <c r="O52" s="3">
        <v>1</v>
      </c>
      <c r="P52" s="3">
        <v>0</v>
      </c>
      <c r="Q52" s="2" t="s">
        <v>89</v>
      </c>
      <c r="R52" s="2" t="s">
        <v>124</v>
      </c>
      <c r="S52" s="12">
        <f t="shared" si="0"/>
        <v>45</v>
      </c>
      <c r="T52" s="13">
        <f t="shared" si="1"/>
        <v>0</v>
      </c>
      <c r="U52" s="10">
        <f t="shared" si="2"/>
        <v>0</v>
      </c>
      <c r="V52" s="11">
        <f t="shared" si="6"/>
        <v>0</v>
      </c>
      <c r="W52" s="2">
        <f t="shared" si="4"/>
        <v>90</v>
      </c>
      <c r="X52" s="2">
        <f t="shared" si="5"/>
        <v>15</v>
      </c>
      <c r="Y52" s="2"/>
      <c r="Z52" s="2">
        <v>1</v>
      </c>
      <c r="AA52" s="6"/>
      <c r="AB52" s="1"/>
      <c r="AC52" s="1"/>
      <c r="AD52" s="1"/>
    </row>
    <row r="53" spans="1:30" x14ac:dyDescent="0.25">
      <c r="A53" s="2">
        <v>52</v>
      </c>
      <c r="B53" s="3" t="s">
        <v>222</v>
      </c>
      <c r="C53" s="3" t="s">
        <v>74</v>
      </c>
      <c r="D53" s="4" t="s">
        <v>185</v>
      </c>
      <c r="E53" s="5" t="s">
        <v>84</v>
      </c>
      <c r="F53" s="6"/>
      <c r="G53" s="3">
        <v>6</v>
      </c>
      <c r="H53" s="7">
        <v>2</v>
      </c>
      <c r="I53" s="8">
        <v>2</v>
      </c>
      <c r="J53" s="9"/>
      <c r="K53" s="17"/>
      <c r="L53" s="15"/>
      <c r="M53" s="2"/>
      <c r="N53" s="2"/>
      <c r="O53" s="3">
        <v>1</v>
      </c>
      <c r="P53" s="3">
        <v>0</v>
      </c>
      <c r="Q53" s="2" t="s">
        <v>146</v>
      </c>
      <c r="R53" s="2" t="s">
        <v>124</v>
      </c>
      <c r="S53" s="12">
        <f t="shared" si="0"/>
        <v>30</v>
      </c>
      <c r="T53" s="13">
        <f t="shared" si="1"/>
        <v>0</v>
      </c>
      <c r="U53" s="10">
        <f t="shared" si="2"/>
        <v>0</v>
      </c>
      <c r="V53" s="11">
        <f t="shared" si="6"/>
        <v>0</v>
      </c>
      <c r="W53" s="2">
        <f t="shared" si="4"/>
        <v>60</v>
      </c>
      <c r="X53" s="2">
        <f t="shared" si="5"/>
        <v>10</v>
      </c>
      <c r="Y53" s="2"/>
      <c r="Z53" s="2">
        <v>1</v>
      </c>
      <c r="AA53" s="6"/>
      <c r="AB53" s="1"/>
      <c r="AC53" s="1"/>
      <c r="AD53" s="1"/>
    </row>
    <row r="54" spans="1:30" x14ac:dyDescent="0.25">
      <c r="A54" s="2">
        <v>53</v>
      </c>
      <c r="B54" s="3" t="s">
        <v>222</v>
      </c>
      <c r="C54" s="3" t="s">
        <v>74</v>
      </c>
      <c r="D54" s="4" t="s">
        <v>224</v>
      </c>
      <c r="E54" s="5" t="s">
        <v>186</v>
      </c>
      <c r="F54" s="6"/>
      <c r="G54" s="3">
        <v>6</v>
      </c>
      <c r="H54" s="7">
        <v>2</v>
      </c>
      <c r="I54" s="8">
        <v>2</v>
      </c>
      <c r="J54" s="9"/>
      <c r="K54" s="17"/>
      <c r="L54" s="15"/>
      <c r="M54" s="2"/>
      <c r="N54" s="2"/>
      <c r="O54" s="3">
        <v>1</v>
      </c>
      <c r="P54" s="3">
        <v>0</v>
      </c>
      <c r="Q54" s="2" t="s">
        <v>160</v>
      </c>
      <c r="R54" s="2" t="s">
        <v>124</v>
      </c>
      <c r="S54" s="12">
        <f t="shared" si="0"/>
        <v>30</v>
      </c>
      <c r="T54" s="13">
        <f t="shared" si="1"/>
        <v>0</v>
      </c>
      <c r="U54" s="10">
        <f t="shared" si="2"/>
        <v>0</v>
      </c>
      <c r="V54" s="11">
        <f t="shared" si="6"/>
        <v>0</v>
      </c>
      <c r="W54" s="2">
        <f t="shared" si="4"/>
        <v>60</v>
      </c>
      <c r="X54" s="2">
        <f t="shared" si="5"/>
        <v>10</v>
      </c>
      <c r="Y54" s="2"/>
      <c r="Z54" s="2">
        <v>1</v>
      </c>
      <c r="AA54" s="6"/>
      <c r="AB54" s="1"/>
      <c r="AC54" s="1"/>
      <c r="AD54" s="1"/>
    </row>
    <row r="55" spans="1:30" x14ac:dyDescent="0.25">
      <c r="A55" s="2">
        <v>54</v>
      </c>
      <c r="B55" s="3" t="s">
        <v>222</v>
      </c>
      <c r="C55" s="3" t="s">
        <v>74</v>
      </c>
      <c r="D55" s="4" t="s">
        <v>225</v>
      </c>
      <c r="E55" s="5" t="s">
        <v>184</v>
      </c>
      <c r="F55" s="6"/>
      <c r="G55" s="3">
        <v>6</v>
      </c>
      <c r="H55" s="7">
        <v>2</v>
      </c>
      <c r="I55" s="8">
        <v>2</v>
      </c>
      <c r="J55" s="9"/>
      <c r="K55" s="17"/>
      <c r="L55" s="15"/>
      <c r="M55" s="2"/>
      <c r="N55" s="2"/>
      <c r="O55" s="3">
        <v>1</v>
      </c>
      <c r="P55" s="3">
        <v>0</v>
      </c>
      <c r="Q55" s="2" t="s">
        <v>223</v>
      </c>
      <c r="R55" s="2" t="s">
        <v>124</v>
      </c>
      <c r="S55" s="12">
        <f t="shared" si="0"/>
        <v>30</v>
      </c>
      <c r="T55" s="13">
        <f t="shared" si="1"/>
        <v>0</v>
      </c>
      <c r="U55" s="10">
        <f t="shared" si="2"/>
        <v>0</v>
      </c>
      <c r="V55" s="11">
        <f t="shared" si="6"/>
        <v>0</v>
      </c>
      <c r="W55" s="2">
        <f t="shared" si="4"/>
        <v>60</v>
      </c>
      <c r="X55" s="2">
        <f t="shared" si="5"/>
        <v>10</v>
      </c>
      <c r="Y55" s="2"/>
      <c r="Z55" s="2">
        <v>1</v>
      </c>
      <c r="AA55" s="6"/>
      <c r="AB55" s="1"/>
      <c r="AC55" s="1"/>
      <c r="AD55" s="1"/>
    </row>
    <row r="56" spans="1:30" x14ac:dyDescent="0.25">
      <c r="A56" s="2">
        <v>55</v>
      </c>
      <c r="B56" s="3" t="s">
        <v>222</v>
      </c>
      <c r="C56" s="3" t="s">
        <v>74</v>
      </c>
      <c r="D56" s="4" t="s">
        <v>104</v>
      </c>
      <c r="E56" s="5" t="s">
        <v>105</v>
      </c>
      <c r="F56" s="6"/>
      <c r="G56" s="3">
        <v>7</v>
      </c>
      <c r="H56" s="7">
        <v>2</v>
      </c>
      <c r="I56" s="8">
        <v>2</v>
      </c>
      <c r="J56" s="9"/>
      <c r="K56" s="17"/>
      <c r="L56" s="15"/>
      <c r="M56" s="2"/>
      <c r="N56" s="2"/>
      <c r="O56" s="3">
        <v>1</v>
      </c>
      <c r="P56" s="3">
        <v>0</v>
      </c>
      <c r="Q56" s="2" t="s">
        <v>219</v>
      </c>
      <c r="R56" s="2" t="s">
        <v>124</v>
      </c>
      <c r="S56" s="12">
        <f t="shared" si="0"/>
        <v>30</v>
      </c>
      <c r="T56" s="13">
        <f t="shared" si="1"/>
        <v>0</v>
      </c>
      <c r="U56" s="10">
        <f t="shared" si="2"/>
        <v>0</v>
      </c>
      <c r="V56" s="11">
        <f t="shared" si="6"/>
        <v>0</v>
      </c>
      <c r="W56" s="2">
        <f t="shared" si="4"/>
        <v>60</v>
      </c>
      <c r="X56" s="2">
        <f t="shared" si="5"/>
        <v>10</v>
      </c>
      <c r="Y56" s="2"/>
      <c r="Z56" s="2">
        <v>1</v>
      </c>
      <c r="AA56" s="6"/>
      <c r="AB56" s="1"/>
      <c r="AC56" s="1"/>
      <c r="AD56" s="1"/>
    </row>
    <row r="57" spans="1:30" x14ac:dyDescent="0.25">
      <c r="A57" s="2">
        <v>56</v>
      </c>
      <c r="B57" s="3" t="s">
        <v>222</v>
      </c>
      <c r="C57" s="3" t="s">
        <v>74</v>
      </c>
      <c r="D57" s="4" t="s">
        <v>226</v>
      </c>
      <c r="E57" s="5" t="s">
        <v>189</v>
      </c>
      <c r="F57" s="6"/>
      <c r="G57" s="3">
        <v>6</v>
      </c>
      <c r="H57" s="7">
        <v>2</v>
      </c>
      <c r="I57" s="8">
        <v>2</v>
      </c>
      <c r="J57" s="9"/>
      <c r="K57" s="17"/>
      <c r="L57" s="15"/>
      <c r="M57" s="2"/>
      <c r="N57" s="2"/>
      <c r="O57" s="3">
        <v>1</v>
      </c>
      <c r="P57" s="3">
        <v>0</v>
      </c>
      <c r="Q57" s="2" t="s">
        <v>165</v>
      </c>
      <c r="R57" s="2" t="s">
        <v>124</v>
      </c>
      <c r="S57" s="12">
        <f t="shared" si="0"/>
        <v>30</v>
      </c>
      <c r="T57" s="13">
        <f t="shared" si="1"/>
        <v>0</v>
      </c>
      <c r="U57" s="10">
        <f t="shared" si="2"/>
        <v>0</v>
      </c>
      <c r="V57" s="11">
        <f t="shared" si="6"/>
        <v>0</v>
      </c>
      <c r="W57" s="2">
        <f t="shared" si="4"/>
        <v>60</v>
      </c>
      <c r="X57" s="2">
        <f t="shared" si="5"/>
        <v>10</v>
      </c>
      <c r="Y57" s="2"/>
      <c r="Z57" s="2">
        <v>1</v>
      </c>
      <c r="AA57" s="6"/>
      <c r="AB57" s="1"/>
      <c r="AC57" s="1"/>
      <c r="AD57" s="1"/>
    </row>
    <row r="58" spans="1:30" x14ac:dyDescent="0.25">
      <c r="A58" s="2">
        <v>57</v>
      </c>
      <c r="B58" s="3" t="s">
        <v>222</v>
      </c>
      <c r="C58" s="3" t="s">
        <v>74</v>
      </c>
      <c r="D58" s="4" t="s">
        <v>227</v>
      </c>
      <c r="E58" s="5" t="s">
        <v>193</v>
      </c>
      <c r="F58" s="6"/>
      <c r="G58" s="3">
        <v>4</v>
      </c>
      <c r="H58" s="7">
        <v>2</v>
      </c>
      <c r="I58" s="8">
        <v>2</v>
      </c>
      <c r="J58" s="9"/>
      <c r="K58" s="17"/>
      <c r="L58" s="15"/>
      <c r="M58" s="2"/>
      <c r="N58" s="2"/>
      <c r="O58" s="3">
        <v>1</v>
      </c>
      <c r="P58" s="3">
        <v>0</v>
      </c>
      <c r="Q58" s="2" t="s">
        <v>219</v>
      </c>
      <c r="R58" s="2" t="s">
        <v>124</v>
      </c>
      <c r="S58" s="12">
        <f t="shared" si="0"/>
        <v>30</v>
      </c>
      <c r="T58" s="13">
        <f t="shared" si="1"/>
        <v>0</v>
      </c>
      <c r="U58" s="10">
        <f t="shared" si="2"/>
        <v>0</v>
      </c>
      <c r="V58" s="11">
        <f t="shared" si="6"/>
        <v>0</v>
      </c>
      <c r="W58" s="2">
        <f t="shared" si="4"/>
        <v>60</v>
      </c>
      <c r="X58" s="2">
        <f t="shared" si="5"/>
        <v>10</v>
      </c>
      <c r="Y58" s="2"/>
      <c r="Z58" s="2">
        <v>1</v>
      </c>
      <c r="AA58" s="6"/>
      <c r="AB58" s="1"/>
      <c r="AC58" s="1"/>
      <c r="AD58" s="1"/>
    </row>
    <row r="59" spans="1:30" x14ac:dyDescent="0.25">
      <c r="A59" s="2">
        <v>58</v>
      </c>
      <c r="B59" s="3" t="s">
        <v>222</v>
      </c>
      <c r="C59" s="3" t="s">
        <v>74</v>
      </c>
      <c r="D59" s="4" t="s">
        <v>101</v>
      </c>
      <c r="E59" s="5" t="s">
        <v>102</v>
      </c>
      <c r="F59" s="6"/>
      <c r="G59" s="3">
        <v>6</v>
      </c>
      <c r="H59" s="7">
        <v>2</v>
      </c>
      <c r="I59" s="8">
        <v>2</v>
      </c>
      <c r="J59" s="9"/>
      <c r="K59" s="17"/>
      <c r="L59" s="15"/>
      <c r="M59" s="2"/>
      <c r="N59" s="2"/>
      <c r="O59" s="3">
        <v>1</v>
      </c>
      <c r="P59" s="3">
        <v>0</v>
      </c>
      <c r="Q59" s="2" t="s">
        <v>219</v>
      </c>
      <c r="R59" s="2" t="s">
        <v>124</v>
      </c>
      <c r="S59" s="12">
        <f t="shared" si="0"/>
        <v>30</v>
      </c>
      <c r="T59" s="13">
        <f t="shared" si="1"/>
        <v>0</v>
      </c>
      <c r="U59" s="10">
        <f t="shared" si="2"/>
        <v>0</v>
      </c>
      <c r="V59" s="11">
        <f t="shared" si="6"/>
        <v>0</v>
      </c>
      <c r="W59" s="2">
        <f t="shared" si="4"/>
        <v>60</v>
      </c>
      <c r="X59" s="2">
        <f t="shared" si="5"/>
        <v>10</v>
      </c>
      <c r="Y59" s="2"/>
      <c r="Z59" s="2">
        <v>1</v>
      </c>
      <c r="AA59" s="6"/>
      <c r="AB59" s="1"/>
      <c r="AC59" s="1"/>
      <c r="AD59" s="1"/>
    </row>
    <row r="60" spans="1:30" x14ac:dyDescent="0.25">
      <c r="A60" s="2">
        <v>59</v>
      </c>
      <c r="B60" s="3" t="s">
        <v>222</v>
      </c>
      <c r="C60" s="3" t="s">
        <v>74</v>
      </c>
      <c r="D60" s="4" t="s">
        <v>194</v>
      </c>
      <c r="E60" s="5" t="s">
        <v>195</v>
      </c>
      <c r="F60" s="6"/>
      <c r="G60" s="3">
        <v>6</v>
      </c>
      <c r="H60" s="7">
        <v>2</v>
      </c>
      <c r="I60" s="8">
        <v>2</v>
      </c>
      <c r="J60" s="9"/>
      <c r="K60" s="17"/>
      <c r="L60" s="15"/>
      <c r="M60" s="2"/>
      <c r="N60" s="2"/>
      <c r="O60" s="3">
        <v>1</v>
      </c>
      <c r="P60" s="3">
        <v>0</v>
      </c>
      <c r="Q60" s="2" t="s">
        <v>219</v>
      </c>
      <c r="R60" s="2" t="s">
        <v>124</v>
      </c>
      <c r="S60" s="12">
        <f t="shared" si="0"/>
        <v>30</v>
      </c>
      <c r="T60" s="13">
        <f t="shared" si="1"/>
        <v>0</v>
      </c>
      <c r="U60" s="10">
        <f t="shared" si="2"/>
        <v>0</v>
      </c>
      <c r="V60" s="11">
        <f t="shared" si="6"/>
        <v>0</v>
      </c>
      <c r="W60" s="2">
        <f t="shared" si="4"/>
        <v>60</v>
      </c>
      <c r="X60" s="2">
        <f t="shared" si="5"/>
        <v>10</v>
      </c>
      <c r="Y60" s="2"/>
      <c r="Z60" s="2">
        <v>1</v>
      </c>
      <c r="AA60" s="6"/>
      <c r="AB60" s="1"/>
      <c r="AC60" s="1"/>
      <c r="AD60" s="1"/>
    </row>
    <row r="61" spans="1:30" x14ac:dyDescent="0.25">
      <c r="A61" s="2">
        <v>60</v>
      </c>
      <c r="B61" s="3" t="s">
        <v>222</v>
      </c>
      <c r="C61" s="3" t="s">
        <v>74</v>
      </c>
      <c r="D61" s="4" t="s">
        <v>196</v>
      </c>
      <c r="E61" s="5" t="s">
        <v>113</v>
      </c>
      <c r="F61" s="6"/>
      <c r="G61" s="3">
        <v>7</v>
      </c>
      <c r="H61" s="7">
        <v>2</v>
      </c>
      <c r="I61" s="8">
        <v>2</v>
      </c>
      <c r="J61" s="9"/>
      <c r="K61" s="17"/>
      <c r="L61" s="15"/>
      <c r="M61" s="2"/>
      <c r="N61" s="2"/>
      <c r="O61" s="3">
        <v>1</v>
      </c>
      <c r="P61" s="3">
        <v>0</v>
      </c>
      <c r="Q61" s="2" t="s">
        <v>219</v>
      </c>
      <c r="R61" s="2" t="s">
        <v>124</v>
      </c>
      <c r="S61" s="12">
        <f t="shared" si="0"/>
        <v>30</v>
      </c>
      <c r="T61" s="13">
        <f t="shared" si="1"/>
        <v>0</v>
      </c>
      <c r="U61" s="10">
        <f t="shared" si="2"/>
        <v>0</v>
      </c>
      <c r="V61" s="11">
        <f t="shared" si="6"/>
        <v>0</v>
      </c>
      <c r="W61" s="2">
        <f t="shared" si="4"/>
        <v>60</v>
      </c>
      <c r="X61" s="2">
        <f t="shared" si="5"/>
        <v>10</v>
      </c>
      <c r="Y61" s="2"/>
      <c r="Z61" s="2">
        <v>1</v>
      </c>
      <c r="AA61" s="6"/>
      <c r="AB61" s="1"/>
      <c r="AC61" s="1"/>
      <c r="AD61" s="1"/>
    </row>
    <row r="62" spans="1:30" x14ac:dyDescent="0.25">
      <c r="A62" s="2">
        <v>61</v>
      </c>
      <c r="B62" s="3" t="s">
        <v>118</v>
      </c>
      <c r="C62" s="3" t="s">
        <v>228</v>
      </c>
      <c r="D62" s="4" t="s">
        <v>120</v>
      </c>
      <c r="E62" s="5" t="s">
        <v>121</v>
      </c>
      <c r="F62" s="6"/>
      <c r="G62" s="3">
        <v>8</v>
      </c>
      <c r="H62" s="7">
        <v>4</v>
      </c>
      <c r="I62" s="8"/>
      <c r="J62" s="9"/>
      <c r="K62" s="17"/>
      <c r="L62" s="15">
        <v>4</v>
      </c>
      <c r="M62" s="2"/>
      <c r="N62" s="2"/>
      <c r="O62" s="3">
        <v>0</v>
      </c>
      <c r="P62" s="3">
        <v>0</v>
      </c>
      <c r="Q62" s="2" t="s">
        <v>229</v>
      </c>
      <c r="R62" s="2" t="s">
        <v>124</v>
      </c>
      <c r="S62" s="12">
        <f t="shared" si="0"/>
        <v>0</v>
      </c>
      <c r="T62" s="13">
        <f t="shared" si="1"/>
        <v>0</v>
      </c>
      <c r="U62" s="10">
        <f t="shared" si="2"/>
        <v>0</v>
      </c>
      <c r="V62" s="11">
        <f t="shared" si="6"/>
        <v>180</v>
      </c>
      <c r="W62" s="2">
        <f t="shared" si="4"/>
        <v>180</v>
      </c>
      <c r="X62" s="2">
        <f t="shared" si="5"/>
        <v>20</v>
      </c>
      <c r="Y62" s="2"/>
      <c r="Z62" s="2">
        <v>1</v>
      </c>
      <c r="AA62" s="6"/>
      <c r="AB62" s="1"/>
      <c r="AC62" s="1"/>
      <c r="AD62" s="1"/>
    </row>
    <row r="63" spans="1:30" x14ac:dyDescent="0.25">
      <c r="A63" s="2">
        <v>62</v>
      </c>
      <c r="B63" s="3" t="s">
        <v>118</v>
      </c>
      <c r="C63" s="3" t="s">
        <v>119</v>
      </c>
      <c r="D63" s="4" t="s">
        <v>122</v>
      </c>
      <c r="E63" s="5" t="s">
        <v>123</v>
      </c>
      <c r="F63" s="6"/>
      <c r="G63" s="3">
        <v>8</v>
      </c>
      <c r="H63" s="7">
        <v>6</v>
      </c>
      <c r="I63" s="8"/>
      <c r="J63" s="9"/>
      <c r="K63" s="17"/>
      <c r="L63" s="15">
        <v>6</v>
      </c>
      <c r="M63" s="2"/>
      <c r="N63" s="2"/>
      <c r="O63" s="3">
        <v>0</v>
      </c>
      <c r="P63" s="3">
        <v>0</v>
      </c>
      <c r="Q63" s="2" t="s">
        <v>120</v>
      </c>
      <c r="R63" s="2" t="s">
        <v>124</v>
      </c>
      <c r="S63" s="12">
        <f t="shared" si="0"/>
        <v>0</v>
      </c>
      <c r="T63" s="13">
        <f t="shared" si="1"/>
        <v>0</v>
      </c>
      <c r="U63" s="10">
        <f t="shared" si="2"/>
        <v>0</v>
      </c>
      <c r="V63" s="11">
        <f t="shared" si="6"/>
        <v>270</v>
      </c>
      <c r="W63" s="2">
        <f t="shared" si="4"/>
        <v>270</v>
      </c>
      <c r="X63" s="2">
        <f t="shared" si="5"/>
        <v>30</v>
      </c>
      <c r="Y63" s="2"/>
      <c r="Z63" s="2">
        <v>1</v>
      </c>
      <c r="AA63" s="6"/>
      <c r="AB63" s="1"/>
      <c r="AC63" s="1"/>
      <c r="AD63" s="1"/>
    </row>
  </sheetData>
  <dataValidations count="5">
    <dataValidation type="list" allowBlank="1" showErrorMessage="1" sqref="Y2:Y63" xr:uid="{00000000-0002-0000-0200-000000000000}">
      <formula1>#REF!</formula1>
    </dataValidation>
    <dataValidation type="list" allowBlank="1" showErrorMessage="1" sqref="Z2:Z63" xr:uid="{00000000-0002-0000-0200-000001000000}">
      <formula1>"1,0"</formula1>
    </dataValidation>
    <dataValidation type="list" allowBlank="1" showErrorMessage="1" sqref="R2:R63" xr:uid="{00000000-0002-0000-0200-000002000000}">
      <formula1>"Tiên quyết (c),Học trước (d),Song hành (e)"</formula1>
    </dataValidation>
    <dataValidation type="list" allowBlank="1" showErrorMessage="1" sqref="N2:N63" xr:uid="{00000000-0002-0000-0200-000003000000}">
      <formula1>"Nhóm 1,Nhóm 2,Nhóm 3,Nhóm 4"</formula1>
    </dataValidation>
    <dataValidation type="list" allowBlank="1" showErrorMessage="1" sqref="M2:M63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62"/>
  <sheetViews>
    <sheetView workbookViewId="0">
      <selection activeCell="A2" sqref="A2:A62"/>
    </sheetView>
  </sheetViews>
  <sheetFormatPr defaultColWidth="14.42578125" defaultRowHeight="15" customHeight="1" x14ac:dyDescent="0.25"/>
  <cols>
    <col min="1" max="1" width="9.28515625" customWidth="1"/>
    <col min="2" max="2" width="15.42578125" customWidth="1"/>
    <col min="3" max="3" width="25.140625" customWidth="1"/>
    <col min="5" max="5" width="27" customWidth="1"/>
    <col min="26" max="26" width="25.140625" bestFit="1" customWidth="1"/>
  </cols>
  <sheetData>
    <row r="1" spans="1:28" ht="15" customHeight="1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</row>
    <row r="2" spans="1:28" ht="47.25" customHeight="1" x14ac:dyDescent="0.25">
      <c r="A2" s="2">
        <v>1</v>
      </c>
      <c r="B2" s="3" t="s">
        <v>7</v>
      </c>
      <c r="C2" s="3" t="s">
        <v>8</v>
      </c>
      <c r="D2" s="4" t="s">
        <v>9</v>
      </c>
      <c r="E2" s="5" t="s">
        <v>10</v>
      </c>
      <c r="F2" s="6"/>
      <c r="G2" s="3">
        <v>1</v>
      </c>
      <c r="H2" s="7">
        <v>3</v>
      </c>
      <c r="I2" s="8">
        <v>3</v>
      </c>
      <c r="J2" s="9"/>
      <c r="K2" s="17"/>
      <c r="L2" s="15"/>
      <c r="M2" s="2"/>
      <c r="N2" s="2"/>
      <c r="O2" s="3">
        <v>0</v>
      </c>
      <c r="P2" s="3">
        <v>0</v>
      </c>
      <c r="Q2" s="2"/>
      <c r="R2" s="2"/>
      <c r="S2" s="12">
        <f t="shared" ref="S2:S62" si="0">I2*15</f>
        <v>45</v>
      </c>
      <c r="T2" s="13">
        <f t="shared" ref="T2:T62" si="1">IF(J2="",0,IF(M2="T",J2*15*2,IF(M2="N",J2*15*3,"fail")))</f>
        <v>0</v>
      </c>
      <c r="U2" s="10">
        <f t="shared" ref="U2:U62" si="2">K2*15</f>
        <v>0</v>
      </c>
      <c r="V2" s="11">
        <f t="shared" ref="V2:V14" si="3">IF(L2="",0,IF(M2="T",L2*15*2,L2*15*3))</f>
        <v>0</v>
      </c>
      <c r="W2" s="2">
        <f t="shared" ref="W2:W62" si="4">(I2*2+J2+K2*3+L2*3)*15</f>
        <v>90</v>
      </c>
      <c r="X2" s="2">
        <f t="shared" ref="X2:X62" si="5">H2*5</f>
        <v>15</v>
      </c>
      <c r="Y2" s="2"/>
      <c r="Z2" s="2">
        <v>1</v>
      </c>
      <c r="AA2" s="6"/>
      <c r="AB2" s="1"/>
    </row>
    <row r="3" spans="1:28" ht="47.25" customHeight="1" x14ac:dyDescent="0.25">
      <c r="A3" s="2">
        <v>2</v>
      </c>
      <c r="B3" s="3" t="s">
        <v>7</v>
      </c>
      <c r="C3" s="3" t="s">
        <v>8</v>
      </c>
      <c r="D3" s="4" t="s">
        <v>140</v>
      </c>
      <c r="E3" s="5" t="s">
        <v>197</v>
      </c>
      <c r="F3" s="6"/>
      <c r="G3" s="3">
        <v>2</v>
      </c>
      <c r="H3" s="7">
        <v>2</v>
      </c>
      <c r="I3" s="8">
        <v>2</v>
      </c>
      <c r="J3" s="9"/>
      <c r="K3" s="17"/>
      <c r="L3" s="15"/>
      <c r="M3" s="2"/>
      <c r="N3" s="2"/>
      <c r="O3" s="3">
        <v>0</v>
      </c>
      <c r="P3" s="3">
        <v>0</v>
      </c>
      <c r="Q3" s="2" t="s">
        <v>9</v>
      </c>
      <c r="R3" s="2" t="s">
        <v>124</v>
      </c>
      <c r="S3" s="12">
        <f t="shared" si="0"/>
        <v>30</v>
      </c>
      <c r="T3" s="13">
        <f t="shared" si="1"/>
        <v>0</v>
      </c>
      <c r="U3" s="10">
        <f t="shared" si="2"/>
        <v>0</v>
      </c>
      <c r="V3" s="11">
        <f t="shared" si="3"/>
        <v>0</v>
      </c>
      <c r="W3" s="2">
        <f t="shared" si="4"/>
        <v>60</v>
      </c>
      <c r="X3" s="2">
        <f t="shared" si="5"/>
        <v>10</v>
      </c>
      <c r="Y3" s="2"/>
      <c r="Z3" s="2">
        <v>1</v>
      </c>
      <c r="AA3" s="6"/>
      <c r="AB3" s="1"/>
    </row>
    <row r="4" spans="1:28" ht="47.25" customHeight="1" x14ac:dyDescent="0.25">
      <c r="A4" s="2">
        <v>3</v>
      </c>
      <c r="B4" s="3" t="s">
        <v>7</v>
      </c>
      <c r="C4" s="3" t="s">
        <v>8</v>
      </c>
      <c r="D4" s="4" t="s">
        <v>125</v>
      </c>
      <c r="E4" s="5" t="s">
        <v>13</v>
      </c>
      <c r="F4" s="6"/>
      <c r="G4" s="3">
        <v>3</v>
      </c>
      <c r="H4" s="7">
        <v>2</v>
      </c>
      <c r="I4" s="8">
        <v>2</v>
      </c>
      <c r="J4" s="9"/>
      <c r="K4" s="17"/>
      <c r="L4" s="15"/>
      <c r="M4" s="2"/>
      <c r="N4" s="2"/>
      <c r="O4" s="3">
        <v>0</v>
      </c>
      <c r="P4" s="3">
        <v>0</v>
      </c>
      <c r="Q4" s="2"/>
      <c r="R4" s="2"/>
      <c r="S4" s="12">
        <f t="shared" si="0"/>
        <v>30</v>
      </c>
      <c r="T4" s="13">
        <f t="shared" si="1"/>
        <v>0</v>
      </c>
      <c r="U4" s="10">
        <f t="shared" si="2"/>
        <v>0</v>
      </c>
      <c r="V4" s="11">
        <f t="shared" si="3"/>
        <v>0</v>
      </c>
      <c r="W4" s="2">
        <f t="shared" si="4"/>
        <v>60</v>
      </c>
      <c r="X4" s="2">
        <f t="shared" si="5"/>
        <v>10</v>
      </c>
      <c r="Y4" s="2"/>
      <c r="Z4" s="2">
        <v>1</v>
      </c>
      <c r="AA4" s="6"/>
      <c r="AB4" s="1"/>
    </row>
    <row r="5" spans="1:28" ht="47.25" customHeight="1" x14ac:dyDescent="0.25">
      <c r="A5" s="2">
        <v>4</v>
      </c>
      <c r="B5" s="3" t="s">
        <v>7</v>
      </c>
      <c r="C5" s="3" t="s">
        <v>8</v>
      </c>
      <c r="D5" s="4" t="s">
        <v>126</v>
      </c>
      <c r="E5" s="5" t="s">
        <v>127</v>
      </c>
      <c r="F5" s="6"/>
      <c r="G5" s="3">
        <v>5</v>
      </c>
      <c r="H5" s="7">
        <v>2</v>
      </c>
      <c r="I5" s="8">
        <v>2</v>
      </c>
      <c r="J5" s="9"/>
      <c r="K5" s="17"/>
      <c r="L5" s="15"/>
      <c r="M5" s="2"/>
      <c r="N5" s="2"/>
      <c r="O5" s="3">
        <v>0</v>
      </c>
      <c r="P5" s="3">
        <v>0</v>
      </c>
      <c r="Q5" s="2"/>
      <c r="R5" s="2"/>
      <c r="S5" s="12">
        <f t="shared" si="0"/>
        <v>30</v>
      </c>
      <c r="T5" s="13">
        <f t="shared" si="1"/>
        <v>0</v>
      </c>
      <c r="U5" s="10">
        <f t="shared" si="2"/>
        <v>0</v>
      </c>
      <c r="V5" s="11">
        <f t="shared" si="3"/>
        <v>0</v>
      </c>
      <c r="W5" s="2">
        <f t="shared" si="4"/>
        <v>60</v>
      </c>
      <c r="X5" s="2">
        <f t="shared" si="5"/>
        <v>10</v>
      </c>
      <c r="Y5" s="2"/>
      <c r="Z5" s="2">
        <v>1</v>
      </c>
      <c r="AA5" s="6"/>
      <c r="AB5" s="1"/>
    </row>
    <row r="6" spans="1:28" ht="47.25" customHeight="1" x14ac:dyDescent="0.25">
      <c r="A6" s="2">
        <v>5</v>
      </c>
      <c r="B6" s="3" t="s">
        <v>7</v>
      </c>
      <c r="C6" s="3" t="s">
        <v>8</v>
      </c>
      <c r="D6" s="4" t="s">
        <v>26</v>
      </c>
      <c r="E6" s="5" t="s">
        <v>27</v>
      </c>
      <c r="F6" s="6"/>
      <c r="G6" s="3">
        <v>4</v>
      </c>
      <c r="H6" s="7">
        <v>2</v>
      </c>
      <c r="I6" s="8">
        <v>2</v>
      </c>
      <c r="J6" s="9"/>
      <c r="K6" s="17"/>
      <c r="L6" s="15"/>
      <c r="M6" s="2"/>
      <c r="N6" s="2"/>
      <c r="O6" s="3">
        <v>0</v>
      </c>
      <c r="P6" s="3">
        <v>0</v>
      </c>
      <c r="Q6" s="2"/>
      <c r="R6" s="2"/>
      <c r="S6" s="12">
        <f t="shared" si="0"/>
        <v>30</v>
      </c>
      <c r="T6" s="13">
        <f t="shared" si="1"/>
        <v>0</v>
      </c>
      <c r="U6" s="10">
        <f t="shared" si="2"/>
        <v>0</v>
      </c>
      <c r="V6" s="11">
        <f t="shared" si="3"/>
        <v>0</v>
      </c>
      <c r="W6" s="2">
        <f t="shared" si="4"/>
        <v>60</v>
      </c>
      <c r="X6" s="2">
        <f t="shared" si="5"/>
        <v>10</v>
      </c>
      <c r="Y6" s="2"/>
      <c r="Z6" s="2">
        <v>1</v>
      </c>
      <c r="AA6" s="6"/>
      <c r="AB6" s="1"/>
    </row>
    <row r="7" spans="1:28" ht="47.25" customHeight="1" x14ac:dyDescent="0.25">
      <c r="A7" s="2">
        <v>6</v>
      </c>
      <c r="B7" s="3" t="s">
        <v>7</v>
      </c>
      <c r="C7" s="3" t="s">
        <v>8</v>
      </c>
      <c r="D7" s="4" t="s">
        <v>141</v>
      </c>
      <c r="E7" s="5" t="s">
        <v>21</v>
      </c>
      <c r="F7" s="6"/>
      <c r="G7" s="3">
        <v>1</v>
      </c>
      <c r="H7" s="7">
        <v>2</v>
      </c>
      <c r="I7" s="8">
        <v>2</v>
      </c>
      <c r="J7" s="9"/>
      <c r="K7" s="17"/>
      <c r="L7" s="15"/>
      <c r="M7" s="2"/>
      <c r="N7" s="2"/>
      <c r="O7" s="3">
        <v>0</v>
      </c>
      <c r="P7" s="3">
        <v>0</v>
      </c>
      <c r="Q7" s="2"/>
      <c r="R7" s="2"/>
      <c r="S7" s="12">
        <f t="shared" si="0"/>
        <v>30</v>
      </c>
      <c r="T7" s="13">
        <f t="shared" si="1"/>
        <v>0</v>
      </c>
      <c r="U7" s="10">
        <f t="shared" si="2"/>
        <v>0</v>
      </c>
      <c r="V7" s="11">
        <f t="shared" si="3"/>
        <v>0</v>
      </c>
      <c r="W7" s="2">
        <f t="shared" si="4"/>
        <v>60</v>
      </c>
      <c r="X7" s="2">
        <f t="shared" si="5"/>
        <v>10</v>
      </c>
      <c r="Y7" s="2"/>
      <c r="Z7" s="2">
        <v>1</v>
      </c>
      <c r="AA7" s="6"/>
      <c r="AB7" s="1"/>
    </row>
    <row r="8" spans="1:28" ht="47.25" customHeight="1" x14ac:dyDescent="0.25">
      <c r="A8" s="2">
        <v>7</v>
      </c>
      <c r="B8" s="3" t="s">
        <v>7</v>
      </c>
      <c r="C8" s="3" t="s">
        <v>8</v>
      </c>
      <c r="D8" s="4" t="s">
        <v>198</v>
      </c>
      <c r="E8" s="5" t="s">
        <v>131</v>
      </c>
      <c r="F8" s="6"/>
      <c r="G8" s="3">
        <v>1</v>
      </c>
      <c r="H8" s="7">
        <v>3</v>
      </c>
      <c r="I8" s="8">
        <v>3</v>
      </c>
      <c r="J8" s="9"/>
      <c r="K8" s="17"/>
      <c r="L8" s="15"/>
      <c r="M8" s="2"/>
      <c r="N8" s="2"/>
      <c r="O8" s="3">
        <v>0</v>
      </c>
      <c r="P8" s="3">
        <v>0</v>
      </c>
      <c r="Q8" s="2"/>
      <c r="R8" s="2"/>
      <c r="S8" s="12">
        <f t="shared" si="0"/>
        <v>45</v>
      </c>
      <c r="T8" s="13">
        <f t="shared" si="1"/>
        <v>0</v>
      </c>
      <c r="U8" s="10">
        <f t="shared" si="2"/>
        <v>0</v>
      </c>
      <c r="V8" s="11">
        <f t="shared" si="3"/>
        <v>0</v>
      </c>
      <c r="W8" s="2">
        <f t="shared" si="4"/>
        <v>90</v>
      </c>
      <c r="X8" s="2">
        <f t="shared" si="5"/>
        <v>15</v>
      </c>
      <c r="Y8" s="2"/>
      <c r="Z8" s="2">
        <v>1</v>
      </c>
      <c r="AA8" s="6"/>
      <c r="AB8" s="1"/>
    </row>
    <row r="9" spans="1:28" ht="47.25" customHeight="1" x14ac:dyDescent="0.25">
      <c r="A9" s="2">
        <v>8</v>
      </c>
      <c r="B9" s="3" t="s">
        <v>7</v>
      </c>
      <c r="C9" s="3" t="s">
        <v>8</v>
      </c>
      <c r="D9" s="4" t="s">
        <v>199</v>
      </c>
      <c r="E9" s="5" t="s">
        <v>23</v>
      </c>
      <c r="F9" s="6"/>
      <c r="G9" s="3">
        <v>1</v>
      </c>
      <c r="H9" s="7">
        <v>3</v>
      </c>
      <c r="I9" s="8">
        <v>3</v>
      </c>
      <c r="J9" s="9"/>
      <c r="K9" s="17"/>
      <c r="L9" s="15"/>
      <c r="M9" s="2"/>
      <c r="N9" s="2"/>
      <c r="O9" s="3">
        <v>0</v>
      </c>
      <c r="P9" s="3">
        <v>0</v>
      </c>
      <c r="Q9" s="2"/>
      <c r="R9" s="2"/>
      <c r="S9" s="12">
        <f t="shared" si="0"/>
        <v>45</v>
      </c>
      <c r="T9" s="13">
        <f t="shared" si="1"/>
        <v>0</v>
      </c>
      <c r="U9" s="10">
        <f t="shared" si="2"/>
        <v>0</v>
      </c>
      <c r="V9" s="11">
        <f t="shared" si="3"/>
        <v>0</v>
      </c>
      <c r="W9" s="2">
        <f t="shared" si="4"/>
        <v>90</v>
      </c>
      <c r="X9" s="2">
        <f t="shared" si="5"/>
        <v>15</v>
      </c>
      <c r="Y9" s="2"/>
      <c r="Z9" s="2">
        <v>1</v>
      </c>
      <c r="AA9" s="6"/>
      <c r="AB9" s="1"/>
    </row>
    <row r="10" spans="1:28" ht="47.25" customHeight="1" x14ac:dyDescent="0.25">
      <c r="A10" s="2">
        <v>9</v>
      </c>
      <c r="B10" s="3" t="s">
        <v>7</v>
      </c>
      <c r="C10" s="3" t="s">
        <v>8</v>
      </c>
      <c r="D10" s="4" t="s">
        <v>137</v>
      </c>
      <c r="E10" s="5" t="s">
        <v>200</v>
      </c>
      <c r="F10" s="6"/>
      <c r="G10" s="3">
        <v>1</v>
      </c>
      <c r="H10" s="7">
        <v>2</v>
      </c>
      <c r="I10" s="8">
        <v>2</v>
      </c>
      <c r="J10" s="9"/>
      <c r="K10" s="17"/>
      <c r="L10" s="15"/>
      <c r="M10" s="2"/>
      <c r="N10" s="2"/>
      <c r="O10" s="3">
        <v>0</v>
      </c>
      <c r="P10" s="3">
        <v>0</v>
      </c>
      <c r="Q10" s="2"/>
      <c r="R10" s="2"/>
      <c r="S10" s="12">
        <f t="shared" si="0"/>
        <v>30</v>
      </c>
      <c r="T10" s="13">
        <f t="shared" si="1"/>
        <v>0</v>
      </c>
      <c r="U10" s="10">
        <f t="shared" si="2"/>
        <v>0</v>
      </c>
      <c r="V10" s="11">
        <f t="shared" si="3"/>
        <v>0</v>
      </c>
      <c r="W10" s="2">
        <f t="shared" si="4"/>
        <v>60</v>
      </c>
      <c r="X10" s="2">
        <f t="shared" si="5"/>
        <v>10</v>
      </c>
      <c r="Y10" s="2"/>
      <c r="Z10" s="2">
        <v>1</v>
      </c>
      <c r="AA10" s="6"/>
      <c r="AB10" s="1"/>
    </row>
    <row r="11" spans="1:28" ht="47.25" customHeight="1" x14ac:dyDescent="0.25">
      <c r="A11" s="2">
        <v>10</v>
      </c>
      <c r="B11" s="3" t="s">
        <v>7</v>
      </c>
      <c r="C11" s="3" t="s">
        <v>8</v>
      </c>
      <c r="D11" s="4" t="s">
        <v>201</v>
      </c>
      <c r="E11" s="5" t="s">
        <v>202</v>
      </c>
      <c r="F11" s="6"/>
      <c r="G11" s="3">
        <v>2</v>
      </c>
      <c r="H11" s="7">
        <v>2</v>
      </c>
      <c r="I11" s="8">
        <v>2</v>
      </c>
      <c r="J11" s="9"/>
      <c r="K11" s="17"/>
      <c r="L11" s="15"/>
      <c r="M11" s="2"/>
      <c r="N11" s="2"/>
      <c r="O11" s="3">
        <v>0</v>
      </c>
      <c r="P11" s="3">
        <v>2</v>
      </c>
      <c r="Q11" s="2" t="s">
        <v>137</v>
      </c>
      <c r="R11" s="2" t="s">
        <v>124</v>
      </c>
      <c r="S11" s="12">
        <f t="shared" si="0"/>
        <v>30</v>
      </c>
      <c r="T11" s="13">
        <f t="shared" si="1"/>
        <v>0</v>
      </c>
      <c r="U11" s="10">
        <f t="shared" si="2"/>
        <v>0</v>
      </c>
      <c r="V11" s="11">
        <f t="shared" si="3"/>
        <v>0</v>
      </c>
      <c r="W11" s="2">
        <f t="shared" si="4"/>
        <v>60</v>
      </c>
      <c r="X11" s="2">
        <f t="shared" si="5"/>
        <v>10</v>
      </c>
      <c r="Y11" s="2"/>
      <c r="Z11" s="2">
        <v>1</v>
      </c>
      <c r="AA11" s="6"/>
      <c r="AB11" s="1"/>
    </row>
    <row r="12" spans="1:28" ht="47.25" customHeight="1" x14ac:dyDescent="0.25">
      <c r="A12" s="2">
        <v>11</v>
      </c>
      <c r="B12" s="3" t="s">
        <v>7</v>
      </c>
      <c r="C12" s="3" t="s">
        <v>8</v>
      </c>
      <c r="D12" s="4" t="s">
        <v>203</v>
      </c>
      <c r="E12" s="5" t="s">
        <v>31</v>
      </c>
      <c r="F12" s="6"/>
      <c r="G12" s="3">
        <v>1</v>
      </c>
      <c r="H12" s="7">
        <v>3</v>
      </c>
      <c r="I12" s="8">
        <v>3</v>
      </c>
      <c r="J12" s="9"/>
      <c r="K12" s="17"/>
      <c r="L12" s="15"/>
      <c r="M12" s="2"/>
      <c r="N12" s="2"/>
      <c r="O12" s="3">
        <v>0</v>
      </c>
      <c r="P12" s="3">
        <v>0</v>
      </c>
      <c r="Q12" s="2"/>
      <c r="R12" s="2"/>
      <c r="S12" s="12">
        <f t="shared" si="0"/>
        <v>45</v>
      </c>
      <c r="T12" s="13">
        <f t="shared" si="1"/>
        <v>0</v>
      </c>
      <c r="U12" s="10">
        <f t="shared" si="2"/>
        <v>0</v>
      </c>
      <c r="V12" s="11">
        <f t="shared" si="3"/>
        <v>0</v>
      </c>
      <c r="W12" s="2">
        <f t="shared" si="4"/>
        <v>90</v>
      </c>
      <c r="X12" s="2">
        <f t="shared" si="5"/>
        <v>15</v>
      </c>
      <c r="Y12" s="2"/>
      <c r="Z12" s="2">
        <v>1</v>
      </c>
      <c r="AA12" s="6"/>
      <c r="AB12" s="1"/>
    </row>
    <row r="13" spans="1:28" ht="47.25" customHeight="1" x14ac:dyDescent="0.25">
      <c r="A13" s="2">
        <v>12</v>
      </c>
      <c r="B13" s="3" t="s">
        <v>7</v>
      </c>
      <c r="C13" s="3" t="s">
        <v>8</v>
      </c>
      <c r="D13" s="4" t="s">
        <v>204</v>
      </c>
      <c r="E13" s="5" t="s">
        <v>33</v>
      </c>
      <c r="F13" s="6"/>
      <c r="G13" s="3">
        <v>2</v>
      </c>
      <c r="H13" s="7">
        <v>3</v>
      </c>
      <c r="I13" s="8">
        <v>3</v>
      </c>
      <c r="J13" s="9"/>
      <c r="K13" s="17"/>
      <c r="L13" s="15"/>
      <c r="M13" s="2"/>
      <c r="N13" s="2"/>
      <c r="O13" s="3">
        <v>0</v>
      </c>
      <c r="P13" s="3">
        <v>0</v>
      </c>
      <c r="Q13" s="2" t="s">
        <v>203</v>
      </c>
      <c r="R13" s="2" t="s">
        <v>124</v>
      </c>
      <c r="S13" s="12">
        <f t="shared" si="0"/>
        <v>45</v>
      </c>
      <c r="T13" s="13">
        <f t="shared" si="1"/>
        <v>0</v>
      </c>
      <c r="U13" s="10">
        <f t="shared" si="2"/>
        <v>0</v>
      </c>
      <c r="V13" s="11">
        <f t="shared" si="3"/>
        <v>0</v>
      </c>
      <c r="W13" s="2">
        <f t="shared" si="4"/>
        <v>90</v>
      </c>
      <c r="X13" s="2">
        <f t="shared" si="5"/>
        <v>15</v>
      </c>
      <c r="Y13" s="2"/>
      <c r="Z13" s="2">
        <v>1</v>
      </c>
      <c r="AA13" s="6"/>
      <c r="AB13" s="1"/>
    </row>
    <row r="14" spans="1:28" ht="47.25" customHeight="1" x14ac:dyDescent="0.25">
      <c r="A14" s="2">
        <v>13</v>
      </c>
      <c r="B14" s="3" t="s">
        <v>7</v>
      </c>
      <c r="C14" s="3" t="s">
        <v>8</v>
      </c>
      <c r="D14" s="4" t="s">
        <v>205</v>
      </c>
      <c r="E14" s="5" t="s">
        <v>35</v>
      </c>
      <c r="F14" s="6"/>
      <c r="G14" s="3">
        <v>3</v>
      </c>
      <c r="H14" s="7">
        <v>3</v>
      </c>
      <c r="I14" s="8">
        <v>3</v>
      </c>
      <c r="J14" s="9"/>
      <c r="K14" s="17"/>
      <c r="L14" s="15"/>
      <c r="M14" s="2"/>
      <c r="N14" s="2"/>
      <c r="O14" s="3">
        <v>0</v>
      </c>
      <c r="P14" s="3">
        <v>0</v>
      </c>
      <c r="Q14" s="2" t="s">
        <v>204</v>
      </c>
      <c r="R14" s="2" t="s">
        <v>124</v>
      </c>
      <c r="S14" s="12">
        <f t="shared" si="0"/>
        <v>45</v>
      </c>
      <c r="T14" s="13">
        <f t="shared" si="1"/>
        <v>0</v>
      </c>
      <c r="U14" s="10">
        <f t="shared" si="2"/>
        <v>0</v>
      </c>
      <c r="V14" s="11">
        <f t="shared" si="3"/>
        <v>0</v>
      </c>
      <c r="W14" s="2">
        <f t="shared" si="4"/>
        <v>90</v>
      </c>
      <c r="X14" s="2">
        <f t="shared" si="5"/>
        <v>15</v>
      </c>
      <c r="Y14" s="2"/>
      <c r="Z14" s="2">
        <v>1</v>
      </c>
      <c r="AA14" s="6"/>
      <c r="AB14" s="1"/>
    </row>
    <row r="15" spans="1:28" ht="47.25" customHeight="1" x14ac:dyDescent="0.25">
      <c r="A15" s="2">
        <v>14</v>
      </c>
      <c r="B15" s="3" t="s">
        <v>7</v>
      </c>
      <c r="C15" s="3" t="s">
        <v>8</v>
      </c>
      <c r="D15" s="4" t="s">
        <v>16</v>
      </c>
      <c r="E15" s="5" t="s">
        <v>17</v>
      </c>
      <c r="F15" s="6"/>
      <c r="G15" s="3">
        <v>4</v>
      </c>
      <c r="H15" s="7">
        <v>3</v>
      </c>
      <c r="I15" s="8">
        <v>1</v>
      </c>
      <c r="J15" s="9">
        <v>2</v>
      </c>
      <c r="K15" s="17"/>
      <c r="L15" s="15"/>
      <c r="M15" s="2" t="s">
        <v>11</v>
      </c>
      <c r="N15" s="2"/>
      <c r="O15" s="3">
        <v>0</v>
      </c>
      <c r="P15" s="3">
        <v>0</v>
      </c>
      <c r="Q15" s="2"/>
      <c r="R15" s="2"/>
      <c r="S15" s="12">
        <f t="shared" si="0"/>
        <v>15</v>
      </c>
      <c r="T15" s="13">
        <f t="shared" si="1"/>
        <v>60</v>
      </c>
      <c r="U15" s="10">
        <f t="shared" si="2"/>
        <v>0</v>
      </c>
      <c r="V15" s="11">
        <f>IF(L15="",0,IF(M15="T",L15*15*2,IF(M15="N",L15*15*3,"fail")))</f>
        <v>0</v>
      </c>
      <c r="W15" s="2">
        <f t="shared" si="4"/>
        <v>60</v>
      </c>
      <c r="X15" s="2">
        <f t="shared" si="5"/>
        <v>15</v>
      </c>
      <c r="Y15" s="2"/>
      <c r="Z15" s="2">
        <v>0</v>
      </c>
      <c r="AA15" s="6"/>
      <c r="AB15" s="1"/>
    </row>
    <row r="16" spans="1:28" ht="47.25" customHeight="1" x14ac:dyDescent="0.25">
      <c r="A16" s="2">
        <v>15</v>
      </c>
      <c r="B16" s="3" t="s">
        <v>7</v>
      </c>
      <c r="C16" s="3" t="s">
        <v>8</v>
      </c>
      <c r="D16" s="4" t="s">
        <v>18</v>
      </c>
      <c r="E16" s="14" t="s">
        <v>19</v>
      </c>
      <c r="F16" s="6"/>
      <c r="G16" s="3">
        <v>4</v>
      </c>
      <c r="H16" s="7">
        <v>8</v>
      </c>
      <c r="I16" s="8"/>
      <c r="J16" s="9"/>
      <c r="K16" s="17"/>
      <c r="L16" s="15"/>
      <c r="M16" s="2"/>
      <c r="N16" s="2"/>
      <c r="O16" s="3">
        <v>0</v>
      </c>
      <c r="P16" s="3">
        <v>0</v>
      </c>
      <c r="Q16" s="2"/>
      <c r="R16" s="2"/>
      <c r="S16" s="12">
        <f t="shared" si="0"/>
        <v>0</v>
      </c>
      <c r="T16" s="13">
        <f t="shared" si="1"/>
        <v>0</v>
      </c>
      <c r="U16" s="10">
        <f t="shared" si="2"/>
        <v>0</v>
      </c>
      <c r="V16" s="11">
        <f t="shared" ref="V16:V62" si="6">IF(L16="",0,IF(M16="T",L16*15*2,L16*15*3))</f>
        <v>0</v>
      </c>
      <c r="W16" s="2">
        <f t="shared" si="4"/>
        <v>0</v>
      </c>
      <c r="X16" s="2">
        <f t="shared" si="5"/>
        <v>40</v>
      </c>
      <c r="Y16" s="2"/>
      <c r="Z16" s="2">
        <v>0</v>
      </c>
      <c r="AA16" s="6"/>
      <c r="AB16" s="1"/>
    </row>
    <row r="17" spans="1:28" ht="47.25" customHeight="1" x14ac:dyDescent="0.25">
      <c r="A17" s="2">
        <v>16</v>
      </c>
      <c r="B17" s="3" t="s">
        <v>45</v>
      </c>
      <c r="C17" s="3" t="s">
        <v>46</v>
      </c>
      <c r="D17" s="4" t="s">
        <v>206</v>
      </c>
      <c r="E17" s="5" t="s">
        <v>56</v>
      </c>
      <c r="F17" s="6"/>
      <c r="G17" s="3">
        <v>2</v>
      </c>
      <c r="H17" s="7">
        <v>2</v>
      </c>
      <c r="I17" s="8">
        <v>2</v>
      </c>
      <c r="J17" s="9"/>
      <c r="K17" s="17"/>
      <c r="L17" s="15"/>
      <c r="M17" s="2"/>
      <c r="N17" s="2"/>
      <c r="O17" s="3">
        <v>0</v>
      </c>
      <c r="P17" s="3">
        <v>0</v>
      </c>
      <c r="Q17" s="2" t="s">
        <v>9</v>
      </c>
      <c r="R17" s="2" t="s">
        <v>124</v>
      </c>
      <c r="S17" s="12">
        <f t="shared" si="0"/>
        <v>30</v>
      </c>
      <c r="T17" s="13">
        <f t="shared" si="1"/>
        <v>0</v>
      </c>
      <c r="U17" s="10">
        <f t="shared" si="2"/>
        <v>0</v>
      </c>
      <c r="V17" s="11">
        <f t="shared" si="6"/>
        <v>0</v>
      </c>
      <c r="W17" s="2">
        <f t="shared" si="4"/>
        <v>60</v>
      </c>
      <c r="X17" s="2">
        <f t="shared" si="5"/>
        <v>10</v>
      </c>
      <c r="Y17" s="2"/>
      <c r="Z17" s="2">
        <v>1</v>
      </c>
      <c r="AA17" s="6"/>
      <c r="AB17" s="1"/>
    </row>
    <row r="18" spans="1:28" ht="47.25" customHeight="1" x14ac:dyDescent="0.25">
      <c r="A18" s="2">
        <v>17</v>
      </c>
      <c r="B18" s="3" t="s">
        <v>45</v>
      </c>
      <c r="C18" s="3" t="s">
        <v>46</v>
      </c>
      <c r="D18" s="4" t="s">
        <v>207</v>
      </c>
      <c r="E18" s="5" t="s">
        <v>208</v>
      </c>
      <c r="F18" s="6"/>
      <c r="G18" s="3">
        <v>2</v>
      </c>
      <c r="H18" s="7">
        <v>3</v>
      </c>
      <c r="I18" s="8">
        <v>3</v>
      </c>
      <c r="J18" s="9"/>
      <c r="K18" s="17"/>
      <c r="L18" s="15"/>
      <c r="M18" s="2"/>
      <c r="N18" s="2"/>
      <c r="O18" s="3">
        <v>0</v>
      </c>
      <c r="P18" s="3">
        <v>0</v>
      </c>
      <c r="Q18" s="2" t="s">
        <v>140</v>
      </c>
      <c r="R18" s="2" t="s">
        <v>124</v>
      </c>
      <c r="S18" s="12">
        <f t="shared" si="0"/>
        <v>45</v>
      </c>
      <c r="T18" s="13">
        <f t="shared" si="1"/>
        <v>0</v>
      </c>
      <c r="U18" s="10">
        <f t="shared" si="2"/>
        <v>0</v>
      </c>
      <c r="V18" s="11">
        <f t="shared" si="6"/>
        <v>0</v>
      </c>
      <c r="W18" s="2">
        <f t="shared" si="4"/>
        <v>90</v>
      </c>
      <c r="X18" s="2">
        <f t="shared" si="5"/>
        <v>15</v>
      </c>
      <c r="Y18" s="2"/>
      <c r="Z18" s="2">
        <v>1</v>
      </c>
      <c r="AA18" s="6"/>
      <c r="AB18" s="1"/>
    </row>
    <row r="19" spans="1:28" ht="47.25" customHeight="1" x14ac:dyDescent="0.25">
      <c r="A19" s="2">
        <v>18</v>
      </c>
      <c r="B19" s="3" t="s">
        <v>45</v>
      </c>
      <c r="C19" s="3" t="s">
        <v>46</v>
      </c>
      <c r="D19" s="4" t="s">
        <v>209</v>
      </c>
      <c r="E19" s="5" t="s">
        <v>62</v>
      </c>
      <c r="F19" s="6"/>
      <c r="G19" s="3">
        <v>2</v>
      </c>
      <c r="H19" s="7">
        <v>2</v>
      </c>
      <c r="I19" s="8">
        <v>2</v>
      </c>
      <c r="J19" s="9"/>
      <c r="K19" s="17"/>
      <c r="L19" s="15"/>
      <c r="M19" s="2"/>
      <c r="N19" s="2"/>
      <c r="O19" s="3">
        <v>0</v>
      </c>
      <c r="P19" s="3">
        <v>0</v>
      </c>
      <c r="Q19" s="2" t="s">
        <v>140</v>
      </c>
      <c r="R19" s="2" t="s">
        <v>124</v>
      </c>
      <c r="S19" s="12">
        <f t="shared" si="0"/>
        <v>30</v>
      </c>
      <c r="T19" s="13">
        <f t="shared" si="1"/>
        <v>0</v>
      </c>
      <c r="U19" s="10">
        <f t="shared" si="2"/>
        <v>0</v>
      </c>
      <c r="V19" s="11">
        <f t="shared" si="6"/>
        <v>0</v>
      </c>
      <c r="W19" s="2">
        <f t="shared" si="4"/>
        <v>60</v>
      </c>
      <c r="X19" s="2">
        <f t="shared" si="5"/>
        <v>10</v>
      </c>
      <c r="Y19" s="2"/>
      <c r="Z19" s="2">
        <v>1</v>
      </c>
      <c r="AA19" s="6"/>
      <c r="AB19" s="1"/>
    </row>
    <row r="20" spans="1:28" ht="47.25" customHeight="1" x14ac:dyDescent="0.25">
      <c r="A20" s="2">
        <v>19</v>
      </c>
      <c r="B20" s="3" t="s">
        <v>45</v>
      </c>
      <c r="C20" s="3" t="s">
        <v>46</v>
      </c>
      <c r="D20" s="4" t="s">
        <v>210</v>
      </c>
      <c r="E20" s="5" t="s">
        <v>48</v>
      </c>
      <c r="F20" s="6"/>
      <c r="G20" s="3">
        <v>2</v>
      </c>
      <c r="H20" s="7">
        <v>3</v>
      </c>
      <c r="I20" s="8">
        <v>3</v>
      </c>
      <c r="J20" s="9"/>
      <c r="K20" s="17"/>
      <c r="L20" s="15"/>
      <c r="M20" s="2"/>
      <c r="N20" s="2"/>
      <c r="O20" s="3">
        <v>0</v>
      </c>
      <c r="P20" s="3">
        <v>0</v>
      </c>
      <c r="Q20" s="2" t="s">
        <v>9</v>
      </c>
      <c r="R20" s="2" t="s">
        <v>124</v>
      </c>
      <c r="S20" s="12">
        <f t="shared" si="0"/>
        <v>45</v>
      </c>
      <c r="T20" s="13">
        <f t="shared" si="1"/>
        <v>0</v>
      </c>
      <c r="U20" s="10">
        <f t="shared" si="2"/>
        <v>0</v>
      </c>
      <c r="V20" s="11">
        <f t="shared" si="6"/>
        <v>0</v>
      </c>
      <c r="W20" s="2">
        <f t="shared" si="4"/>
        <v>90</v>
      </c>
      <c r="X20" s="2">
        <f t="shared" si="5"/>
        <v>15</v>
      </c>
      <c r="Y20" s="2"/>
      <c r="Z20" s="2">
        <v>1</v>
      </c>
      <c r="AA20" s="6"/>
      <c r="AB20" s="1"/>
    </row>
    <row r="21" spans="1:28" ht="47.25" customHeight="1" x14ac:dyDescent="0.25">
      <c r="A21" s="2">
        <v>20</v>
      </c>
      <c r="B21" s="3" t="s">
        <v>45</v>
      </c>
      <c r="C21" s="3" t="s">
        <v>46</v>
      </c>
      <c r="D21" s="4" t="s">
        <v>211</v>
      </c>
      <c r="E21" s="5" t="s">
        <v>58</v>
      </c>
      <c r="F21" s="6"/>
      <c r="G21" s="3">
        <v>2</v>
      </c>
      <c r="H21" s="7">
        <v>2</v>
      </c>
      <c r="I21" s="8">
        <v>2</v>
      </c>
      <c r="J21" s="9"/>
      <c r="K21" s="17"/>
      <c r="L21" s="15"/>
      <c r="M21" s="2"/>
      <c r="N21" s="2"/>
      <c r="O21" s="3">
        <v>0</v>
      </c>
      <c r="P21" s="3">
        <v>0</v>
      </c>
      <c r="Q21" s="2" t="s">
        <v>140</v>
      </c>
      <c r="R21" s="2" t="s">
        <v>124</v>
      </c>
      <c r="S21" s="12">
        <f t="shared" si="0"/>
        <v>30</v>
      </c>
      <c r="T21" s="13">
        <f t="shared" si="1"/>
        <v>0</v>
      </c>
      <c r="U21" s="10">
        <f t="shared" si="2"/>
        <v>0</v>
      </c>
      <c r="V21" s="11">
        <f t="shared" si="6"/>
        <v>0</v>
      </c>
      <c r="W21" s="2">
        <f t="shared" si="4"/>
        <v>60</v>
      </c>
      <c r="X21" s="2">
        <f t="shared" si="5"/>
        <v>10</v>
      </c>
      <c r="Y21" s="2"/>
      <c r="Z21" s="2">
        <v>1</v>
      </c>
      <c r="AA21" s="6"/>
      <c r="AB21" s="1"/>
    </row>
    <row r="22" spans="1:28" ht="47.25" customHeight="1" x14ac:dyDescent="0.25">
      <c r="A22" s="2">
        <v>21</v>
      </c>
      <c r="B22" s="3" t="s">
        <v>45</v>
      </c>
      <c r="C22" s="3" t="s">
        <v>46</v>
      </c>
      <c r="D22" s="4" t="s">
        <v>212</v>
      </c>
      <c r="E22" s="5" t="s">
        <v>52</v>
      </c>
      <c r="F22" s="6"/>
      <c r="G22" s="3">
        <v>3</v>
      </c>
      <c r="H22" s="7">
        <v>3</v>
      </c>
      <c r="I22" s="8">
        <v>3</v>
      </c>
      <c r="J22" s="9"/>
      <c r="K22" s="17"/>
      <c r="L22" s="15"/>
      <c r="M22" s="2"/>
      <c r="N22" s="2"/>
      <c r="O22" s="3">
        <v>0</v>
      </c>
      <c r="P22" s="3">
        <v>0</v>
      </c>
      <c r="Q22" s="2" t="s">
        <v>207</v>
      </c>
      <c r="R22" s="2" t="s">
        <v>124</v>
      </c>
      <c r="S22" s="12">
        <f t="shared" si="0"/>
        <v>45</v>
      </c>
      <c r="T22" s="13">
        <f t="shared" si="1"/>
        <v>0</v>
      </c>
      <c r="U22" s="10">
        <f t="shared" si="2"/>
        <v>0</v>
      </c>
      <c r="V22" s="11">
        <f t="shared" si="6"/>
        <v>0</v>
      </c>
      <c r="W22" s="2">
        <f t="shared" si="4"/>
        <v>90</v>
      </c>
      <c r="X22" s="2">
        <f t="shared" si="5"/>
        <v>15</v>
      </c>
      <c r="Y22" s="2"/>
      <c r="Z22" s="2">
        <v>1</v>
      </c>
      <c r="AA22" s="6"/>
      <c r="AB22" s="1"/>
    </row>
    <row r="23" spans="1:28" ht="47.25" customHeight="1" x14ac:dyDescent="0.25">
      <c r="A23" s="2">
        <v>22</v>
      </c>
      <c r="B23" s="3" t="s">
        <v>45</v>
      </c>
      <c r="C23" s="3" t="s">
        <v>46</v>
      </c>
      <c r="D23" s="4" t="s">
        <v>213</v>
      </c>
      <c r="E23" s="5" t="s">
        <v>139</v>
      </c>
      <c r="F23" s="6"/>
      <c r="G23" s="3">
        <v>1</v>
      </c>
      <c r="H23" s="7">
        <v>1</v>
      </c>
      <c r="I23" s="8">
        <v>1</v>
      </c>
      <c r="J23" s="9"/>
      <c r="K23" s="17"/>
      <c r="L23" s="15"/>
      <c r="M23" s="2"/>
      <c r="N23" s="2"/>
      <c r="O23" s="3">
        <v>0</v>
      </c>
      <c r="P23" s="3">
        <v>0</v>
      </c>
      <c r="Q23" s="2"/>
      <c r="R23" s="2"/>
      <c r="S23" s="12">
        <f t="shared" si="0"/>
        <v>15</v>
      </c>
      <c r="T23" s="13">
        <f t="shared" si="1"/>
        <v>0</v>
      </c>
      <c r="U23" s="10">
        <f t="shared" si="2"/>
        <v>0</v>
      </c>
      <c r="V23" s="11">
        <f t="shared" si="6"/>
        <v>0</v>
      </c>
      <c r="W23" s="2">
        <f t="shared" si="4"/>
        <v>30</v>
      </c>
      <c r="X23" s="2">
        <f t="shared" si="5"/>
        <v>5</v>
      </c>
      <c r="Y23" s="2"/>
      <c r="Z23" s="2">
        <v>1</v>
      </c>
      <c r="AA23" s="6"/>
      <c r="AB23" s="1"/>
    </row>
    <row r="24" spans="1:28" ht="47.25" customHeight="1" x14ac:dyDescent="0.25">
      <c r="A24" s="2">
        <v>23</v>
      </c>
      <c r="B24" s="3" t="s">
        <v>45</v>
      </c>
      <c r="C24" s="3" t="s">
        <v>46</v>
      </c>
      <c r="D24" s="4" t="s">
        <v>143</v>
      </c>
      <c r="E24" s="5" t="s">
        <v>60</v>
      </c>
      <c r="F24" s="6"/>
      <c r="G24" s="3">
        <v>3</v>
      </c>
      <c r="H24" s="7">
        <v>3</v>
      </c>
      <c r="I24" s="8">
        <v>3</v>
      </c>
      <c r="J24" s="9"/>
      <c r="K24" s="17"/>
      <c r="L24" s="15"/>
      <c r="M24" s="2"/>
      <c r="N24" s="2"/>
      <c r="O24" s="3">
        <v>0</v>
      </c>
      <c r="P24" s="3">
        <v>0</v>
      </c>
      <c r="Q24" s="2" t="s">
        <v>207</v>
      </c>
      <c r="R24" s="2" t="s">
        <v>124</v>
      </c>
      <c r="S24" s="12">
        <f t="shared" si="0"/>
        <v>45</v>
      </c>
      <c r="T24" s="13">
        <f t="shared" si="1"/>
        <v>0</v>
      </c>
      <c r="U24" s="10">
        <f t="shared" si="2"/>
        <v>0</v>
      </c>
      <c r="V24" s="11">
        <f t="shared" si="6"/>
        <v>0</v>
      </c>
      <c r="W24" s="2">
        <f t="shared" si="4"/>
        <v>90</v>
      </c>
      <c r="X24" s="2">
        <f t="shared" si="5"/>
        <v>15</v>
      </c>
      <c r="Y24" s="2"/>
      <c r="Z24" s="2">
        <v>1</v>
      </c>
      <c r="AA24" s="6"/>
      <c r="AB24" s="1"/>
    </row>
    <row r="25" spans="1:28" ht="47.25" customHeight="1" x14ac:dyDescent="0.25">
      <c r="A25" s="2">
        <v>24</v>
      </c>
      <c r="B25" s="3" t="s">
        <v>45</v>
      </c>
      <c r="C25" s="3" t="s">
        <v>46</v>
      </c>
      <c r="D25" s="4" t="s">
        <v>214</v>
      </c>
      <c r="E25" s="5" t="s">
        <v>64</v>
      </c>
      <c r="F25" s="6"/>
      <c r="G25" s="3">
        <v>3</v>
      </c>
      <c r="H25" s="7">
        <v>2</v>
      </c>
      <c r="I25" s="8">
        <v>2</v>
      </c>
      <c r="J25" s="9"/>
      <c r="K25" s="17"/>
      <c r="L25" s="15"/>
      <c r="M25" s="2"/>
      <c r="N25" s="2"/>
      <c r="O25" s="3">
        <v>0</v>
      </c>
      <c r="P25" s="3">
        <v>0</v>
      </c>
      <c r="Q25" s="2" t="s">
        <v>207</v>
      </c>
      <c r="R25" s="2" t="s">
        <v>124</v>
      </c>
      <c r="S25" s="12">
        <f t="shared" si="0"/>
        <v>30</v>
      </c>
      <c r="T25" s="13">
        <f t="shared" si="1"/>
        <v>0</v>
      </c>
      <c r="U25" s="10">
        <f t="shared" si="2"/>
        <v>0</v>
      </c>
      <c r="V25" s="11">
        <f t="shared" si="6"/>
        <v>0</v>
      </c>
      <c r="W25" s="2">
        <f t="shared" si="4"/>
        <v>60</v>
      </c>
      <c r="X25" s="2">
        <f t="shared" si="5"/>
        <v>10</v>
      </c>
      <c r="Y25" s="2"/>
      <c r="Z25" s="2">
        <v>1</v>
      </c>
      <c r="AA25" s="6"/>
      <c r="AB25" s="1"/>
    </row>
    <row r="26" spans="1:28" ht="47.25" customHeight="1" x14ac:dyDescent="0.25">
      <c r="A26" s="2">
        <v>25</v>
      </c>
      <c r="B26" s="3" t="s">
        <v>45</v>
      </c>
      <c r="C26" s="3" t="s">
        <v>46</v>
      </c>
      <c r="D26" s="4" t="s">
        <v>146</v>
      </c>
      <c r="E26" s="5" t="s">
        <v>147</v>
      </c>
      <c r="F26" s="6"/>
      <c r="G26" s="3">
        <v>3</v>
      </c>
      <c r="H26" s="7">
        <v>3</v>
      </c>
      <c r="I26" s="8">
        <v>3</v>
      </c>
      <c r="J26" s="9"/>
      <c r="K26" s="17"/>
      <c r="L26" s="15"/>
      <c r="M26" s="2"/>
      <c r="N26" s="2"/>
      <c r="O26" s="3">
        <v>0</v>
      </c>
      <c r="P26" s="3">
        <v>0</v>
      </c>
      <c r="Q26" s="2" t="s">
        <v>207</v>
      </c>
      <c r="R26" s="2" t="s">
        <v>124</v>
      </c>
      <c r="S26" s="12">
        <f t="shared" si="0"/>
        <v>45</v>
      </c>
      <c r="T26" s="13">
        <f t="shared" si="1"/>
        <v>0</v>
      </c>
      <c r="U26" s="10">
        <f t="shared" si="2"/>
        <v>0</v>
      </c>
      <c r="V26" s="11">
        <f t="shared" si="6"/>
        <v>0</v>
      </c>
      <c r="W26" s="2">
        <f t="shared" si="4"/>
        <v>90</v>
      </c>
      <c r="X26" s="2">
        <f t="shared" si="5"/>
        <v>15</v>
      </c>
      <c r="Y26" s="2"/>
      <c r="Z26" s="2">
        <v>1</v>
      </c>
      <c r="AA26" s="6"/>
      <c r="AB26" s="1"/>
    </row>
    <row r="27" spans="1:28" ht="47.25" customHeight="1" x14ac:dyDescent="0.25">
      <c r="A27" s="2">
        <v>26</v>
      </c>
      <c r="B27" s="3" t="s">
        <v>45</v>
      </c>
      <c r="C27" s="3" t="s">
        <v>46</v>
      </c>
      <c r="D27" s="4" t="s">
        <v>148</v>
      </c>
      <c r="E27" s="5" t="s">
        <v>149</v>
      </c>
      <c r="F27" s="6"/>
      <c r="G27" s="3">
        <v>4</v>
      </c>
      <c r="H27" s="7">
        <v>3</v>
      </c>
      <c r="I27" s="8">
        <v>3</v>
      </c>
      <c r="J27" s="9"/>
      <c r="K27" s="17"/>
      <c r="L27" s="15"/>
      <c r="M27" s="2"/>
      <c r="N27" s="2"/>
      <c r="O27" s="3">
        <v>0</v>
      </c>
      <c r="P27" s="3">
        <v>0</v>
      </c>
      <c r="Q27" s="2" t="s">
        <v>205</v>
      </c>
      <c r="R27" s="2" t="s">
        <v>124</v>
      </c>
      <c r="S27" s="12">
        <f t="shared" si="0"/>
        <v>45</v>
      </c>
      <c r="T27" s="13">
        <f t="shared" si="1"/>
        <v>0</v>
      </c>
      <c r="U27" s="10">
        <f t="shared" si="2"/>
        <v>0</v>
      </c>
      <c r="V27" s="11">
        <f t="shared" si="6"/>
        <v>0</v>
      </c>
      <c r="W27" s="2">
        <f t="shared" si="4"/>
        <v>90</v>
      </c>
      <c r="X27" s="2">
        <f t="shared" si="5"/>
        <v>15</v>
      </c>
      <c r="Y27" s="2"/>
      <c r="Z27" s="2">
        <v>1</v>
      </c>
      <c r="AA27" s="6"/>
      <c r="AB27" s="1"/>
    </row>
    <row r="28" spans="1:28" ht="47.25" customHeight="1" x14ac:dyDescent="0.25">
      <c r="A28" s="2">
        <v>27</v>
      </c>
      <c r="B28" s="3" t="s">
        <v>215</v>
      </c>
      <c r="C28" s="3" t="s">
        <v>46</v>
      </c>
      <c r="D28" s="4" t="s">
        <v>116</v>
      </c>
      <c r="E28" s="5" t="s">
        <v>117</v>
      </c>
      <c r="F28" s="6"/>
      <c r="G28" s="3">
        <v>1</v>
      </c>
      <c r="H28" s="7">
        <v>2</v>
      </c>
      <c r="I28" s="8">
        <v>2</v>
      </c>
      <c r="J28" s="9"/>
      <c r="K28" s="17"/>
      <c r="L28" s="15"/>
      <c r="M28" s="2"/>
      <c r="N28" s="2"/>
      <c r="O28" s="3">
        <v>1</v>
      </c>
      <c r="P28" s="3">
        <v>0</v>
      </c>
      <c r="Q28" s="2" t="s">
        <v>140</v>
      </c>
      <c r="R28" s="2" t="s">
        <v>124</v>
      </c>
      <c r="S28" s="12">
        <f t="shared" si="0"/>
        <v>30</v>
      </c>
      <c r="T28" s="13">
        <f t="shared" si="1"/>
        <v>0</v>
      </c>
      <c r="U28" s="10">
        <f t="shared" si="2"/>
        <v>0</v>
      </c>
      <c r="V28" s="11">
        <f t="shared" si="6"/>
        <v>0</v>
      </c>
      <c r="W28" s="2">
        <f t="shared" si="4"/>
        <v>60</v>
      </c>
      <c r="X28" s="2">
        <f t="shared" si="5"/>
        <v>10</v>
      </c>
      <c r="Y28" s="2"/>
      <c r="Z28" s="2">
        <v>1</v>
      </c>
      <c r="AA28" s="6"/>
      <c r="AB28" s="1"/>
    </row>
    <row r="29" spans="1:28" ht="47.25" customHeight="1" x14ac:dyDescent="0.25">
      <c r="A29" s="2">
        <v>28</v>
      </c>
      <c r="B29" s="3" t="s">
        <v>215</v>
      </c>
      <c r="C29" s="3" t="s">
        <v>46</v>
      </c>
      <c r="D29" s="4" t="s">
        <v>216</v>
      </c>
      <c r="E29" s="5" t="s">
        <v>42</v>
      </c>
      <c r="F29" s="6"/>
      <c r="G29" s="3">
        <v>3</v>
      </c>
      <c r="H29" s="7">
        <v>2</v>
      </c>
      <c r="I29" s="8">
        <v>2</v>
      </c>
      <c r="J29" s="9"/>
      <c r="K29" s="17"/>
      <c r="L29" s="15"/>
      <c r="M29" s="2"/>
      <c r="N29" s="2"/>
      <c r="O29" s="3">
        <v>1</v>
      </c>
      <c r="P29" s="3">
        <v>0</v>
      </c>
      <c r="Q29" s="2" t="s">
        <v>209</v>
      </c>
      <c r="R29" s="2" t="s">
        <v>124</v>
      </c>
      <c r="S29" s="12">
        <f t="shared" si="0"/>
        <v>30</v>
      </c>
      <c r="T29" s="13">
        <f t="shared" si="1"/>
        <v>0</v>
      </c>
      <c r="U29" s="10">
        <f t="shared" si="2"/>
        <v>0</v>
      </c>
      <c r="V29" s="11">
        <f t="shared" si="6"/>
        <v>0</v>
      </c>
      <c r="W29" s="2">
        <f t="shared" si="4"/>
        <v>60</v>
      </c>
      <c r="X29" s="2">
        <f t="shared" si="5"/>
        <v>10</v>
      </c>
      <c r="Y29" s="2"/>
      <c r="Z29" s="2">
        <v>1</v>
      </c>
      <c r="AA29" s="6"/>
      <c r="AB29" s="1"/>
    </row>
    <row r="30" spans="1:28" ht="47.25" customHeight="1" x14ac:dyDescent="0.25">
      <c r="A30" s="2">
        <v>29</v>
      </c>
      <c r="B30" s="3" t="s">
        <v>215</v>
      </c>
      <c r="C30" s="3" t="s">
        <v>46</v>
      </c>
      <c r="D30" s="4" t="s">
        <v>217</v>
      </c>
      <c r="E30" s="5" t="s">
        <v>154</v>
      </c>
      <c r="F30" s="6"/>
      <c r="G30" s="3">
        <v>0</v>
      </c>
      <c r="H30" s="7">
        <v>2</v>
      </c>
      <c r="I30" s="8">
        <v>2</v>
      </c>
      <c r="J30" s="9"/>
      <c r="K30" s="17"/>
      <c r="L30" s="15"/>
      <c r="M30" s="2"/>
      <c r="N30" s="2"/>
      <c r="O30" s="3">
        <v>1</v>
      </c>
      <c r="P30" s="3">
        <v>0</v>
      </c>
      <c r="Q30" s="2" t="s">
        <v>201</v>
      </c>
      <c r="R30" s="2" t="s">
        <v>124</v>
      </c>
      <c r="S30" s="12">
        <f t="shared" si="0"/>
        <v>30</v>
      </c>
      <c r="T30" s="13">
        <f t="shared" si="1"/>
        <v>0</v>
      </c>
      <c r="U30" s="10">
        <f t="shared" si="2"/>
        <v>0</v>
      </c>
      <c r="V30" s="11">
        <f t="shared" si="6"/>
        <v>0</v>
      </c>
      <c r="W30" s="2">
        <f t="shared" si="4"/>
        <v>60</v>
      </c>
      <c r="X30" s="2">
        <f t="shared" si="5"/>
        <v>10</v>
      </c>
      <c r="Y30" s="2"/>
      <c r="Z30" s="2">
        <v>1</v>
      </c>
      <c r="AA30" s="6"/>
      <c r="AB30" s="1"/>
    </row>
    <row r="31" spans="1:28" ht="47.25" customHeight="1" x14ac:dyDescent="0.25">
      <c r="A31" s="2">
        <v>30</v>
      </c>
      <c r="B31" s="3" t="s">
        <v>215</v>
      </c>
      <c r="C31" s="3" t="s">
        <v>46</v>
      </c>
      <c r="D31" s="4" t="s">
        <v>218</v>
      </c>
      <c r="E31" s="5" t="s">
        <v>159</v>
      </c>
      <c r="F31" s="6"/>
      <c r="G31" s="3">
        <v>0</v>
      </c>
      <c r="H31" s="7">
        <v>2</v>
      </c>
      <c r="I31" s="8">
        <v>2</v>
      </c>
      <c r="J31" s="9"/>
      <c r="K31" s="17"/>
      <c r="L31" s="15"/>
      <c r="M31" s="2"/>
      <c r="N31" s="2"/>
      <c r="O31" s="3">
        <v>1</v>
      </c>
      <c r="P31" s="3">
        <v>0</v>
      </c>
      <c r="Q31" s="2" t="s">
        <v>212</v>
      </c>
      <c r="R31" s="2" t="s">
        <v>124</v>
      </c>
      <c r="S31" s="12">
        <f t="shared" si="0"/>
        <v>30</v>
      </c>
      <c r="T31" s="13">
        <f t="shared" si="1"/>
        <v>0</v>
      </c>
      <c r="U31" s="10">
        <f t="shared" si="2"/>
        <v>0</v>
      </c>
      <c r="V31" s="11">
        <f t="shared" si="6"/>
        <v>0</v>
      </c>
      <c r="W31" s="2">
        <f t="shared" si="4"/>
        <v>60</v>
      </c>
      <c r="X31" s="2">
        <f t="shared" si="5"/>
        <v>10</v>
      </c>
      <c r="Y31" s="2"/>
      <c r="Z31" s="2">
        <v>1</v>
      </c>
      <c r="AA31" s="6"/>
      <c r="AB31" s="1"/>
    </row>
    <row r="32" spans="1:28" ht="47.25" customHeight="1" x14ac:dyDescent="0.25">
      <c r="A32" s="2">
        <v>31</v>
      </c>
      <c r="B32" s="3" t="s">
        <v>215</v>
      </c>
      <c r="C32" s="3" t="s">
        <v>46</v>
      </c>
      <c r="D32" s="4" t="s">
        <v>160</v>
      </c>
      <c r="E32" s="5" t="s">
        <v>66</v>
      </c>
      <c r="F32" s="6"/>
      <c r="G32" s="3">
        <v>4</v>
      </c>
      <c r="H32" s="7">
        <v>2</v>
      </c>
      <c r="I32" s="8">
        <v>2</v>
      </c>
      <c r="J32" s="9"/>
      <c r="K32" s="17"/>
      <c r="L32" s="15"/>
      <c r="M32" s="2"/>
      <c r="N32" s="2"/>
      <c r="O32" s="3">
        <v>1</v>
      </c>
      <c r="P32" s="3">
        <v>0</v>
      </c>
      <c r="Q32" s="2" t="s">
        <v>199</v>
      </c>
      <c r="R32" s="2" t="s">
        <v>124</v>
      </c>
      <c r="S32" s="12">
        <f t="shared" si="0"/>
        <v>30</v>
      </c>
      <c r="T32" s="13">
        <f t="shared" si="1"/>
        <v>0</v>
      </c>
      <c r="U32" s="10">
        <f t="shared" si="2"/>
        <v>0</v>
      </c>
      <c r="V32" s="11">
        <f t="shared" si="6"/>
        <v>0</v>
      </c>
      <c r="W32" s="2">
        <f t="shared" si="4"/>
        <v>60</v>
      </c>
      <c r="X32" s="2">
        <f t="shared" si="5"/>
        <v>10</v>
      </c>
      <c r="Y32" s="2"/>
      <c r="Z32" s="2">
        <v>1</v>
      </c>
      <c r="AA32" s="6"/>
      <c r="AB32" s="1"/>
    </row>
    <row r="33" spans="1:28" ht="47.25" customHeight="1" x14ac:dyDescent="0.25">
      <c r="A33" s="2">
        <v>32</v>
      </c>
      <c r="B33" s="3" t="s">
        <v>215</v>
      </c>
      <c r="C33" s="3" t="s">
        <v>46</v>
      </c>
      <c r="D33" s="4" t="s">
        <v>156</v>
      </c>
      <c r="E33" s="5" t="s">
        <v>157</v>
      </c>
      <c r="F33" s="6"/>
      <c r="G33" s="3">
        <v>4</v>
      </c>
      <c r="H33" s="7">
        <v>2</v>
      </c>
      <c r="I33" s="8">
        <v>2</v>
      </c>
      <c r="J33" s="9"/>
      <c r="K33" s="17"/>
      <c r="L33" s="15"/>
      <c r="M33" s="2"/>
      <c r="N33" s="2"/>
      <c r="O33" s="3">
        <v>1</v>
      </c>
      <c r="P33" s="3">
        <v>0</v>
      </c>
      <c r="Q33" s="2" t="s">
        <v>141</v>
      </c>
      <c r="R33" s="2" t="s">
        <v>124</v>
      </c>
      <c r="S33" s="12">
        <f t="shared" si="0"/>
        <v>30</v>
      </c>
      <c r="T33" s="13">
        <f t="shared" si="1"/>
        <v>0</v>
      </c>
      <c r="U33" s="10">
        <f t="shared" si="2"/>
        <v>0</v>
      </c>
      <c r="V33" s="11">
        <f t="shared" si="6"/>
        <v>0</v>
      </c>
      <c r="W33" s="2">
        <f t="shared" si="4"/>
        <v>60</v>
      </c>
      <c r="X33" s="2">
        <f t="shared" si="5"/>
        <v>10</v>
      </c>
      <c r="Y33" s="2"/>
      <c r="Z33" s="2">
        <v>1</v>
      </c>
      <c r="AA33" s="6"/>
      <c r="AB33" s="1"/>
    </row>
    <row r="34" spans="1:28" ht="47.25" customHeight="1" x14ac:dyDescent="0.25">
      <c r="A34" s="2">
        <v>33</v>
      </c>
      <c r="B34" s="3" t="s">
        <v>73</v>
      </c>
      <c r="C34" s="3" t="s">
        <v>74</v>
      </c>
      <c r="D34" s="4" t="s">
        <v>162</v>
      </c>
      <c r="E34" s="5" t="s">
        <v>163</v>
      </c>
      <c r="F34" s="6"/>
      <c r="G34" s="3">
        <v>4</v>
      </c>
      <c r="H34" s="7">
        <v>2</v>
      </c>
      <c r="I34" s="8">
        <v>2</v>
      </c>
      <c r="J34" s="9"/>
      <c r="K34" s="17"/>
      <c r="L34" s="15"/>
      <c r="M34" s="2"/>
      <c r="N34" s="2"/>
      <c r="O34" s="3">
        <v>0</v>
      </c>
      <c r="P34" s="3">
        <v>0</v>
      </c>
      <c r="Q34" s="2" t="s">
        <v>219</v>
      </c>
      <c r="R34" s="2" t="s">
        <v>124</v>
      </c>
      <c r="S34" s="12">
        <f t="shared" si="0"/>
        <v>30</v>
      </c>
      <c r="T34" s="13">
        <f t="shared" si="1"/>
        <v>0</v>
      </c>
      <c r="U34" s="10">
        <f t="shared" si="2"/>
        <v>0</v>
      </c>
      <c r="V34" s="11">
        <f t="shared" si="6"/>
        <v>0</v>
      </c>
      <c r="W34" s="2">
        <f t="shared" si="4"/>
        <v>60</v>
      </c>
      <c r="X34" s="2">
        <f t="shared" si="5"/>
        <v>10</v>
      </c>
      <c r="Y34" s="2"/>
      <c r="Z34" s="2">
        <v>1</v>
      </c>
      <c r="AA34" s="6"/>
      <c r="AB34" s="1"/>
    </row>
    <row r="35" spans="1:28" ht="47.25" customHeight="1" x14ac:dyDescent="0.25">
      <c r="A35" s="2">
        <v>34</v>
      </c>
      <c r="B35" s="3" t="s">
        <v>73</v>
      </c>
      <c r="C35" s="3" t="s">
        <v>74</v>
      </c>
      <c r="D35" s="4" t="s">
        <v>165</v>
      </c>
      <c r="E35" s="5" t="s">
        <v>78</v>
      </c>
      <c r="F35" s="6"/>
      <c r="G35" s="3">
        <v>4</v>
      </c>
      <c r="H35" s="7">
        <v>3</v>
      </c>
      <c r="I35" s="8">
        <v>3</v>
      </c>
      <c r="J35" s="9"/>
      <c r="K35" s="17"/>
      <c r="L35" s="15"/>
      <c r="M35" s="2"/>
      <c r="N35" s="2"/>
      <c r="O35" s="3">
        <v>0</v>
      </c>
      <c r="P35" s="3">
        <v>0</v>
      </c>
      <c r="Q35" s="2" t="s">
        <v>146</v>
      </c>
      <c r="R35" s="2" t="s">
        <v>124</v>
      </c>
      <c r="S35" s="12">
        <f t="shared" si="0"/>
        <v>45</v>
      </c>
      <c r="T35" s="13">
        <f t="shared" si="1"/>
        <v>0</v>
      </c>
      <c r="U35" s="10">
        <f t="shared" si="2"/>
        <v>0</v>
      </c>
      <c r="V35" s="11">
        <f t="shared" si="6"/>
        <v>0</v>
      </c>
      <c r="W35" s="2">
        <f t="shared" si="4"/>
        <v>90</v>
      </c>
      <c r="X35" s="2">
        <f t="shared" si="5"/>
        <v>15</v>
      </c>
      <c r="Y35" s="2"/>
      <c r="Z35" s="2">
        <v>1</v>
      </c>
      <c r="AA35" s="6"/>
      <c r="AB35" s="1"/>
    </row>
    <row r="36" spans="1:28" ht="47.25" customHeight="1" x14ac:dyDescent="0.25">
      <c r="A36" s="2">
        <v>35</v>
      </c>
      <c r="B36" s="3" t="s">
        <v>73</v>
      </c>
      <c r="C36" s="3" t="s">
        <v>74</v>
      </c>
      <c r="D36" s="4" t="s">
        <v>167</v>
      </c>
      <c r="E36" s="5" t="s">
        <v>86</v>
      </c>
      <c r="F36" s="6"/>
      <c r="G36" s="3">
        <v>4</v>
      </c>
      <c r="H36" s="7">
        <v>3</v>
      </c>
      <c r="I36" s="8">
        <v>3</v>
      </c>
      <c r="J36" s="9"/>
      <c r="K36" s="17"/>
      <c r="L36" s="15"/>
      <c r="M36" s="2"/>
      <c r="N36" s="2"/>
      <c r="O36" s="3">
        <v>0</v>
      </c>
      <c r="P36" s="3">
        <v>0</v>
      </c>
      <c r="Q36" s="2" t="s">
        <v>219</v>
      </c>
      <c r="R36" s="2" t="s">
        <v>124</v>
      </c>
      <c r="S36" s="12">
        <f t="shared" si="0"/>
        <v>45</v>
      </c>
      <c r="T36" s="13">
        <f t="shared" si="1"/>
        <v>0</v>
      </c>
      <c r="U36" s="10">
        <f t="shared" si="2"/>
        <v>0</v>
      </c>
      <c r="V36" s="11">
        <f t="shared" si="6"/>
        <v>0</v>
      </c>
      <c r="W36" s="2">
        <f t="shared" si="4"/>
        <v>90</v>
      </c>
      <c r="X36" s="2">
        <f t="shared" si="5"/>
        <v>15</v>
      </c>
      <c r="Y36" s="2"/>
      <c r="Z36" s="2">
        <v>1</v>
      </c>
      <c r="AA36" s="6"/>
      <c r="AB36" s="1"/>
    </row>
    <row r="37" spans="1:28" ht="47.25" customHeight="1" x14ac:dyDescent="0.25">
      <c r="A37" s="2">
        <v>36</v>
      </c>
      <c r="B37" s="3" t="s">
        <v>73</v>
      </c>
      <c r="C37" s="3" t="s">
        <v>74</v>
      </c>
      <c r="D37" s="4" t="s">
        <v>168</v>
      </c>
      <c r="E37" s="5" t="s">
        <v>169</v>
      </c>
      <c r="F37" s="6"/>
      <c r="G37" s="3">
        <v>4</v>
      </c>
      <c r="H37" s="7">
        <v>2</v>
      </c>
      <c r="I37" s="8">
        <v>2</v>
      </c>
      <c r="J37" s="9"/>
      <c r="K37" s="17"/>
      <c r="L37" s="15"/>
      <c r="M37" s="2"/>
      <c r="N37" s="2"/>
      <c r="O37" s="3">
        <v>0</v>
      </c>
      <c r="P37" s="3">
        <v>0</v>
      </c>
      <c r="Q37" s="2" t="s">
        <v>219</v>
      </c>
      <c r="R37" s="2" t="s">
        <v>124</v>
      </c>
      <c r="S37" s="12">
        <f t="shared" si="0"/>
        <v>30</v>
      </c>
      <c r="T37" s="13">
        <f t="shared" si="1"/>
        <v>0</v>
      </c>
      <c r="U37" s="10">
        <f t="shared" si="2"/>
        <v>0</v>
      </c>
      <c r="V37" s="11">
        <f t="shared" si="6"/>
        <v>0</v>
      </c>
      <c r="W37" s="2">
        <f t="shared" si="4"/>
        <v>60</v>
      </c>
      <c r="X37" s="2">
        <f t="shared" si="5"/>
        <v>10</v>
      </c>
      <c r="Y37" s="2"/>
      <c r="Z37" s="2">
        <v>1</v>
      </c>
      <c r="AA37" s="6"/>
      <c r="AB37" s="1"/>
    </row>
    <row r="38" spans="1:28" ht="47.25" customHeight="1" x14ac:dyDescent="0.25">
      <c r="A38" s="2">
        <v>37</v>
      </c>
      <c r="B38" s="3" t="s">
        <v>73</v>
      </c>
      <c r="C38" s="3" t="s">
        <v>74</v>
      </c>
      <c r="D38" s="4" t="s">
        <v>87</v>
      </c>
      <c r="E38" s="5" t="s">
        <v>88</v>
      </c>
      <c r="F38" s="6"/>
      <c r="G38" s="3">
        <v>4</v>
      </c>
      <c r="H38" s="7">
        <v>3</v>
      </c>
      <c r="I38" s="8">
        <v>3</v>
      </c>
      <c r="J38" s="9"/>
      <c r="K38" s="17"/>
      <c r="L38" s="15"/>
      <c r="M38" s="2"/>
      <c r="N38" s="2"/>
      <c r="O38" s="3">
        <v>0</v>
      </c>
      <c r="P38" s="3">
        <v>0</v>
      </c>
      <c r="Q38" s="2" t="s">
        <v>167</v>
      </c>
      <c r="R38" s="2" t="s">
        <v>124</v>
      </c>
      <c r="S38" s="12">
        <f t="shared" si="0"/>
        <v>45</v>
      </c>
      <c r="T38" s="13">
        <f t="shared" si="1"/>
        <v>0</v>
      </c>
      <c r="U38" s="10">
        <f t="shared" si="2"/>
        <v>0</v>
      </c>
      <c r="V38" s="11">
        <f t="shared" si="6"/>
        <v>0</v>
      </c>
      <c r="W38" s="2">
        <f t="shared" si="4"/>
        <v>90</v>
      </c>
      <c r="X38" s="2">
        <f t="shared" si="5"/>
        <v>15</v>
      </c>
      <c r="Y38" s="2"/>
      <c r="Z38" s="2">
        <v>1</v>
      </c>
      <c r="AA38" s="6"/>
      <c r="AB38" s="1"/>
    </row>
    <row r="39" spans="1:28" ht="47.25" customHeight="1" x14ac:dyDescent="0.25">
      <c r="A39" s="2">
        <v>38</v>
      </c>
      <c r="B39" s="3" t="s">
        <v>73</v>
      </c>
      <c r="C39" s="3" t="s">
        <v>74</v>
      </c>
      <c r="D39" s="4" t="s">
        <v>97</v>
      </c>
      <c r="E39" s="5" t="s">
        <v>98</v>
      </c>
      <c r="F39" s="6"/>
      <c r="G39" s="3">
        <v>5</v>
      </c>
      <c r="H39" s="7">
        <v>3</v>
      </c>
      <c r="I39" s="8">
        <v>3</v>
      </c>
      <c r="J39" s="9"/>
      <c r="K39" s="17"/>
      <c r="L39" s="15"/>
      <c r="M39" s="2"/>
      <c r="N39" s="2"/>
      <c r="O39" s="3">
        <v>0</v>
      </c>
      <c r="P39" s="3">
        <v>0</v>
      </c>
      <c r="Q39" s="2" t="s">
        <v>87</v>
      </c>
      <c r="R39" s="2" t="s">
        <v>124</v>
      </c>
      <c r="S39" s="12">
        <f t="shared" si="0"/>
        <v>45</v>
      </c>
      <c r="T39" s="13">
        <f t="shared" si="1"/>
        <v>0</v>
      </c>
      <c r="U39" s="10">
        <f t="shared" si="2"/>
        <v>0</v>
      </c>
      <c r="V39" s="11">
        <f t="shared" si="6"/>
        <v>0</v>
      </c>
      <c r="W39" s="2">
        <f t="shared" si="4"/>
        <v>90</v>
      </c>
      <c r="X39" s="2">
        <f t="shared" si="5"/>
        <v>15</v>
      </c>
      <c r="Y39" s="2"/>
      <c r="Z39" s="2">
        <v>1</v>
      </c>
      <c r="AA39" s="6"/>
      <c r="AB39" s="1"/>
    </row>
    <row r="40" spans="1:28" ht="47.25" customHeight="1" x14ac:dyDescent="0.25">
      <c r="A40" s="2">
        <v>39</v>
      </c>
      <c r="B40" s="3" t="s">
        <v>73</v>
      </c>
      <c r="C40" s="3" t="s">
        <v>74</v>
      </c>
      <c r="D40" s="4" t="s">
        <v>89</v>
      </c>
      <c r="E40" s="5" t="s">
        <v>90</v>
      </c>
      <c r="F40" s="6"/>
      <c r="G40" s="3">
        <v>5</v>
      </c>
      <c r="H40" s="7">
        <v>3</v>
      </c>
      <c r="I40" s="8">
        <v>3</v>
      </c>
      <c r="J40" s="9"/>
      <c r="K40" s="17"/>
      <c r="L40" s="15"/>
      <c r="M40" s="2"/>
      <c r="N40" s="2"/>
      <c r="O40" s="3">
        <v>0</v>
      </c>
      <c r="P40" s="3">
        <v>0</v>
      </c>
      <c r="Q40" s="2" t="s">
        <v>87</v>
      </c>
      <c r="R40" s="2" t="s">
        <v>124</v>
      </c>
      <c r="S40" s="12">
        <f t="shared" si="0"/>
        <v>45</v>
      </c>
      <c r="T40" s="13">
        <f t="shared" si="1"/>
        <v>0</v>
      </c>
      <c r="U40" s="10">
        <f t="shared" si="2"/>
        <v>0</v>
      </c>
      <c r="V40" s="11">
        <f t="shared" si="6"/>
        <v>0</v>
      </c>
      <c r="W40" s="2">
        <f t="shared" si="4"/>
        <v>90</v>
      </c>
      <c r="X40" s="2">
        <f t="shared" si="5"/>
        <v>15</v>
      </c>
      <c r="Y40" s="2"/>
      <c r="Z40" s="2">
        <v>1</v>
      </c>
      <c r="AA40" s="6"/>
      <c r="AB40" s="1"/>
    </row>
    <row r="41" spans="1:28" ht="47.25" customHeight="1" x14ac:dyDescent="0.25">
      <c r="A41" s="2">
        <v>40</v>
      </c>
      <c r="B41" s="3" t="s">
        <v>73</v>
      </c>
      <c r="C41" s="3" t="s">
        <v>74</v>
      </c>
      <c r="D41" s="4" t="s">
        <v>171</v>
      </c>
      <c r="E41" s="5" t="s">
        <v>172</v>
      </c>
      <c r="F41" s="6"/>
      <c r="G41" s="3">
        <v>6</v>
      </c>
      <c r="H41" s="7">
        <v>3</v>
      </c>
      <c r="I41" s="8">
        <v>3</v>
      </c>
      <c r="J41" s="9"/>
      <c r="K41" s="17"/>
      <c r="L41" s="15"/>
      <c r="M41" s="2"/>
      <c r="N41" s="2"/>
      <c r="O41" s="3">
        <v>0</v>
      </c>
      <c r="P41" s="3">
        <v>0</v>
      </c>
      <c r="Q41" s="2" t="s">
        <v>219</v>
      </c>
      <c r="R41" s="2" t="s">
        <v>124</v>
      </c>
      <c r="S41" s="12">
        <f t="shared" si="0"/>
        <v>45</v>
      </c>
      <c r="T41" s="13">
        <f t="shared" si="1"/>
        <v>0</v>
      </c>
      <c r="U41" s="10">
        <f t="shared" si="2"/>
        <v>0</v>
      </c>
      <c r="V41" s="11">
        <f t="shared" si="6"/>
        <v>0</v>
      </c>
      <c r="W41" s="2">
        <f t="shared" si="4"/>
        <v>90</v>
      </c>
      <c r="X41" s="2">
        <f t="shared" si="5"/>
        <v>15</v>
      </c>
      <c r="Y41" s="2"/>
      <c r="Z41" s="2">
        <v>1</v>
      </c>
      <c r="AA41" s="6"/>
      <c r="AB41" s="1"/>
    </row>
    <row r="42" spans="1:28" ht="47.25" customHeight="1" x14ac:dyDescent="0.25">
      <c r="A42" s="2">
        <v>41</v>
      </c>
      <c r="B42" s="3" t="s">
        <v>73</v>
      </c>
      <c r="C42" s="3" t="s">
        <v>74</v>
      </c>
      <c r="D42" s="4" t="s">
        <v>173</v>
      </c>
      <c r="E42" s="5" t="s">
        <v>115</v>
      </c>
      <c r="F42" s="6"/>
      <c r="G42" s="3">
        <v>5</v>
      </c>
      <c r="H42" s="7">
        <v>2</v>
      </c>
      <c r="I42" s="8">
        <v>2</v>
      </c>
      <c r="J42" s="9"/>
      <c r="K42" s="17"/>
      <c r="L42" s="15"/>
      <c r="M42" s="2"/>
      <c r="N42" s="2"/>
      <c r="O42" s="3">
        <v>0</v>
      </c>
      <c r="P42" s="3">
        <v>0</v>
      </c>
      <c r="Q42" s="2" t="s">
        <v>165</v>
      </c>
      <c r="R42" s="2" t="s">
        <v>124</v>
      </c>
      <c r="S42" s="12">
        <f t="shared" si="0"/>
        <v>30</v>
      </c>
      <c r="T42" s="13">
        <f t="shared" si="1"/>
        <v>0</v>
      </c>
      <c r="U42" s="10">
        <f t="shared" si="2"/>
        <v>0</v>
      </c>
      <c r="V42" s="11">
        <f t="shared" si="6"/>
        <v>0</v>
      </c>
      <c r="W42" s="2">
        <f t="shared" si="4"/>
        <v>60</v>
      </c>
      <c r="X42" s="2">
        <f t="shared" si="5"/>
        <v>10</v>
      </c>
      <c r="Y42" s="2"/>
      <c r="Z42" s="2">
        <v>1</v>
      </c>
      <c r="AA42" s="6"/>
      <c r="AB42" s="1"/>
    </row>
    <row r="43" spans="1:28" ht="47.25" customHeight="1" x14ac:dyDescent="0.25">
      <c r="A43" s="2">
        <v>42</v>
      </c>
      <c r="B43" s="3" t="s">
        <v>73</v>
      </c>
      <c r="C43" s="3" t="s">
        <v>74</v>
      </c>
      <c r="D43" s="4" t="s">
        <v>174</v>
      </c>
      <c r="E43" s="5" t="s">
        <v>175</v>
      </c>
      <c r="F43" s="6"/>
      <c r="G43" s="3">
        <v>5</v>
      </c>
      <c r="H43" s="7">
        <v>3</v>
      </c>
      <c r="I43" s="8">
        <v>3</v>
      </c>
      <c r="J43" s="9"/>
      <c r="K43" s="17"/>
      <c r="L43" s="15"/>
      <c r="M43" s="2"/>
      <c r="N43" s="2"/>
      <c r="O43" s="3">
        <v>0</v>
      </c>
      <c r="P43" s="3">
        <v>0</v>
      </c>
      <c r="Q43" s="2" t="s">
        <v>89</v>
      </c>
      <c r="R43" s="2" t="s">
        <v>124</v>
      </c>
      <c r="S43" s="12">
        <f t="shared" si="0"/>
        <v>45</v>
      </c>
      <c r="T43" s="13">
        <f t="shared" si="1"/>
        <v>0</v>
      </c>
      <c r="U43" s="10">
        <f t="shared" si="2"/>
        <v>0</v>
      </c>
      <c r="V43" s="11">
        <f t="shared" si="6"/>
        <v>0</v>
      </c>
      <c r="W43" s="2">
        <f t="shared" si="4"/>
        <v>90</v>
      </c>
      <c r="X43" s="2">
        <f t="shared" si="5"/>
        <v>15</v>
      </c>
      <c r="Y43" s="2"/>
      <c r="Z43" s="2">
        <v>1</v>
      </c>
      <c r="AA43" s="6"/>
      <c r="AB43" s="1"/>
    </row>
    <row r="44" spans="1:28" ht="47.25" customHeight="1" x14ac:dyDescent="0.25">
      <c r="A44" s="2">
        <v>43</v>
      </c>
      <c r="B44" s="3" t="s">
        <v>73</v>
      </c>
      <c r="C44" s="3" t="s">
        <v>74</v>
      </c>
      <c r="D44" s="4" t="s">
        <v>106</v>
      </c>
      <c r="E44" s="5" t="s">
        <v>107</v>
      </c>
      <c r="F44" s="6"/>
      <c r="G44" s="3">
        <v>5</v>
      </c>
      <c r="H44" s="7">
        <v>3</v>
      </c>
      <c r="I44" s="8">
        <v>3</v>
      </c>
      <c r="J44" s="9"/>
      <c r="K44" s="17"/>
      <c r="L44" s="15"/>
      <c r="M44" s="2"/>
      <c r="N44" s="2"/>
      <c r="O44" s="3">
        <v>0</v>
      </c>
      <c r="P44" s="3">
        <v>0</v>
      </c>
      <c r="Q44" s="2" t="s">
        <v>219</v>
      </c>
      <c r="R44" s="2" t="s">
        <v>124</v>
      </c>
      <c r="S44" s="12">
        <f t="shared" si="0"/>
        <v>45</v>
      </c>
      <c r="T44" s="13">
        <f t="shared" si="1"/>
        <v>0</v>
      </c>
      <c r="U44" s="10">
        <f t="shared" si="2"/>
        <v>0</v>
      </c>
      <c r="V44" s="11">
        <f t="shared" si="6"/>
        <v>0</v>
      </c>
      <c r="W44" s="2">
        <f t="shared" si="4"/>
        <v>90</v>
      </c>
      <c r="X44" s="2">
        <f t="shared" si="5"/>
        <v>15</v>
      </c>
      <c r="Y44" s="2"/>
      <c r="Z44" s="2">
        <v>1</v>
      </c>
      <c r="AA44" s="6"/>
      <c r="AB44" s="1"/>
    </row>
    <row r="45" spans="1:28" ht="47.25" customHeight="1" x14ac:dyDescent="0.25">
      <c r="A45" s="2">
        <v>44</v>
      </c>
      <c r="B45" s="3" t="s">
        <v>73</v>
      </c>
      <c r="C45" s="3" t="s">
        <v>74</v>
      </c>
      <c r="D45" s="4" t="s">
        <v>177</v>
      </c>
      <c r="E45" s="5" t="s">
        <v>178</v>
      </c>
      <c r="F45" s="6"/>
      <c r="G45" s="3">
        <v>7</v>
      </c>
      <c r="H45" s="7">
        <v>3</v>
      </c>
      <c r="I45" s="8">
        <v>3</v>
      </c>
      <c r="J45" s="9"/>
      <c r="K45" s="17"/>
      <c r="L45" s="15"/>
      <c r="M45" s="2"/>
      <c r="N45" s="2"/>
      <c r="O45" s="3">
        <v>0</v>
      </c>
      <c r="P45" s="3">
        <v>0</v>
      </c>
      <c r="Q45" s="2" t="s">
        <v>89</v>
      </c>
      <c r="R45" s="2" t="s">
        <v>124</v>
      </c>
      <c r="S45" s="12">
        <f t="shared" si="0"/>
        <v>45</v>
      </c>
      <c r="T45" s="13">
        <f t="shared" si="1"/>
        <v>0</v>
      </c>
      <c r="U45" s="10">
        <f t="shared" si="2"/>
        <v>0</v>
      </c>
      <c r="V45" s="11">
        <f t="shared" si="6"/>
        <v>0</v>
      </c>
      <c r="W45" s="2">
        <f t="shared" si="4"/>
        <v>90</v>
      </c>
      <c r="X45" s="2">
        <f t="shared" si="5"/>
        <v>15</v>
      </c>
      <c r="Y45" s="2"/>
      <c r="Z45" s="2">
        <v>1</v>
      </c>
      <c r="AA45" s="6"/>
      <c r="AB45" s="1"/>
    </row>
    <row r="46" spans="1:28" ht="47.25" customHeight="1" x14ac:dyDescent="0.25">
      <c r="A46" s="2">
        <v>45</v>
      </c>
      <c r="B46" s="3" t="s">
        <v>73</v>
      </c>
      <c r="C46" s="3" t="s">
        <v>74</v>
      </c>
      <c r="D46" s="4" t="s">
        <v>95</v>
      </c>
      <c r="E46" s="5" t="s">
        <v>96</v>
      </c>
      <c r="F46" s="6"/>
      <c r="G46" s="3">
        <v>6</v>
      </c>
      <c r="H46" s="7">
        <v>3</v>
      </c>
      <c r="I46" s="8">
        <v>3</v>
      </c>
      <c r="J46" s="9"/>
      <c r="K46" s="17"/>
      <c r="L46" s="15"/>
      <c r="M46" s="2"/>
      <c r="N46" s="2"/>
      <c r="O46" s="3">
        <v>0</v>
      </c>
      <c r="P46" s="3">
        <v>0</v>
      </c>
      <c r="Q46" s="2" t="s">
        <v>89</v>
      </c>
      <c r="R46" s="2" t="s">
        <v>124</v>
      </c>
      <c r="S46" s="12">
        <f t="shared" si="0"/>
        <v>45</v>
      </c>
      <c r="T46" s="13">
        <f t="shared" si="1"/>
        <v>0</v>
      </c>
      <c r="U46" s="10">
        <f t="shared" si="2"/>
        <v>0</v>
      </c>
      <c r="V46" s="11">
        <f t="shared" si="6"/>
        <v>0</v>
      </c>
      <c r="W46" s="2">
        <f t="shared" si="4"/>
        <v>90</v>
      </c>
      <c r="X46" s="2">
        <f t="shared" si="5"/>
        <v>15</v>
      </c>
      <c r="Y46" s="2"/>
      <c r="Z46" s="2">
        <v>1</v>
      </c>
      <c r="AA46" s="6"/>
      <c r="AB46" s="1"/>
    </row>
    <row r="47" spans="1:28" ht="47.25" customHeight="1" x14ac:dyDescent="0.25">
      <c r="A47" s="2">
        <v>46</v>
      </c>
      <c r="B47" s="3" t="s">
        <v>73</v>
      </c>
      <c r="C47" s="3" t="s">
        <v>74</v>
      </c>
      <c r="D47" s="4" t="s">
        <v>221</v>
      </c>
      <c r="E47" s="5" t="s">
        <v>181</v>
      </c>
      <c r="F47" s="6"/>
      <c r="G47" s="3">
        <v>6</v>
      </c>
      <c r="H47" s="7">
        <v>3</v>
      </c>
      <c r="I47" s="8">
        <v>1</v>
      </c>
      <c r="J47" s="9">
        <v>2</v>
      </c>
      <c r="K47" s="17"/>
      <c r="L47" s="15"/>
      <c r="M47" s="2" t="s">
        <v>11</v>
      </c>
      <c r="N47" s="2"/>
      <c r="O47" s="3">
        <v>0</v>
      </c>
      <c r="P47" s="3">
        <v>0</v>
      </c>
      <c r="Q47" s="2" t="s">
        <v>89</v>
      </c>
      <c r="R47" s="2" t="s">
        <v>124</v>
      </c>
      <c r="S47" s="12">
        <f t="shared" si="0"/>
        <v>15</v>
      </c>
      <c r="T47" s="13">
        <f t="shared" si="1"/>
        <v>60</v>
      </c>
      <c r="U47" s="10">
        <f t="shared" si="2"/>
        <v>0</v>
      </c>
      <c r="V47" s="11">
        <f t="shared" si="6"/>
        <v>0</v>
      </c>
      <c r="W47" s="2">
        <f t="shared" si="4"/>
        <v>60</v>
      </c>
      <c r="X47" s="2">
        <f t="shared" si="5"/>
        <v>15</v>
      </c>
      <c r="Y47" s="2"/>
      <c r="Z47" s="2">
        <v>1</v>
      </c>
      <c r="AA47" s="6"/>
      <c r="AB47" s="1"/>
    </row>
    <row r="48" spans="1:28" ht="47.25" customHeight="1" x14ac:dyDescent="0.25">
      <c r="A48" s="2">
        <v>47</v>
      </c>
      <c r="B48" s="3" t="s">
        <v>73</v>
      </c>
      <c r="C48" s="3" t="s">
        <v>74</v>
      </c>
      <c r="D48" s="4" t="s">
        <v>180</v>
      </c>
      <c r="E48" s="5" t="s">
        <v>182</v>
      </c>
      <c r="F48" s="6"/>
      <c r="G48" s="3">
        <v>6</v>
      </c>
      <c r="H48" s="7">
        <v>2</v>
      </c>
      <c r="I48" s="8">
        <v>2</v>
      </c>
      <c r="J48" s="9"/>
      <c r="K48" s="17"/>
      <c r="L48" s="15"/>
      <c r="M48" s="2"/>
      <c r="N48" s="2"/>
      <c r="O48" s="3">
        <v>0</v>
      </c>
      <c r="P48" s="3">
        <v>0</v>
      </c>
      <c r="Q48" s="2" t="s">
        <v>165</v>
      </c>
      <c r="R48" s="2" t="s">
        <v>124</v>
      </c>
      <c r="S48" s="12">
        <f t="shared" si="0"/>
        <v>30</v>
      </c>
      <c r="T48" s="13">
        <f t="shared" si="1"/>
        <v>0</v>
      </c>
      <c r="U48" s="10">
        <f t="shared" si="2"/>
        <v>0</v>
      </c>
      <c r="V48" s="11">
        <f t="shared" si="6"/>
        <v>0</v>
      </c>
      <c r="W48" s="2">
        <f t="shared" si="4"/>
        <v>60</v>
      </c>
      <c r="X48" s="2">
        <f t="shared" si="5"/>
        <v>10</v>
      </c>
      <c r="Y48" s="2"/>
      <c r="Z48" s="2">
        <v>1</v>
      </c>
      <c r="AA48" s="6"/>
      <c r="AB48" s="1"/>
    </row>
    <row r="49" spans="1:28" ht="47.25" customHeight="1" x14ac:dyDescent="0.25">
      <c r="A49" s="2">
        <v>48</v>
      </c>
      <c r="B49" s="3" t="s">
        <v>222</v>
      </c>
      <c r="C49" s="3" t="s">
        <v>74</v>
      </c>
      <c r="D49" s="4" t="s">
        <v>164</v>
      </c>
      <c r="E49" s="5" t="s">
        <v>76</v>
      </c>
      <c r="F49" s="6"/>
      <c r="G49" s="3">
        <v>4</v>
      </c>
      <c r="H49" s="7">
        <v>2</v>
      </c>
      <c r="I49" s="8">
        <v>2</v>
      </c>
      <c r="J49" s="9"/>
      <c r="K49" s="17"/>
      <c r="L49" s="15"/>
      <c r="M49" s="2"/>
      <c r="N49" s="2"/>
      <c r="O49" s="3">
        <v>1</v>
      </c>
      <c r="P49" s="3">
        <v>0</v>
      </c>
      <c r="Q49" s="2" t="s">
        <v>209</v>
      </c>
      <c r="R49" s="2" t="s">
        <v>124</v>
      </c>
      <c r="S49" s="12">
        <f t="shared" si="0"/>
        <v>30</v>
      </c>
      <c r="T49" s="13">
        <f t="shared" si="1"/>
        <v>0</v>
      </c>
      <c r="U49" s="10">
        <f t="shared" si="2"/>
        <v>0</v>
      </c>
      <c r="V49" s="11">
        <f t="shared" si="6"/>
        <v>0</v>
      </c>
      <c r="W49" s="2">
        <f t="shared" si="4"/>
        <v>60</v>
      </c>
      <c r="X49" s="2">
        <f t="shared" si="5"/>
        <v>10</v>
      </c>
      <c r="Y49" s="2"/>
      <c r="Z49" s="2">
        <v>1</v>
      </c>
      <c r="AA49" s="6"/>
      <c r="AB49" s="1"/>
    </row>
    <row r="50" spans="1:28" ht="47.25" customHeight="1" x14ac:dyDescent="0.25">
      <c r="A50" s="2">
        <v>49</v>
      </c>
      <c r="B50" s="3" t="s">
        <v>222</v>
      </c>
      <c r="C50" s="3" t="s">
        <v>74</v>
      </c>
      <c r="D50" s="4" t="s">
        <v>223</v>
      </c>
      <c r="E50" s="5" t="s">
        <v>191</v>
      </c>
      <c r="F50" s="6"/>
      <c r="G50" s="3">
        <v>5</v>
      </c>
      <c r="H50" s="7">
        <v>3</v>
      </c>
      <c r="I50" s="8">
        <v>3</v>
      </c>
      <c r="J50" s="9"/>
      <c r="K50" s="17"/>
      <c r="L50" s="15"/>
      <c r="M50" s="2"/>
      <c r="N50" s="2"/>
      <c r="O50" s="3">
        <v>1</v>
      </c>
      <c r="P50" s="3">
        <v>0</v>
      </c>
      <c r="Q50" s="2" t="s">
        <v>165</v>
      </c>
      <c r="R50" s="2" t="s">
        <v>124</v>
      </c>
      <c r="S50" s="12">
        <f t="shared" si="0"/>
        <v>45</v>
      </c>
      <c r="T50" s="13">
        <f t="shared" si="1"/>
        <v>0</v>
      </c>
      <c r="U50" s="10">
        <f t="shared" si="2"/>
        <v>0</v>
      </c>
      <c r="V50" s="11">
        <f t="shared" si="6"/>
        <v>0</v>
      </c>
      <c r="W50" s="2">
        <f t="shared" si="4"/>
        <v>90</v>
      </c>
      <c r="X50" s="2">
        <f t="shared" si="5"/>
        <v>15</v>
      </c>
      <c r="Y50" s="2"/>
      <c r="Z50" s="2">
        <v>1</v>
      </c>
      <c r="AA50" s="6"/>
      <c r="AB50" s="1"/>
    </row>
    <row r="51" spans="1:28" ht="47.25" customHeight="1" x14ac:dyDescent="0.25">
      <c r="A51" s="2">
        <v>50</v>
      </c>
      <c r="B51" s="3" t="s">
        <v>222</v>
      </c>
      <c r="C51" s="3" t="s">
        <v>74</v>
      </c>
      <c r="D51" s="4" t="s">
        <v>187</v>
      </c>
      <c r="E51" s="5" t="s">
        <v>82</v>
      </c>
      <c r="F51" s="6"/>
      <c r="G51" s="3">
        <v>6</v>
      </c>
      <c r="H51" s="7">
        <v>3</v>
      </c>
      <c r="I51" s="8">
        <v>3</v>
      </c>
      <c r="J51" s="9"/>
      <c r="K51" s="17"/>
      <c r="L51" s="15"/>
      <c r="M51" s="2"/>
      <c r="N51" s="2"/>
      <c r="O51" s="3">
        <v>1</v>
      </c>
      <c r="P51" s="3">
        <v>0</v>
      </c>
      <c r="Q51" s="2" t="s">
        <v>89</v>
      </c>
      <c r="R51" s="2" t="s">
        <v>124</v>
      </c>
      <c r="S51" s="12">
        <f t="shared" si="0"/>
        <v>45</v>
      </c>
      <c r="T51" s="13">
        <f t="shared" si="1"/>
        <v>0</v>
      </c>
      <c r="U51" s="10">
        <f t="shared" si="2"/>
        <v>0</v>
      </c>
      <c r="V51" s="11">
        <f t="shared" si="6"/>
        <v>0</v>
      </c>
      <c r="W51" s="2">
        <f t="shared" si="4"/>
        <v>90</v>
      </c>
      <c r="X51" s="2">
        <f t="shared" si="5"/>
        <v>15</v>
      </c>
      <c r="Y51" s="2"/>
      <c r="Z51" s="2">
        <v>1</v>
      </c>
      <c r="AA51" s="6"/>
      <c r="AB51" s="1"/>
    </row>
    <row r="52" spans="1:28" ht="47.25" customHeight="1" x14ac:dyDescent="0.25">
      <c r="A52" s="2">
        <v>51</v>
      </c>
      <c r="B52" s="3" t="s">
        <v>222</v>
      </c>
      <c r="C52" s="3" t="s">
        <v>74</v>
      </c>
      <c r="D52" s="4" t="s">
        <v>185</v>
      </c>
      <c r="E52" s="5" t="s">
        <v>84</v>
      </c>
      <c r="F52" s="6"/>
      <c r="G52" s="3">
        <v>6</v>
      </c>
      <c r="H52" s="7">
        <v>2</v>
      </c>
      <c r="I52" s="8">
        <v>2</v>
      </c>
      <c r="J52" s="9"/>
      <c r="K52" s="17"/>
      <c r="L52" s="15"/>
      <c r="M52" s="2"/>
      <c r="N52" s="2"/>
      <c r="O52" s="3">
        <v>1</v>
      </c>
      <c r="P52" s="3">
        <v>0</v>
      </c>
      <c r="Q52" s="2" t="s">
        <v>146</v>
      </c>
      <c r="R52" s="2" t="s">
        <v>124</v>
      </c>
      <c r="S52" s="12">
        <f t="shared" si="0"/>
        <v>30</v>
      </c>
      <c r="T52" s="13">
        <f t="shared" si="1"/>
        <v>0</v>
      </c>
      <c r="U52" s="10">
        <f t="shared" si="2"/>
        <v>0</v>
      </c>
      <c r="V52" s="11">
        <f t="shared" si="6"/>
        <v>0</v>
      </c>
      <c r="W52" s="2">
        <f t="shared" si="4"/>
        <v>60</v>
      </c>
      <c r="X52" s="2">
        <f t="shared" si="5"/>
        <v>10</v>
      </c>
      <c r="Y52" s="2"/>
      <c r="Z52" s="2">
        <v>1</v>
      </c>
      <c r="AA52" s="6"/>
      <c r="AB52" s="1"/>
    </row>
    <row r="53" spans="1:28" ht="47.25" customHeight="1" x14ac:dyDescent="0.25">
      <c r="A53" s="2">
        <v>52</v>
      </c>
      <c r="B53" s="3" t="s">
        <v>222</v>
      </c>
      <c r="C53" s="3" t="s">
        <v>74</v>
      </c>
      <c r="D53" s="4" t="s">
        <v>224</v>
      </c>
      <c r="E53" s="5" t="s">
        <v>186</v>
      </c>
      <c r="F53" s="6"/>
      <c r="G53" s="3">
        <v>6</v>
      </c>
      <c r="H53" s="7">
        <v>2</v>
      </c>
      <c r="I53" s="8">
        <v>2</v>
      </c>
      <c r="J53" s="9"/>
      <c r="K53" s="17"/>
      <c r="L53" s="15"/>
      <c r="M53" s="2"/>
      <c r="N53" s="2"/>
      <c r="O53" s="3">
        <v>1</v>
      </c>
      <c r="P53" s="3">
        <v>0</v>
      </c>
      <c r="Q53" s="2" t="s">
        <v>160</v>
      </c>
      <c r="R53" s="2" t="s">
        <v>124</v>
      </c>
      <c r="S53" s="12">
        <f t="shared" si="0"/>
        <v>30</v>
      </c>
      <c r="T53" s="13">
        <f t="shared" si="1"/>
        <v>0</v>
      </c>
      <c r="U53" s="10">
        <f t="shared" si="2"/>
        <v>0</v>
      </c>
      <c r="V53" s="11">
        <f t="shared" si="6"/>
        <v>0</v>
      </c>
      <c r="W53" s="2">
        <f t="shared" si="4"/>
        <v>60</v>
      </c>
      <c r="X53" s="2">
        <f t="shared" si="5"/>
        <v>10</v>
      </c>
      <c r="Y53" s="2"/>
      <c r="Z53" s="2">
        <v>1</v>
      </c>
      <c r="AA53" s="6"/>
      <c r="AB53" s="1"/>
    </row>
    <row r="54" spans="1:28" ht="47.25" customHeight="1" x14ac:dyDescent="0.25">
      <c r="A54" s="2">
        <v>53</v>
      </c>
      <c r="B54" s="3" t="s">
        <v>222</v>
      </c>
      <c r="C54" s="3" t="s">
        <v>74</v>
      </c>
      <c r="D54" s="4" t="s">
        <v>225</v>
      </c>
      <c r="E54" s="5" t="s">
        <v>184</v>
      </c>
      <c r="F54" s="6"/>
      <c r="G54" s="3">
        <v>6</v>
      </c>
      <c r="H54" s="7">
        <v>2</v>
      </c>
      <c r="I54" s="8">
        <v>2</v>
      </c>
      <c r="J54" s="9"/>
      <c r="K54" s="17"/>
      <c r="L54" s="15"/>
      <c r="M54" s="2"/>
      <c r="N54" s="2"/>
      <c r="O54" s="3">
        <v>1</v>
      </c>
      <c r="P54" s="3">
        <v>0</v>
      </c>
      <c r="Q54" s="2" t="s">
        <v>223</v>
      </c>
      <c r="R54" s="2" t="s">
        <v>124</v>
      </c>
      <c r="S54" s="12">
        <f t="shared" si="0"/>
        <v>30</v>
      </c>
      <c r="T54" s="13">
        <f t="shared" si="1"/>
        <v>0</v>
      </c>
      <c r="U54" s="10">
        <f t="shared" si="2"/>
        <v>0</v>
      </c>
      <c r="V54" s="11">
        <f t="shared" si="6"/>
        <v>0</v>
      </c>
      <c r="W54" s="2">
        <f t="shared" si="4"/>
        <v>60</v>
      </c>
      <c r="X54" s="2">
        <f t="shared" si="5"/>
        <v>10</v>
      </c>
      <c r="Y54" s="2"/>
      <c r="Z54" s="2">
        <v>1</v>
      </c>
      <c r="AA54" s="6"/>
      <c r="AB54" s="1"/>
    </row>
    <row r="55" spans="1:28" ht="47.25" customHeight="1" x14ac:dyDescent="0.25">
      <c r="A55" s="2">
        <v>54</v>
      </c>
      <c r="B55" s="3" t="s">
        <v>222</v>
      </c>
      <c r="C55" s="3" t="s">
        <v>74</v>
      </c>
      <c r="D55" s="4" t="s">
        <v>104</v>
      </c>
      <c r="E55" s="5" t="s">
        <v>105</v>
      </c>
      <c r="F55" s="6"/>
      <c r="G55" s="3">
        <v>5</v>
      </c>
      <c r="H55" s="7">
        <v>2</v>
      </c>
      <c r="I55" s="8">
        <v>2</v>
      </c>
      <c r="J55" s="9"/>
      <c r="K55" s="17"/>
      <c r="L55" s="15"/>
      <c r="M55" s="2"/>
      <c r="N55" s="2"/>
      <c r="O55" s="3">
        <v>1</v>
      </c>
      <c r="P55" s="3">
        <v>0</v>
      </c>
      <c r="Q55" s="2" t="s">
        <v>219</v>
      </c>
      <c r="R55" s="2" t="s">
        <v>124</v>
      </c>
      <c r="S55" s="12">
        <f t="shared" si="0"/>
        <v>30</v>
      </c>
      <c r="T55" s="13">
        <f t="shared" si="1"/>
        <v>0</v>
      </c>
      <c r="U55" s="10">
        <f t="shared" si="2"/>
        <v>0</v>
      </c>
      <c r="V55" s="11">
        <f t="shared" si="6"/>
        <v>0</v>
      </c>
      <c r="W55" s="2">
        <f t="shared" si="4"/>
        <v>60</v>
      </c>
      <c r="X55" s="2">
        <f t="shared" si="5"/>
        <v>10</v>
      </c>
      <c r="Y55" s="2"/>
      <c r="Z55" s="2">
        <v>1</v>
      </c>
      <c r="AA55" s="6"/>
      <c r="AB55" s="1"/>
    </row>
    <row r="56" spans="1:28" ht="47.25" customHeight="1" x14ac:dyDescent="0.25">
      <c r="A56" s="2">
        <v>55</v>
      </c>
      <c r="B56" s="3" t="s">
        <v>222</v>
      </c>
      <c r="C56" s="3" t="s">
        <v>74</v>
      </c>
      <c r="D56" s="4" t="s">
        <v>227</v>
      </c>
      <c r="E56" s="5" t="s">
        <v>193</v>
      </c>
      <c r="F56" s="6"/>
      <c r="G56" s="3">
        <v>5</v>
      </c>
      <c r="H56" s="7">
        <v>2</v>
      </c>
      <c r="I56" s="8">
        <v>2</v>
      </c>
      <c r="J56" s="9"/>
      <c r="K56" s="17"/>
      <c r="L56" s="15"/>
      <c r="M56" s="2"/>
      <c r="N56" s="2"/>
      <c r="O56" s="3">
        <v>1</v>
      </c>
      <c r="P56" s="3">
        <v>0</v>
      </c>
      <c r="Q56" s="2" t="s">
        <v>219</v>
      </c>
      <c r="R56" s="2" t="s">
        <v>124</v>
      </c>
      <c r="S56" s="12">
        <f t="shared" si="0"/>
        <v>30</v>
      </c>
      <c r="T56" s="13">
        <f t="shared" si="1"/>
        <v>0</v>
      </c>
      <c r="U56" s="10">
        <f t="shared" si="2"/>
        <v>0</v>
      </c>
      <c r="V56" s="11">
        <f t="shared" si="6"/>
        <v>0</v>
      </c>
      <c r="W56" s="2">
        <f t="shared" si="4"/>
        <v>60</v>
      </c>
      <c r="X56" s="2">
        <f t="shared" si="5"/>
        <v>10</v>
      </c>
      <c r="Y56" s="2"/>
      <c r="Z56" s="2">
        <v>1</v>
      </c>
      <c r="AA56" s="6"/>
      <c r="AB56" s="1"/>
    </row>
    <row r="57" spans="1:28" ht="47.25" customHeight="1" x14ac:dyDescent="0.25">
      <c r="A57" s="2">
        <v>56</v>
      </c>
      <c r="B57" s="3" t="s">
        <v>222</v>
      </c>
      <c r="C57" s="3" t="s">
        <v>74</v>
      </c>
      <c r="D57" s="4" t="s">
        <v>101</v>
      </c>
      <c r="E57" s="5" t="s">
        <v>102</v>
      </c>
      <c r="F57" s="6"/>
      <c r="G57" s="3">
        <v>6</v>
      </c>
      <c r="H57" s="7">
        <v>2</v>
      </c>
      <c r="I57" s="8">
        <v>2</v>
      </c>
      <c r="J57" s="9"/>
      <c r="K57" s="17"/>
      <c r="L57" s="15"/>
      <c r="M57" s="2"/>
      <c r="N57" s="2"/>
      <c r="O57" s="3">
        <v>1</v>
      </c>
      <c r="P57" s="3">
        <v>0</v>
      </c>
      <c r="Q57" s="2" t="s">
        <v>219</v>
      </c>
      <c r="R57" s="2" t="s">
        <v>124</v>
      </c>
      <c r="S57" s="12">
        <f t="shared" si="0"/>
        <v>30</v>
      </c>
      <c r="T57" s="13">
        <f t="shared" si="1"/>
        <v>0</v>
      </c>
      <c r="U57" s="10">
        <f t="shared" si="2"/>
        <v>0</v>
      </c>
      <c r="V57" s="11">
        <f t="shared" si="6"/>
        <v>0</v>
      </c>
      <c r="W57" s="2">
        <f t="shared" si="4"/>
        <v>60</v>
      </c>
      <c r="X57" s="2">
        <f t="shared" si="5"/>
        <v>10</v>
      </c>
      <c r="Y57" s="2"/>
      <c r="Z57" s="2">
        <v>1</v>
      </c>
      <c r="AA57" s="6"/>
      <c r="AB57" s="1"/>
    </row>
    <row r="58" spans="1:28" ht="47.25" customHeight="1" x14ac:dyDescent="0.25">
      <c r="A58" s="2">
        <v>57</v>
      </c>
      <c r="B58" s="3" t="s">
        <v>118</v>
      </c>
      <c r="C58" s="3" t="s">
        <v>228</v>
      </c>
      <c r="D58" s="4" t="s">
        <v>120</v>
      </c>
      <c r="E58" s="5" t="s">
        <v>121</v>
      </c>
      <c r="F58" s="6"/>
      <c r="G58" s="3">
        <v>7</v>
      </c>
      <c r="H58" s="7">
        <v>4</v>
      </c>
      <c r="I58" s="8"/>
      <c r="J58" s="9"/>
      <c r="K58" s="17"/>
      <c r="L58" s="15">
        <v>4</v>
      </c>
      <c r="M58" s="2"/>
      <c r="N58" s="2"/>
      <c r="O58" s="3">
        <v>0</v>
      </c>
      <c r="P58" s="3">
        <v>0</v>
      </c>
      <c r="Q58" s="2" t="s">
        <v>229</v>
      </c>
      <c r="R58" s="2" t="s">
        <v>124</v>
      </c>
      <c r="S58" s="12">
        <f t="shared" si="0"/>
        <v>0</v>
      </c>
      <c r="T58" s="13">
        <f t="shared" si="1"/>
        <v>0</v>
      </c>
      <c r="U58" s="10">
        <f t="shared" si="2"/>
        <v>0</v>
      </c>
      <c r="V58" s="11">
        <f t="shared" si="6"/>
        <v>180</v>
      </c>
      <c r="W58" s="2">
        <f t="shared" si="4"/>
        <v>180</v>
      </c>
      <c r="X58" s="2">
        <f t="shared" si="5"/>
        <v>20</v>
      </c>
      <c r="Y58" s="2"/>
      <c r="Z58" s="2">
        <v>1</v>
      </c>
      <c r="AA58" s="6"/>
      <c r="AB58" s="1"/>
    </row>
    <row r="59" spans="1:28" ht="47.25" customHeight="1" x14ac:dyDescent="0.25">
      <c r="A59" s="2">
        <v>58</v>
      </c>
      <c r="B59" s="3" t="s">
        <v>231</v>
      </c>
      <c r="C59" s="3" t="s">
        <v>119</v>
      </c>
      <c r="D59" s="4" t="s">
        <v>122</v>
      </c>
      <c r="E59" s="5" t="s">
        <v>123</v>
      </c>
      <c r="F59" s="6"/>
      <c r="G59" s="3">
        <v>7</v>
      </c>
      <c r="H59" s="7">
        <v>6</v>
      </c>
      <c r="I59" s="8"/>
      <c r="J59" s="9"/>
      <c r="K59" s="17"/>
      <c r="L59" s="15">
        <v>6</v>
      </c>
      <c r="M59" s="2"/>
      <c r="N59" s="2"/>
      <c r="O59" s="3">
        <v>1</v>
      </c>
      <c r="P59" s="3">
        <v>1</v>
      </c>
      <c r="Q59" s="2" t="s">
        <v>120</v>
      </c>
      <c r="R59" s="2" t="s">
        <v>124</v>
      </c>
      <c r="S59" s="12">
        <f t="shared" si="0"/>
        <v>0</v>
      </c>
      <c r="T59" s="13">
        <f t="shared" si="1"/>
        <v>0</v>
      </c>
      <c r="U59" s="10">
        <f t="shared" si="2"/>
        <v>0</v>
      </c>
      <c r="V59" s="11">
        <f t="shared" si="6"/>
        <v>270</v>
      </c>
      <c r="W59" s="2">
        <f t="shared" si="4"/>
        <v>270</v>
      </c>
      <c r="X59" s="2">
        <f t="shared" si="5"/>
        <v>30</v>
      </c>
      <c r="Y59" s="2"/>
      <c r="Z59" s="2">
        <v>1</v>
      </c>
      <c r="AA59" s="6"/>
      <c r="AB59" s="1"/>
    </row>
    <row r="60" spans="1:28" ht="47.25" customHeight="1" x14ac:dyDescent="0.25">
      <c r="A60" s="2">
        <v>59</v>
      </c>
      <c r="B60" s="3" t="s">
        <v>231</v>
      </c>
      <c r="C60" s="3" t="s">
        <v>119</v>
      </c>
      <c r="D60" s="4" t="s">
        <v>196</v>
      </c>
      <c r="E60" s="5" t="s">
        <v>113</v>
      </c>
      <c r="F60" s="6"/>
      <c r="G60" s="3">
        <v>7</v>
      </c>
      <c r="H60" s="7">
        <v>2</v>
      </c>
      <c r="I60" s="8">
        <v>2</v>
      </c>
      <c r="J60" s="9"/>
      <c r="K60" s="17"/>
      <c r="L60" s="15"/>
      <c r="M60" s="2"/>
      <c r="N60" s="2"/>
      <c r="O60" s="3">
        <v>1</v>
      </c>
      <c r="P60" s="3">
        <v>1</v>
      </c>
      <c r="Q60" s="2" t="s">
        <v>219</v>
      </c>
      <c r="R60" s="2" t="s">
        <v>124</v>
      </c>
      <c r="S60" s="12">
        <f t="shared" si="0"/>
        <v>30</v>
      </c>
      <c r="T60" s="13">
        <f t="shared" si="1"/>
        <v>0</v>
      </c>
      <c r="U60" s="10">
        <f t="shared" si="2"/>
        <v>0</v>
      </c>
      <c r="V60" s="11">
        <f t="shared" si="6"/>
        <v>0</v>
      </c>
      <c r="W60" s="2">
        <f t="shared" si="4"/>
        <v>60</v>
      </c>
      <c r="X60" s="2">
        <f t="shared" si="5"/>
        <v>10</v>
      </c>
      <c r="Y60" s="2"/>
      <c r="Z60" s="2">
        <v>1</v>
      </c>
      <c r="AA60" s="6"/>
      <c r="AB60" s="1"/>
    </row>
    <row r="61" spans="1:28" ht="47.25" customHeight="1" x14ac:dyDescent="0.25">
      <c r="A61" s="2">
        <v>60</v>
      </c>
      <c r="B61" s="3" t="s">
        <v>231</v>
      </c>
      <c r="C61" s="3" t="s">
        <v>119</v>
      </c>
      <c r="D61" s="4" t="s">
        <v>194</v>
      </c>
      <c r="E61" s="5" t="s">
        <v>195</v>
      </c>
      <c r="F61" s="6"/>
      <c r="G61" s="3">
        <v>7</v>
      </c>
      <c r="H61" s="7">
        <v>2</v>
      </c>
      <c r="I61" s="8">
        <v>2</v>
      </c>
      <c r="J61" s="9"/>
      <c r="K61" s="17"/>
      <c r="L61" s="15"/>
      <c r="M61" s="2"/>
      <c r="N61" s="2"/>
      <c r="O61" s="3">
        <v>1</v>
      </c>
      <c r="P61" s="3">
        <v>1</v>
      </c>
      <c r="Q61" s="2" t="s">
        <v>219</v>
      </c>
      <c r="R61" s="2" t="s">
        <v>124</v>
      </c>
      <c r="S61" s="12">
        <f t="shared" si="0"/>
        <v>30</v>
      </c>
      <c r="T61" s="13">
        <f t="shared" si="1"/>
        <v>0</v>
      </c>
      <c r="U61" s="10">
        <f t="shared" si="2"/>
        <v>0</v>
      </c>
      <c r="V61" s="11">
        <f t="shared" si="6"/>
        <v>0</v>
      </c>
      <c r="W61" s="2">
        <f t="shared" si="4"/>
        <v>60</v>
      </c>
      <c r="X61" s="2">
        <f t="shared" si="5"/>
        <v>10</v>
      </c>
      <c r="Y61" s="2"/>
      <c r="Z61" s="2">
        <v>1</v>
      </c>
      <c r="AA61" s="6"/>
      <c r="AB61" s="1"/>
    </row>
    <row r="62" spans="1:28" ht="47.25" customHeight="1" x14ac:dyDescent="0.25">
      <c r="A62" s="2">
        <v>61</v>
      </c>
      <c r="B62" s="3" t="s">
        <v>231</v>
      </c>
      <c r="C62" s="3" t="s">
        <v>119</v>
      </c>
      <c r="D62" s="4" t="s">
        <v>226</v>
      </c>
      <c r="E62" s="5" t="s">
        <v>189</v>
      </c>
      <c r="F62" s="6"/>
      <c r="G62" s="3">
        <v>7</v>
      </c>
      <c r="H62" s="7">
        <v>2</v>
      </c>
      <c r="I62" s="8">
        <v>2</v>
      </c>
      <c r="J62" s="9"/>
      <c r="K62" s="17"/>
      <c r="L62" s="15"/>
      <c r="M62" s="2"/>
      <c r="N62" s="2"/>
      <c r="O62" s="3">
        <v>1</v>
      </c>
      <c r="P62" s="3">
        <v>1</v>
      </c>
      <c r="Q62" s="2" t="s">
        <v>165</v>
      </c>
      <c r="R62" s="2" t="s">
        <v>124</v>
      </c>
      <c r="S62" s="12">
        <f t="shared" si="0"/>
        <v>30</v>
      </c>
      <c r="T62" s="13">
        <f t="shared" si="1"/>
        <v>0</v>
      </c>
      <c r="U62" s="10">
        <f t="shared" si="2"/>
        <v>0</v>
      </c>
      <c r="V62" s="11">
        <f t="shared" si="6"/>
        <v>0</v>
      </c>
      <c r="W62" s="2">
        <f t="shared" si="4"/>
        <v>60</v>
      </c>
      <c r="X62" s="2">
        <f t="shared" si="5"/>
        <v>10</v>
      </c>
      <c r="Y62" s="2"/>
      <c r="Z62" s="2">
        <v>1</v>
      </c>
      <c r="AA62" s="6"/>
      <c r="AB62" s="1"/>
    </row>
  </sheetData>
  <dataValidations count="5">
    <dataValidation type="list" allowBlank="1" showErrorMessage="1" sqref="Y2:Y62" xr:uid="{00000000-0002-0000-0300-000000000000}">
      <formula1>#REF!</formula1>
    </dataValidation>
    <dataValidation type="list" allowBlank="1" showErrorMessage="1" sqref="Z2:Z62" xr:uid="{00000000-0002-0000-0300-000001000000}">
      <formula1>"1,0"</formula1>
    </dataValidation>
    <dataValidation type="list" allowBlank="1" showErrorMessage="1" sqref="R2:R62" xr:uid="{00000000-0002-0000-0300-000002000000}">
      <formula1>"Tiên quyết (c),Học trước (d),Song hành (e)"</formula1>
    </dataValidation>
    <dataValidation type="list" allowBlank="1" showErrorMessage="1" sqref="N2:N62" xr:uid="{00000000-0002-0000-0300-000003000000}">
      <formula1>"Nhóm 1,Nhóm 2,Nhóm 3,Nhóm 4"</formula1>
    </dataValidation>
    <dataValidation type="list" allowBlank="1" showErrorMessage="1" sqref="M2:M62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E68"/>
  <sheetViews>
    <sheetView workbookViewId="0">
      <selection activeCell="A2" sqref="A2:A68"/>
    </sheetView>
  </sheetViews>
  <sheetFormatPr defaultColWidth="14.42578125" defaultRowHeight="15" customHeight="1" x14ac:dyDescent="0.25"/>
  <cols>
    <col min="1" max="1" width="9.28515625" customWidth="1"/>
    <col min="2" max="2" width="16.140625" customWidth="1"/>
    <col min="3" max="3" width="14.7109375" customWidth="1"/>
    <col min="4" max="5" width="25" customWidth="1"/>
    <col min="8" max="8" width="28.85546875" customWidth="1"/>
    <col min="16" max="16" width="30.140625" bestFit="1" customWidth="1"/>
    <col min="17" max="17" width="21.85546875" bestFit="1" customWidth="1"/>
    <col min="30" max="30" width="18.85546875" customWidth="1"/>
  </cols>
  <sheetData>
    <row r="1" spans="1:31" ht="15" customHeight="1" x14ac:dyDescent="0.25">
      <c r="A1" t="s">
        <v>338</v>
      </c>
      <c r="B1" t="s">
        <v>339</v>
      </c>
      <c r="C1" t="s">
        <v>365</v>
      </c>
      <c r="D1" t="s">
        <v>366</v>
      </c>
      <c r="E1" t="s">
        <v>340</v>
      </c>
      <c r="F1" t="s">
        <v>367</v>
      </c>
      <c r="G1" t="s">
        <v>368</v>
      </c>
      <c r="H1" t="s">
        <v>369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349</v>
      </c>
      <c r="P1" t="s">
        <v>350</v>
      </c>
      <c r="Q1" t="s">
        <v>351</v>
      </c>
      <c r="R1" t="s">
        <v>352</v>
      </c>
      <c r="S1" t="s">
        <v>353</v>
      </c>
      <c r="T1" t="s">
        <v>354</v>
      </c>
      <c r="U1" t="s">
        <v>355</v>
      </c>
      <c r="V1" t="s">
        <v>356</v>
      </c>
      <c r="W1" t="s">
        <v>357</v>
      </c>
      <c r="X1" t="s">
        <v>358</v>
      </c>
      <c r="Y1" t="s">
        <v>359</v>
      </c>
      <c r="Z1" t="s">
        <v>360</v>
      </c>
      <c r="AA1" t="s">
        <v>361</v>
      </c>
      <c r="AB1" t="s">
        <v>362</v>
      </c>
      <c r="AC1" t="s">
        <v>363</v>
      </c>
      <c r="AD1" t="s">
        <v>364</v>
      </c>
    </row>
    <row r="2" spans="1:31" ht="31.5" x14ac:dyDescent="0.25">
      <c r="A2" s="2">
        <v>1</v>
      </c>
      <c r="B2" s="3" t="s">
        <v>7</v>
      </c>
      <c r="C2" s="3"/>
      <c r="D2" s="3"/>
      <c r="E2" s="3" t="s">
        <v>8</v>
      </c>
      <c r="F2" s="4"/>
      <c r="G2" s="4" t="s">
        <v>9</v>
      </c>
      <c r="H2" s="5" t="s">
        <v>10</v>
      </c>
      <c r="I2" s="6"/>
      <c r="J2" s="3">
        <v>1</v>
      </c>
      <c r="K2" s="7">
        <v>3</v>
      </c>
      <c r="L2" s="8">
        <v>3</v>
      </c>
      <c r="M2" s="9"/>
      <c r="N2" s="17"/>
      <c r="O2" s="15"/>
      <c r="P2" s="2"/>
      <c r="Q2" s="2"/>
      <c r="R2" s="3">
        <v>0</v>
      </c>
      <c r="S2" s="3">
        <v>0</v>
      </c>
      <c r="T2" s="2"/>
      <c r="U2" s="2"/>
      <c r="V2" s="12">
        <f t="shared" ref="V2:V68" si="0">L2*15</f>
        <v>45</v>
      </c>
      <c r="W2" s="13">
        <f t="shared" ref="W2:W68" si="1">IF(M2="",0,IF(P2="T",M2*15*2,IF(P2="N",M2*15*3,"fail")))</f>
        <v>0</v>
      </c>
      <c r="X2" s="10">
        <f t="shared" ref="X2:X68" si="2">N2*15</f>
        <v>0</v>
      </c>
      <c r="Y2" s="11">
        <f>IF(O2="",0,IF(P2="T",O2*15*2,IF(P2="N",O2*15*3,"fail")))</f>
        <v>0</v>
      </c>
      <c r="Z2" s="2">
        <f t="shared" ref="Z2:Z68" si="3">(L2*2+M2+N2*3+O2*3)*15</f>
        <v>90</v>
      </c>
      <c r="AA2" s="2">
        <f t="shared" ref="AA2:AA68" si="4">K2*5</f>
        <v>15</v>
      </c>
      <c r="AB2" s="2"/>
      <c r="AC2" s="2">
        <v>1</v>
      </c>
      <c r="AD2" s="6"/>
      <c r="AE2" s="1"/>
    </row>
    <row r="3" spans="1:31" ht="31.5" x14ac:dyDescent="0.25">
      <c r="A3" s="2">
        <v>2</v>
      </c>
      <c r="B3" s="3" t="s">
        <v>7</v>
      </c>
      <c r="C3" s="3"/>
      <c r="D3" s="3"/>
      <c r="E3" s="3" t="s">
        <v>8</v>
      </c>
      <c r="F3" s="4"/>
      <c r="G3" s="4" t="s">
        <v>140</v>
      </c>
      <c r="H3" s="5" t="s">
        <v>197</v>
      </c>
      <c r="I3" s="6"/>
      <c r="J3" s="3">
        <v>2</v>
      </c>
      <c r="K3" s="7">
        <v>2</v>
      </c>
      <c r="L3" s="8">
        <v>2</v>
      </c>
      <c r="M3" s="9"/>
      <c r="N3" s="17"/>
      <c r="O3" s="15"/>
      <c r="P3" s="2"/>
      <c r="Q3" s="2"/>
      <c r="R3" s="3">
        <v>0</v>
      </c>
      <c r="S3" s="3">
        <v>0</v>
      </c>
      <c r="T3" s="2" t="s">
        <v>9</v>
      </c>
      <c r="U3" s="2" t="s">
        <v>124</v>
      </c>
      <c r="V3" s="12">
        <f t="shared" si="0"/>
        <v>30</v>
      </c>
      <c r="W3" s="13">
        <f t="shared" si="1"/>
        <v>0</v>
      </c>
      <c r="X3" s="10">
        <f t="shared" si="2"/>
        <v>0</v>
      </c>
      <c r="Y3" s="11">
        <f t="shared" ref="Y3:Y68" si="5">IF(O3="",0,IF(P3="T",O3*15*2,O3*15*3))</f>
        <v>0</v>
      </c>
      <c r="Z3" s="2">
        <f t="shared" si="3"/>
        <v>60</v>
      </c>
      <c r="AA3" s="2">
        <f t="shared" si="4"/>
        <v>10</v>
      </c>
      <c r="AB3" s="2"/>
      <c r="AC3" s="2">
        <v>1</v>
      </c>
      <c r="AD3" s="6"/>
      <c r="AE3" s="1"/>
    </row>
    <row r="4" spans="1:31" ht="31.5" x14ac:dyDescent="0.25">
      <c r="A4" s="2">
        <v>3</v>
      </c>
      <c r="B4" s="3" t="s">
        <v>7</v>
      </c>
      <c r="C4" s="3"/>
      <c r="D4" s="3"/>
      <c r="E4" s="3" t="s">
        <v>8</v>
      </c>
      <c r="F4" s="4"/>
      <c r="G4" s="4" t="s">
        <v>125</v>
      </c>
      <c r="H4" s="5" t="s">
        <v>13</v>
      </c>
      <c r="I4" s="6"/>
      <c r="J4" s="3">
        <v>3</v>
      </c>
      <c r="K4" s="7">
        <v>2</v>
      </c>
      <c r="L4" s="8">
        <v>2</v>
      </c>
      <c r="M4" s="9"/>
      <c r="N4" s="17"/>
      <c r="O4" s="15"/>
      <c r="P4" s="2"/>
      <c r="Q4" s="2"/>
      <c r="R4" s="3">
        <v>0</v>
      </c>
      <c r="S4" s="3">
        <v>0</v>
      </c>
      <c r="T4" s="2" t="s">
        <v>140</v>
      </c>
      <c r="U4" s="2" t="s">
        <v>124</v>
      </c>
      <c r="V4" s="12">
        <f t="shared" si="0"/>
        <v>30</v>
      </c>
      <c r="W4" s="13">
        <f t="shared" si="1"/>
        <v>0</v>
      </c>
      <c r="X4" s="10">
        <f t="shared" si="2"/>
        <v>0</v>
      </c>
      <c r="Y4" s="11">
        <f t="shared" si="5"/>
        <v>0</v>
      </c>
      <c r="Z4" s="2">
        <f t="shared" si="3"/>
        <v>60</v>
      </c>
      <c r="AA4" s="2">
        <f t="shared" si="4"/>
        <v>10</v>
      </c>
      <c r="AB4" s="2"/>
      <c r="AC4" s="2">
        <v>1</v>
      </c>
      <c r="AD4" s="6"/>
      <c r="AE4" s="1"/>
    </row>
    <row r="5" spans="1:31" ht="31.5" x14ac:dyDescent="0.25">
      <c r="A5" s="2">
        <v>4</v>
      </c>
      <c r="B5" s="3" t="s">
        <v>7</v>
      </c>
      <c r="C5" s="3"/>
      <c r="D5" s="3"/>
      <c r="E5" s="3" t="s">
        <v>8</v>
      </c>
      <c r="F5" s="4"/>
      <c r="G5" s="4" t="s">
        <v>126</v>
      </c>
      <c r="H5" s="5" t="s">
        <v>127</v>
      </c>
      <c r="I5" s="6"/>
      <c r="J5" s="3">
        <v>5</v>
      </c>
      <c r="K5" s="7">
        <v>2</v>
      </c>
      <c r="L5" s="8">
        <v>2</v>
      </c>
      <c r="M5" s="9"/>
      <c r="N5" s="17"/>
      <c r="O5" s="15"/>
      <c r="P5" s="2"/>
      <c r="Q5" s="2"/>
      <c r="R5" s="3">
        <v>0</v>
      </c>
      <c r="S5" s="3">
        <v>0</v>
      </c>
      <c r="T5" s="2" t="s">
        <v>125</v>
      </c>
      <c r="U5" s="2" t="s">
        <v>124</v>
      </c>
      <c r="V5" s="12">
        <f t="shared" si="0"/>
        <v>30</v>
      </c>
      <c r="W5" s="13">
        <f t="shared" si="1"/>
        <v>0</v>
      </c>
      <c r="X5" s="10">
        <f t="shared" si="2"/>
        <v>0</v>
      </c>
      <c r="Y5" s="11">
        <f t="shared" si="5"/>
        <v>0</v>
      </c>
      <c r="Z5" s="2">
        <f t="shared" si="3"/>
        <v>60</v>
      </c>
      <c r="AA5" s="2">
        <f t="shared" si="4"/>
        <v>10</v>
      </c>
      <c r="AB5" s="2"/>
      <c r="AC5" s="2">
        <v>1</v>
      </c>
      <c r="AD5" s="6"/>
      <c r="AE5" s="1"/>
    </row>
    <row r="6" spans="1:31" ht="31.5" x14ac:dyDescent="0.25">
      <c r="A6" s="2">
        <v>5</v>
      </c>
      <c r="B6" s="3" t="s">
        <v>7</v>
      </c>
      <c r="C6" s="3"/>
      <c r="D6" s="3"/>
      <c r="E6" s="3" t="s">
        <v>8</v>
      </c>
      <c r="F6" s="4"/>
      <c r="G6" s="4" t="s">
        <v>26</v>
      </c>
      <c r="H6" s="5" t="s">
        <v>27</v>
      </c>
      <c r="I6" s="6"/>
      <c r="J6" s="3">
        <v>4</v>
      </c>
      <c r="K6" s="7">
        <v>2</v>
      </c>
      <c r="L6" s="8">
        <v>2</v>
      </c>
      <c r="M6" s="9"/>
      <c r="N6" s="17"/>
      <c r="O6" s="15"/>
      <c r="P6" s="2"/>
      <c r="Q6" s="2"/>
      <c r="R6" s="3">
        <v>0</v>
      </c>
      <c r="S6" s="3">
        <v>0</v>
      </c>
      <c r="T6" s="2" t="s">
        <v>125</v>
      </c>
      <c r="U6" s="2" t="s">
        <v>124</v>
      </c>
      <c r="V6" s="12">
        <f t="shared" si="0"/>
        <v>30</v>
      </c>
      <c r="W6" s="13">
        <f t="shared" si="1"/>
        <v>0</v>
      </c>
      <c r="X6" s="10">
        <f t="shared" si="2"/>
        <v>0</v>
      </c>
      <c r="Y6" s="11">
        <f t="shared" si="5"/>
        <v>0</v>
      </c>
      <c r="Z6" s="2">
        <f t="shared" si="3"/>
        <v>60</v>
      </c>
      <c r="AA6" s="2">
        <f t="shared" si="4"/>
        <v>10</v>
      </c>
      <c r="AB6" s="2"/>
      <c r="AC6" s="2">
        <v>1</v>
      </c>
      <c r="AD6" s="6"/>
      <c r="AE6" s="1"/>
    </row>
    <row r="7" spans="1:31" ht="31.5" x14ac:dyDescent="0.25">
      <c r="A7" s="2">
        <v>6</v>
      </c>
      <c r="B7" s="3" t="s">
        <v>7</v>
      </c>
      <c r="C7" s="3"/>
      <c r="D7" s="3"/>
      <c r="E7" s="3" t="s">
        <v>8</v>
      </c>
      <c r="F7" s="4"/>
      <c r="G7" s="4" t="s">
        <v>141</v>
      </c>
      <c r="H7" s="5" t="s">
        <v>21</v>
      </c>
      <c r="I7" s="6"/>
      <c r="J7" s="3">
        <v>1</v>
      </c>
      <c r="K7" s="7">
        <v>2</v>
      </c>
      <c r="L7" s="8">
        <v>2</v>
      </c>
      <c r="M7" s="9"/>
      <c r="N7" s="17"/>
      <c r="O7" s="15"/>
      <c r="P7" s="2"/>
      <c r="Q7" s="2"/>
      <c r="R7" s="3">
        <v>0</v>
      </c>
      <c r="S7" s="3">
        <v>0</v>
      </c>
      <c r="T7" s="2"/>
      <c r="U7" s="2"/>
      <c r="V7" s="12">
        <f t="shared" si="0"/>
        <v>30</v>
      </c>
      <c r="W7" s="13">
        <f t="shared" si="1"/>
        <v>0</v>
      </c>
      <c r="X7" s="10">
        <f t="shared" si="2"/>
        <v>0</v>
      </c>
      <c r="Y7" s="11">
        <f t="shared" si="5"/>
        <v>0</v>
      </c>
      <c r="Z7" s="2">
        <f t="shared" si="3"/>
        <v>60</v>
      </c>
      <c r="AA7" s="2">
        <f t="shared" si="4"/>
        <v>10</v>
      </c>
      <c r="AB7" s="2"/>
      <c r="AC7" s="2">
        <v>1</v>
      </c>
      <c r="AD7" s="6"/>
      <c r="AE7" s="1"/>
    </row>
    <row r="8" spans="1:31" ht="31.5" x14ac:dyDescent="0.25">
      <c r="A8" s="2">
        <v>7</v>
      </c>
      <c r="B8" s="3" t="s">
        <v>7</v>
      </c>
      <c r="C8" s="3"/>
      <c r="D8" s="3"/>
      <c r="E8" s="3" t="s">
        <v>8</v>
      </c>
      <c r="F8" s="4"/>
      <c r="G8" s="4" t="s">
        <v>198</v>
      </c>
      <c r="H8" s="5" t="s">
        <v>131</v>
      </c>
      <c r="I8" s="6"/>
      <c r="J8" s="3">
        <v>1</v>
      </c>
      <c r="K8" s="7">
        <v>3</v>
      </c>
      <c r="L8" s="8">
        <v>3</v>
      </c>
      <c r="M8" s="9"/>
      <c r="N8" s="17"/>
      <c r="O8" s="15"/>
      <c r="P8" s="2"/>
      <c r="Q8" s="2"/>
      <c r="R8" s="3">
        <v>0</v>
      </c>
      <c r="S8" s="3">
        <v>0</v>
      </c>
      <c r="T8" s="2"/>
      <c r="U8" s="2"/>
      <c r="V8" s="12">
        <f t="shared" si="0"/>
        <v>45</v>
      </c>
      <c r="W8" s="13">
        <f t="shared" si="1"/>
        <v>0</v>
      </c>
      <c r="X8" s="10">
        <f t="shared" si="2"/>
        <v>0</v>
      </c>
      <c r="Y8" s="11">
        <f t="shared" si="5"/>
        <v>0</v>
      </c>
      <c r="Z8" s="2">
        <f t="shared" si="3"/>
        <v>90</v>
      </c>
      <c r="AA8" s="2">
        <f t="shared" si="4"/>
        <v>15</v>
      </c>
      <c r="AB8" s="2"/>
      <c r="AC8" s="2">
        <v>1</v>
      </c>
      <c r="AD8" s="6"/>
      <c r="AE8" s="1"/>
    </row>
    <row r="9" spans="1:31" ht="31.5" x14ac:dyDescent="0.25">
      <c r="A9" s="2">
        <v>8</v>
      </c>
      <c r="B9" s="3" t="s">
        <v>7</v>
      </c>
      <c r="C9" s="3"/>
      <c r="D9" s="3"/>
      <c r="E9" s="3" t="s">
        <v>8</v>
      </c>
      <c r="F9" s="4"/>
      <c r="G9" s="4" t="s">
        <v>199</v>
      </c>
      <c r="H9" s="5" t="s">
        <v>23</v>
      </c>
      <c r="I9" s="6"/>
      <c r="J9" s="3">
        <v>1</v>
      </c>
      <c r="K9" s="7">
        <v>3</v>
      </c>
      <c r="L9" s="8">
        <v>2</v>
      </c>
      <c r="M9" s="9">
        <v>1</v>
      </c>
      <c r="N9" s="17"/>
      <c r="O9" s="15"/>
      <c r="P9" s="2" t="s">
        <v>11</v>
      </c>
      <c r="Q9" s="2"/>
      <c r="R9" s="3">
        <v>0</v>
      </c>
      <c r="S9" s="3">
        <v>0</v>
      </c>
      <c r="T9" s="2"/>
      <c r="U9" s="2"/>
      <c r="V9" s="12">
        <f t="shared" si="0"/>
        <v>30</v>
      </c>
      <c r="W9" s="13">
        <f t="shared" si="1"/>
        <v>30</v>
      </c>
      <c r="X9" s="10">
        <f t="shared" si="2"/>
        <v>0</v>
      </c>
      <c r="Y9" s="11">
        <f t="shared" si="5"/>
        <v>0</v>
      </c>
      <c r="Z9" s="2">
        <f t="shared" si="3"/>
        <v>75</v>
      </c>
      <c r="AA9" s="2">
        <f t="shared" si="4"/>
        <v>15</v>
      </c>
      <c r="AB9" s="2"/>
      <c r="AC9" s="2">
        <v>1</v>
      </c>
      <c r="AD9" s="6"/>
      <c r="AE9" s="1"/>
    </row>
    <row r="10" spans="1:31" ht="24" customHeight="1" x14ac:dyDescent="0.25">
      <c r="A10" s="2">
        <v>9</v>
      </c>
      <c r="B10" s="3" t="s">
        <v>7</v>
      </c>
      <c r="C10" s="3"/>
      <c r="D10" s="3"/>
      <c r="E10" s="3" t="s">
        <v>233</v>
      </c>
      <c r="F10" s="4"/>
      <c r="G10" s="4" t="s">
        <v>201</v>
      </c>
      <c r="H10" s="5" t="s">
        <v>202</v>
      </c>
      <c r="I10" s="6"/>
      <c r="J10" s="3">
        <v>1</v>
      </c>
      <c r="K10" s="7">
        <v>2</v>
      </c>
      <c r="L10" s="8">
        <v>2</v>
      </c>
      <c r="M10" s="9"/>
      <c r="N10" s="17"/>
      <c r="O10" s="15"/>
      <c r="P10" s="2"/>
      <c r="Q10" s="2"/>
      <c r="R10" s="3">
        <v>1</v>
      </c>
      <c r="S10" s="3">
        <v>1</v>
      </c>
      <c r="T10" s="2"/>
      <c r="U10" s="2"/>
      <c r="V10" s="12">
        <f t="shared" si="0"/>
        <v>30</v>
      </c>
      <c r="W10" s="13">
        <f t="shared" si="1"/>
        <v>0</v>
      </c>
      <c r="X10" s="10">
        <f t="shared" si="2"/>
        <v>0</v>
      </c>
      <c r="Y10" s="11">
        <f t="shared" si="5"/>
        <v>0</v>
      </c>
      <c r="Z10" s="2">
        <f t="shared" si="3"/>
        <v>60</v>
      </c>
      <c r="AA10" s="2">
        <f t="shared" si="4"/>
        <v>10</v>
      </c>
      <c r="AB10" s="2"/>
      <c r="AC10" s="2">
        <v>1</v>
      </c>
      <c r="AD10" s="6"/>
      <c r="AE10" s="1"/>
    </row>
    <row r="11" spans="1:31" ht="31.5" x14ac:dyDescent="0.25">
      <c r="A11" s="2">
        <v>10</v>
      </c>
      <c r="B11" s="3" t="s">
        <v>7</v>
      </c>
      <c r="C11" s="3"/>
      <c r="D11" s="3"/>
      <c r="E11" s="3" t="s">
        <v>8</v>
      </c>
      <c r="F11" s="4"/>
      <c r="G11" s="4" t="s">
        <v>203</v>
      </c>
      <c r="H11" s="5" t="s">
        <v>31</v>
      </c>
      <c r="I11" s="6"/>
      <c r="J11" s="3">
        <v>1</v>
      </c>
      <c r="K11" s="7">
        <v>3</v>
      </c>
      <c r="L11" s="8">
        <v>3</v>
      </c>
      <c r="M11" s="9"/>
      <c r="N11" s="17"/>
      <c r="O11" s="15"/>
      <c r="P11" s="2"/>
      <c r="Q11" s="2"/>
      <c r="R11" s="3">
        <v>0</v>
      </c>
      <c r="S11" s="3">
        <v>0</v>
      </c>
      <c r="T11" s="2"/>
      <c r="U11" s="2"/>
      <c r="V11" s="12">
        <f t="shared" si="0"/>
        <v>45</v>
      </c>
      <c r="W11" s="13">
        <f t="shared" si="1"/>
        <v>0</v>
      </c>
      <c r="X11" s="10">
        <f t="shared" si="2"/>
        <v>0</v>
      </c>
      <c r="Y11" s="11">
        <f t="shared" si="5"/>
        <v>0</v>
      </c>
      <c r="Z11" s="2">
        <f t="shared" si="3"/>
        <v>90</v>
      </c>
      <c r="AA11" s="2">
        <f t="shared" si="4"/>
        <v>15</v>
      </c>
      <c r="AB11" s="2"/>
      <c r="AC11" s="2">
        <v>1</v>
      </c>
      <c r="AD11" s="6"/>
      <c r="AE11" s="1"/>
    </row>
    <row r="12" spans="1:31" ht="31.5" x14ac:dyDescent="0.25">
      <c r="A12" s="2">
        <v>11</v>
      </c>
      <c r="B12" s="3" t="s">
        <v>7</v>
      </c>
      <c r="C12" s="3"/>
      <c r="D12" s="3"/>
      <c r="E12" s="3" t="s">
        <v>8</v>
      </c>
      <c r="F12" s="4"/>
      <c r="G12" s="4" t="s">
        <v>204</v>
      </c>
      <c r="H12" s="5" t="s">
        <v>33</v>
      </c>
      <c r="I12" s="6"/>
      <c r="J12" s="3">
        <v>2</v>
      </c>
      <c r="K12" s="7">
        <v>3</v>
      </c>
      <c r="L12" s="8">
        <v>3</v>
      </c>
      <c r="M12" s="9"/>
      <c r="N12" s="17"/>
      <c r="O12" s="15"/>
      <c r="P12" s="2"/>
      <c r="Q12" s="2"/>
      <c r="R12" s="3">
        <v>0</v>
      </c>
      <c r="S12" s="3">
        <v>0</v>
      </c>
      <c r="T12" s="2" t="s">
        <v>203</v>
      </c>
      <c r="U12" s="2" t="s">
        <v>124</v>
      </c>
      <c r="V12" s="12">
        <f t="shared" si="0"/>
        <v>45</v>
      </c>
      <c r="W12" s="13">
        <f t="shared" si="1"/>
        <v>0</v>
      </c>
      <c r="X12" s="10">
        <f t="shared" si="2"/>
        <v>0</v>
      </c>
      <c r="Y12" s="11">
        <f t="shared" si="5"/>
        <v>0</v>
      </c>
      <c r="Z12" s="2">
        <f t="shared" si="3"/>
        <v>90</v>
      </c>
      <c r="AA12" s="2">
        <f t="shared" si="4"/>
        <v>15</v>
      </c>
      <c r="AB12" s="2"/>
      <c r="AC12" s="2">
        <v>1</v>
      </c>
      <c r="AD12" s="6"/>
      <c r="AE12" s="1"/>
    </row>
    <row r="13" spans="1:31" ht="31.5" x14ac:dyDescent="0.25">
      <c r="A13" s="2">
        <v>12</v>
      </c>
      <c r="B13" s="3" t="s">
        <v>7</v>
      </c>
      <c r="C13" s="3"/>
      <c r="D13" s="3"/>
      <c r="E13" s="3" t="s">
        <v>8</v>
      </c>
      <c r="F13" s="4"/>
      <c r="G13" s="4" t="s">
        <v>205</v>
      </c>
      <c r="H13" s="5" t="s">
        <v>35</v>
      </c>
      <c r="I13" s="6"/>
      <c r="J13" s="3">
        <v>3</v>
      </c>
      <c r="K13" s="7">
        <v>3</v>
      </c>
      <c r="L13" s="8">
        <v>3</v>
      </c>
      <c r="M13" s="9"/>
      <c r="N13" s="17"/>
      <c r="O13" s="15"/>
      <c r="P13" s="2"/>
      <c r="Q13" s="2"/>
      <c r="R13" s="3">
        <v>0</v>
      </c>
      <c r="S13" s="3">
        <v>0</v>
      </c>
      <c r="T13" s="2" t="s">
        <v>204</v>
      </c>
      <c r="U13" s="2" t="s">
        <v>124</v>
      </c>
      <c r="V13" s="12">
        <f t="shared" si="0"/>
        <v>45</v>
      </c>
      <c r="W13" s="13">
        <f t="shared" si="1"/>
        <v>0</v>
      </c>
      <c r="X13" s="10">
        <f t="shared" si="2"/>
        <v>0</v>
      </c>
      <c r="Y13" s="11">
        <f t="shared" si="5"/>
        <v>0</v>
      </c>
      <c r="Z13" s="2">
        <f t="shared" si="3"/>
        <v>90</v>
      </c>
      <c r="AA13" s="2">
        <f t="shared" si="4"/>
        <v>15</v>
      </c>
      <c r="AB13" s="2"/>
      <c r="AC13" s="2">
        <v>1</v>
      </c>
      <c r="AD13" s="6"/>
      <c r="AE13" s="1"/>
    </row>
    <row r="14" spans="1:31" ht="31.5" x14ac:dyDescent="0.25">
      <c r="A14" s="2">
        <v>13</v>
      </c>
      <c r="B14" s="3" t="s">
        <v>7</v>
      </c>
      <c r="C14" s="3"/>
      <c r="D14" s="3"/>
      <c r="E14" s="3" t="s">
        <v>8</v>
      </c>
      <c r="F14" s="4"/>
      <c r="G14" s="4" t="s">
        <v>16</v>
      </c>
      <c r="H14" s="5" t="s">
        <v>17</v>
      </c>
      <c r="I14" s="6"/>
      <c r="J14" s="3">
        <v>2</v>
      </c>
      <c r="K14" s="7">
        <v>3</v>
      </c>
      <c r="L14" s="8">
        <v>1</v>
      </c>
      <c r="M14" s="9">
        <v>2</v>
      </c>
      <c r="N14" s="17"/>
      <c r="O14" s="15"/>
      <c r="P14" s="2" t="s">
        <v>11</v>
      </c>
      <c r="Q14" s="2"/>
      <c r="R14" s="3">
        <v>0</v>
      </c>
      <c r="S14" s="3">
        <v>0</v>
      </c>
      <c r="T14" s="2"/>
      <c r="U14" s="2"/>
      <c r="V14" s="12">
        <f t="shared" si="0"/>
        <v>15</v>
      </c>
      <c r="W14" s="13">
        <f t="shared" si="1"/>
        <v>60</v>
      </c>
      <c r="X14" s="10">
        <f t="shared" si="2"/>
        <v>0</v>
      </c>
      <c r="Y14" s="11">
        <f t="shared" si="5"/>
        <v>0</v>
      </c>
      <c r="Z14" s="2">
        <f t="shared" si="3"/>
        <v>60</v>
      </c>
      <c r="AA14" s="2">
        <f t="shared" si="4"/>
        <v>15</v>
      </c>
      <c r="AB14" s="2"/>
      <c r="AC14" s="2">
        <v>0</v>
      </c>
      <c r="AD14" s="6"/>
      <c r="AE14" s="1"/>
    </row>
    <row r="15" spans="1:31" ht="31.5" x14ac:dyDescent="0.25">
      <c r="A15" s="2">
        <v>14</v>
      </c>
      <c r="B15" s="3" t="s">
        <v>7</v>
      </c>
      <c r="C15" s="3"/>
      <c r="D15" s="3"/>
      <c r="E15" s="3" t="s">
        <v>8</v>
      </c>
      <c r="F15" s="4"/>
      <c r="G15" s="4" t="s">
        <v>18</v>
      </c>
      <c r="H15" s="14" t="s">
        <v>19</v>
      </c>
      <c r="I15" s="6"/>
      <c r="J15" s="3">
        <v>1</v>
      </c>
      <c r="K15" s="7">
        <v>8</v>
      </c>
      <c r="L15" s="8"/>
      <c r="M15" s="9"/>
      <c r="N15" s="17"/>
      <c r="O15" s="15"/>
      <c r="P15" s="2"/>
      <c r="Q15" s="2"/>
      <c r="R15" s="3">
        <v>0</v>
      </c>
      <c r="S15" s="3">
        <v>0</v>
      </c>
      <c r="T15" s="2"/>
      <c r="U15" s="2"/>
      <c r="V15" s="12">
        <f t="shared" si="0"/>
        <v>0</v>
      </c>
      <c r="W15" s="13">
        <f t="shared" si="1"/>
        <v>0</v>
      </c>
      <c r="X15" s="10">
        <f t="shared" si="2"/>
        <v>0</v>
      </c>
      <c r="Y15" s="11">
        <f t="shared" si="5"/>
        <v>0</v>
      </c>
      <c r="Z15" s="2">
        <f t="shared" si="3"/>
        <v>0</v>
      </c>
      <c r="AA15" s="2">
        <f t="shared" si="4"/>
        <v>40</v>
      </c>
      <c r="AB15" s="2"/>
      <c r="AC15" s="2">
        <v>0</v>
      </c>
      <c r="AD15" s="6"/>
      <c r="AE15" s="1"/>
    </row>
    <row r="16" spans="1:31" ht="31.5" x14ac:dyDescent="0.25">
      <c r="A16" s="2">
        <v>15</v>
      </c>
      <c r="B16" s="3" t="s">
        <v>45</v>
      </c>
      <c r="C16" s="3"/>
      <c r="D16" s="3"/>
      <c r="E16" s="3" t="s">
        <v>46</v>
      </c>
      <c r="F16" s="4"/>
      <c r="G16" s="4" t="s">
        <v>213</v>
      </c>
      <c r="H16" s="5" t="s">
        <v>139</v>
      </c>
      <c r="I16" s="6"/>
      <c r="J16" s="3">
        <v>1</v>
      </c>
      <c r="K16" s="7">
        <v>1</v>
      </c>
      <c r="L16" s="8">
        <v>1</v>
      </c>
      <c r="M16" s="9"/>
      <c r="N16" s="17"/>
      <c r="O16" s="15"/>
      <c r="P16" s="2"/>
      <c r="Q16" s="2"/>
      <c r="R16" s="3">
        <v>0</v>
      </c>
      <c r="S16" s="3">
        <v>0</v>
      </c>
      <c r="T16" s="2"/>
      <c r="U16" s="2"/>
      <c r="V16" s="12">
        <f t="shared" si="0"/>
        <v>15</v>
      </c>
      <c r="W16" s="13">
        <f t="shared" si="1"/>
        <v>0</v>
      </c>
      <c r="X16" s="10">
        <f t="shared" si="2"/>
        <v>0</v>
      </c>
      <c r="Y16" s="11">
        <f t="shared" si="5"/>
        <v>0</v>
      </c>
      <c r="Z16" s="2">
        <f t="shared" si="3"/>
        <v>30</v>
      </c>
      <c r="AA16" s="2">
        <f t="shared" si="4"/>
        <v>5</v>
      </c>
      <c r="AB16" s="2"/>
      <c r="AC16" s="2">
        <v>1</v>
      </c>
      <c r="AD16" s="6"/>
      <c r="AE16" s="1"/>
    </row>
    <row r="17" spans="1:31" ht="31.5" x14ac:dyDescent="0.25">
      <c r="A17" s="2">
        <v>16</v>
      </c>
      <c r="B17" s="3" t="s">
        <v>45</v>
      </c>
      <c r="C17" s="3"/>
      <c r="D17" s="3"/>
      <c r="E17" s="3" t="s">
        <v>46</v>
      </c>
      <c r="F17" s="4"/>
      <c r="G17" s="4" t="s">
        <v>207</v>
      </c>
      <c r="H17" s="5" t="s">
        <v>208</v>
      </c>
      <c r="I17" s="6"/>
      <c r="J17" s="3">
        <v>2</v>
      </c>
      <c r="K17" s="7">
        <v>3</v>
      </c>
      <c r="L17" s="8">
        <v>3</v>
      </c>
      <c r="M17" s="9"/>
      <c r="N17" s="17"/>
      <c r="O17" s="15"/>
      <c r="P17" s="2"/>
      <c r="Q17" s="2"/>
      <c r="R17" s="3">
        <v>0</v>
      </c>
      <c r="S17" s="3">
        <v>0</v>
      </c>
      <c r="T17" s="2" t="s">
        <v>140</v>
      </c>
      <c r="U17" s="2" t="s">
        <v>124</v>
      </c>
      <c r="V17" s="12">
        <f t="shared" si="0"/>
        <v>45</v>
      </c>
      <c r="W17" s="13">
        <f t="shared" si="1"/>
        <v>0</v>
      </c>
      <c r="X17" s="10">
        <f t="shared" si="2"/>
        <v>0</v>
      </c>
      <c r="Y17" s="11">
        <f t="shared" si="5"/>
        <v>0</v>
      </c>
      <c r="Z17" s="2">
        <f t="shared" si="3"/>
        <v>90</v>
      </c>
      <c r="AA17" s="2">
        <f t="shared" si="4"/>
        <v>15</v>
      </c>
      <c r="AB17" s="2"/>
      <c r="AC17" s="2">
        <v>1</v>
      </c>
      <c r="AD17" s="6"/>
      <c r="AE17" s="1"/>
    </row>
    <row r="18" spans="1:31" ht="31.5" x14ac:dyDescent="0.25">
      <c r="A18" s="2">
        <v>17</v>
      </c>
      <c r="B18" s="3" t="s">
        <v>45</v>
      </c>
      <c r="C18" s="3"/>
      <c r="D18" s="3"/>
      <c r="E18" s="3" t="s">
        <v>46</v>
      </c>
      <c r="F18" s="4"/>
      <c r="G18" s="4" t="s">
        <v>209</v>
      </c>
      <c r="H18" s="5" t="s">
        <v>62</v>
      </c>
      <c r="I18" s="6"/>
      <c r="J18" s="3">
        <v>2</v>
      </c>
      <c r="K18" s="7">
        <v>2</v>
      </c>
      <c r="L18" s="8">
        <v>2</v>
      </c>
      <c r="M18" s="9"/>
      <c r="N18" s="17"/>
      <c r="O18" s="15"/>
      <c r="P18" s="2"/>
      <c r="Q18" s="2"/>
      <c r="R18" s="3">
        <v>0</v>
      </c>
      <c r="S18" s="3">
        <v>0</v>
      </c>
      <c r="T18" s="2" t="s">
        <v>140</v>
      </c>
      <c r="U18" s="2" t="s">
        <v>124</v>
      </c>
      <c r="V18" s="12">
        <f t="shared" si="0"/>
        <v>30</v>
      </c>
      <c r="W18" s="13">
        <f t="shared" si="1"/>
        <v>0</v>
      </c>
      <c r="X18" s="10">
        <f t="shared" si="2"/>
        <v>0</v>
      </c>
      <c r="Y18" s="11">
        <f t="shared" si="5"/>
        <v>0</v>
      </c>
      <c r="Z18" s="2">
        <f t="shared" si="3"/>
        <v>60</v>
      </c>
      <c r="AA18" s="2">
        <f t="shared" si="4"/>
        <v>10</v>
      </c>
      <c r="AB18" s="2"/>
      <c r="AC18" s="2">
        <v>1</v>
      </c>
      <c r="AD18" s="6"/>
      <c r="AE18" s="1"/>
    </row>
    <row r="19" spans="1:31" ht="31.5" x14ac:dyDescent="0.25">
      <c r="A19" s="2">
        <v>18</v>
      </c>
      <c r="B19" s="3" t="s">
        <v>45</v>
      </c>
      <c r="C19" s="3"/>
      <c r="D19" s="3"/>
      <c r="E19" s="3" t="s">
        <v>46</v>
      </c>
      <c r="F19" s="4"/>
      <c r="G19" s="4" t="s">
        <v>210</v>
      </c>
      <c r="H19" s="5" t="s">
        <v>48</v>
      </c>
      <c r="I19" s="6"/>
      <c r="J19" s="3">
        <v>2</v>
      </c>
      <c r="K19" s="7">
        <v>3</v>
      </c>
      <c r="L19" s="8">
        <v>3</v>
      </c>
      <c r="M19" s="9"/>
      <c r="N19" s="17"/>
      <c r="O19" s="15"/>
      <c r="P19" s="2"/>
      <c r="Q19" s="2"/>
      <c r="R19" s="3">
        <v>0</v>
      </c>
      <c r="S19" s="3">
        <v>0</v>
      </c>
      <c r="T19" s="2" t="s">
        <v>140</v>
      </c>
      <c r="U19" s="2" t="s">
        <v>124</v>
      </c>
      <c r="V19" s="12">
        <f t="shared" si="0"/>
        <v>45</v>
      </c>
      <c r="W19" s="13">
        <f t="shared" si="1"/>
        <v>0</v>
      </c>
      <c r="X19" s="10">
        <f t="shared" si="2"/>
        <v>0</v>
      </c>
      <c r="Y19" s="11">
        <f t="shared" si="5"/>
        <v>0</v>
      </c>
      <c r="Z19" s="2">
        <f t="shared" si="3"/>
        <v>90</v>
      </c>
      <c r="AA19" s="2">
        <f t="shared" si="4"/>
        <v>15</v>
      </c>
      <c r="AB19" s="2"/>
      <c r="AC19" s="2">
        <v>1</v>
      </c>
      <c r="AD19" s="6"/>
      <c r="AE19" s="1"/>
    </row>
    <row r="20" spans="1:31" ht="31.5" x14ac:dyDescent="0.25">
      <c r="A20" s="2">
        <v>19</v>
      </c>
      <c r="B20" s="3" t="s">
        <v>45</v>
      </c>
      <c r="C20" s="3"/>
      <c r="D20" s="3"/>
      <c r="E20" s="3" t="s">
        <v>46</v>
      </c>
      <c r="F20" s="4"/>
      <c r="G20" s="4" t="s">
        <v>234</v>
      </c>
      <c r="H20" s="5" t="s">
        <v>235</v>
      </c>
      <c r="I20" s="6"/>
      <c r="J20" s="3">
        <v>2</v>
      </c>
      <c r="K20" s="7">
        <v>3</v>
      </c>
      <c r="L20" s="8">
        <v>3</v>
      </c>
      <c r="M20" s="9"/>
      <c r="N20" s="17"/>
      <c r="O20" s="15"/>
      <c r="P20" s="2"/>
      <c r="Q20" s="2"/>
      <c r="R20" s="3">
        <v>0</v>
      </c>
      <c r="S20" s="3">
        <v>0</v>
      </c>
      <c r="T20" s="2" t="s">
        <v>141</v>
      </c>
      <c r="U20" s="2" t="s">
        <v>124</v>
      </c>
      <c r="V20" s="12">
        <f t="shared" si="0"/>
        <v>45</v>
      </c>
      <c r="W20" s="13">
        <f t="shared" si="1"/>
        <v>0</v>
      </c>
      <c r="X20" s="10">
        <f t="shared" si="2"/>
        <v>0</v>
      </c>
      <c r="Y20" s="11">
        <f t="shared" si="5"/>
        <v>0</v>
      </c>
      <c r="Z20" s="2">
        <f t="shared" si="3"/>
        <v>90</v>
      </c>
      <c r="AA20" s="2">
        <f t="shared" si="4"/>
        <v>15</v>
      </c>
      <c r="AB20" s="2"/>
      <c r="AC20" s="2">
        <v>1</v>
      </c>
      <c r="AD20" s="6"/>
      <c r="AE20" s="1"/>
    </row>
    <row r="21" spans="1:31" ht="31.5" x14ac:dyDescent="0.25">
      <c r="A21" s="2">
        <v>20</v>
      </c>
      <c r="B21" s="3" t="s">
        <v>45</v>
      </c>
      <c r="C21" s="3"/>
      <c r="D21" s="3"/>
      <c r="E21" s="3" t="s">
        <v>46</v>
      </c>
      <c r="F21" s="4"/>
      <c r="G21" s="4" t="s">
        <v>212</v>
      </c>
      <c r="H21" s="5" t="s">
        <v>52</v>
      </c>
      <c r="I21" s="6"/>
      <c r="J21" s="3">
        <v>3</v>
      </c>
      <c r="K21" s="7">
        <v>3</v>
      </c>
      <c r="L21" s="8">
        <v>3</v>
      </c>
      <c r="M21" s="9"/>
      <c r="N21" s="17"/>
      <c r="O21" s="15"/>
      <c r="P21" s="2"/>
      <c r="Q21" s="2"/>
      <c r="R21" s="3">
        <v>0</v>
      </c>
      <c r="S21" s="3">
        <v>0</v>
      </c>
      <c r="T21" s="2" t="s">
        <v>207</v>
      </c>
      <c r="U21" s="2" t="s">
        <v>124</v>
      </c>
      <c r="V21" s="12">
        <f t="shared" si="0"/>
        <v>45</v>
      </c>
      <c r="W21" s="13">
        <f t="shared" si="1"/>
        <v>0</v>
      </c>
      <c r="X21" s="10">
        <f t="shared" si="2"/>
        <v>0</v>
      </c>
      <c r="Y21" s="11">
        <f t="shared" si="5"/>
        <v>0</v>
      </c>
      <c r="Z21" s="2">
        <f t="shared" si="3"/>
        <v>90</v>
      </c>
      <c r="AA21" s="2">
        <f t="shared" si="4"/>
        <v>15</v>
      </c>
      <c r="AB21" s="2"/>
      <c r="AC21" s="2">
        <v>1</v>
      </c>
      <c r="AD21" s="6"/>
      <c r="AE21" s="1"/>
    </row>
    <row r="22" spans="1:31" ht="31.5" x14ac:dyDescent="0.25">
      <c r="A22" s="2">
        <v>21</v>
      </c>
      <c r="B22" s="3" t="s">
        <v>45</v>
      </c>
      <c r="C22" s="3"/>
      <c r="D22" s="3"/>
      <c r="E22" s="3" t="s">
        <v>46</v>
      </c>
      <c r="F22" s="4"/>
      <c r="G22" s="4" t="s">
        <v>143</v>
      </c>
      <c r="H22" s="5" t="s">
        <v>60</v>
      </c>
      <c r="I22" s="6"/>
      <c r="J22" s="3">
        <v>3</v>
      </c>
      <c r="K22" s="7">
        <v>3</v>
      </c>
      <c r="L22" s="8">
        <v>3</v>
      </c>
      <c r="M22" s="9"/>
      <c r="N22" s="17"/>
      <c r="O22" s="15"/>
      <c r="P22" s="2"/>
      <c r="Q22" s="2"/>
      <c r="R22" s="3">
        <v>0</v>
      </c>
      <c r="S22" s="3">
        <v>0</v>
      </c>
      <c r="T22" s="2" t="s">
        <v>207</v>
      </c>
      <c r="U22" s="2" t="s">
        <v>124</v>
      </c>
      <c r="V22" s="12">
        <f t="shared" si="0"/>
        <v>45</v>
      </c>
      <c r="W22" s="13">
        <f t="shared" si="1"/>
        <v>0</v>
      </c>
      <c r="X22" s="10">
        <f t="shared" si="2"/>
        <v>0</v>
      </c>
      <c r="Y22" s="11">
        <f t="shared" si="5"/>
        <v>0</v>
      </c>
      <c r="Z22" s="2">
        <f t="shared" si="3"/>
        <v>90</v>
      </c>
      <c r="AA22" s="2">
        <f t="shared" si="4"/>
        <v>15</v>
      </c>
      <c r="AB22" s="2"/>
      <c r="AC22" s="2">
        <v>1</v>
      </c>
      <c r="AD22" s="6"/>
      <c r="AE22" s="1"/>
    </row>
    <row r="23" spans="1:31" ht="31.5" x14ac:dyDescent="0.25">
      <c r="A23" s="2">
        <v>22</v>
      </c>
      <c r="B23" s="3" t="s">
        <v>45</v>
      </c>
      <c r="C23" s="3"/>
      <c r="D23" s="3"/>
      <c r="E23" s="3" t="s">
        <v>46</v>
      </c>
      <c r="F23" s="4"/>
      <c r="G23" s="4" t="s">
        <v>146</v>
      </c>
      <c r="H23" s="5" t="s">
        <v>147</v>
      </c>
      <c r="I23" s="6"/>
      <c r="J23" s="3">
        <v>3</v>
      </c>
      <c r="K23" s="7">
        <v>3</v>
      </c>
      <c r="L23" s="8">
        <v>3</v>
      </c>
      <c r="M23" s="9"/>
      <c r="N23" s="17"/>
      <c r="O23" s="15"/>
      <c r="P23" s="2"/>
      <c r="Q23" s="2"/>
      <c r="R23" s="3">
        <v>0</v>
      </c>
      <c r="S23" s="3">
        <v>0</v>
      </c>
      <c r="T23" s="2" t="s">
        <v>207</v>
      </c>
      <c r="U23" s="2" t="s">
        <v>124</v>
      </c>
      <c r="V23" s="12">
        <f t="shared" si="0"/>
        <v>45</v>
      </c>
      <c r="W23" s="13">
        <f t="shared" si="1"/>
        <v>0</v>
      </c>
      <c r="X23" s="10">
        <f t="shared" si="2"/>
        <v>0</v>
      </c>
      <c r="Y23" s="11">
        <f t="shared" si="5"/>
        <v>0</v>
      </c>
      <c r="Z23" s="2">
        <f t="shared" si="3"/>
        <v>90</v>
      </c>
      <c r="AA23" s="2">
        <f t="shared" si="4"/>
        <v>15</v>
      </c>
      <c r="AB23" s="2"/>
      <c r="AC23" s="2">
        <v>1</v>
      </c>
      <c r="AD23" s="6"/>
      <c r="AE23" s="1"/>
    </row>
    <row r="24" spans="1:31" ht="31.5" x14ac:dyDescent="0.25">
      <c r="A24" s="2">
        <v>23</v>
      </c>
      <c r="B24" s="3" t="s">
        <v>45</v>
      </c>
      <c r="C24" s="3"/>
      <c r="D24" s="3"/>
      <c r="E24" s="3" t="s">
        <v>46</v>
      </c>
      <c r="F24" s="4"/>
      <c r="G24" s="4" t="s">
        <v>236</v>
      </c>
      <c r="H24" s="5" t="s">
        <v>237</v>
      </c>
      <c r="I24" s="6"/>
      <c r="J24" s="3">
        <v>4</v>
      </c>
      <c r="K24" s="7">
        <v>2</v>
      </c>
      <c r="L24" s="8">
        <v>2</v>
      </c>
      <c r="M24" s="9"/>
      <c r="N24" s="17"/>
      <c r="O24" s="15"/>
      <c r="P24" s="2"/>
      <c r="Q24" s="2"/>
      <c r="R24" s="3">
        <v>0</v>
      </c>
      <c r="S24" s="3">
        <v>0</v>
      </c>
      <c r="T24" s="2" t="s">
        <v>238</v>
      </c>
      <c r="U24" s="2" t="s">
        <v>124</v>
      </c>
      <c r="V24" s="12">
        <f t="shared" si="0"/>
        <v>30</v>
      </c>
      <c r="W24" s="13">
        <f t="shared" si="1"/>
        <v>0</v>
      </c>
      <c r="X24" s="10">
        <f t="shared" si="2"/>
        <v>0</v>
      </c>
      <c r="Y24" s="11">
        <f t="shared" si="5"/>
        <v>0</v>
      </c>
      <c r="Z24" s="2">
        <f t="shared" si="3"/>
        <v>60</v>
      </c>
      <c r="AA24" s="2">
        <f t="shared" si="4"/>
        <v>10</v>
      </c>
      <c r="AB24" s="2"/>
      <c r="AC24" s="2">
        <v>1</v>
      </c>
      <c r="AD24" s="6"/>
      <c r="AE24" s="1"/>
    </row>
    <row r="25" spans="1:31" ht="31.5" x14ac:dyDescent="0.25">
      <c r="A25" s="2">
        <v>24</v>
      </c>
      <c r="B25" s="3" t="s">
        <v>45</v>
      </c>
      <c r="C25" s="3"/>
      <c r="D25" s="3"/>
      <c r="E25" s="3" t="s">
        <v>46</v>
      </c>
      <c r="F25" s="4"/>
      <c r="G25" s="4" t="s">
        <v>214</v>
      </c>
      <c r="H25" s="5" t="s">
        <v>64</v>
      </c>
      <c r="I25" s="6"/>
      <c r="J25" s="3">
        <v>4</v>
      </c>
      <c r="K25" s="7">
        <v>3</v>
      </c>
      <c r="L25" s="8">
        <v>3</v>
      </c>
      <c r="M25" s="9"/>
      <c r="N25" s="17"/>
      <c r="O25" s="15"/>
      <c r="P25" s="2"/>
      <c r="Q25" s="2"/>
      <c r="R25" s="3">
        <v>0</v>
      </c>
      <c r="S25" s="3">
        <v>0</v>
      </c>
      <c r="T25" s="2" t="s">
        <v>143</v>
      </c>
      <c r="U25" s="2" t="s">
        <v>124</v>
      </c>
      <c r="V25" s="12">
        <f t="shared" si="0"/>
        <v>45</v>
      </c>
      <c r="W25" s="13">
        <f t="shared" si="1"/>
        <v>0</v>
      </c>
      <c r="X25" s="10">
        <f t="shared" si="2"/>
        <v>0</v>
      </c>
      <c r="Y25" s="11">
        <f t="shared" si="5"/>
        <v>0</v>
      </c>
      <c r="Z25" s="2">
        <f t="shared" si="3"/>
        <v>90</v>
      </c>
      <c r="AA25" s="2">
        <f t="shared" si="4"/>
        <v>15</v>
      </c>
      <c r="AB25" s="2"/>
      <c r="AC25" s="2">
        <v>1</v>
      </c>
      <c r="AD25" s="6"/>
      <c r="AE25" s="1"/>
    </row>
    <row r="26" spans="1:31" ht="31.5" x14ac:dyDescent="0.25">
      <c r="A26" s="2">
        <v>25</v>
      </c>
      <c r="B26" s="3" t="s">
        <v>239</v>
      </c>
      <c r="C26" s="3"/>
      <c r="D26" s="3"/>
      <c r="E26" s="3" t="s">
        <v>46</v>
      </c>
      <c r="F26" s="4"/>
      <c r="G26" s="4" t="s">
        <v>240</v>
      </c>
      <c r="H26" s="5" t="s">
        <v>241</v>
      </c>
      <c r="I26" s="6"/>
      <c r="J26" s="3">
        <v>1</v>
      </c>
      <c r="K26" s="7">
        <v>2</v>
      </c>
      <c r="L26" s="8">
        <v>2</v>
      </c>
      <c r="M26" s="9"/>
      <c r="N26" s="17"/>
      <c r="O26" s="15"/>
      <c r="P26" s="2"/>
      <c r="Q26" s="2"/>
      <c r="R26" s="3">
        <v>0</v>
      </c>
      <c r="S26" s="3">
        <v>0</v>
      </c>
      <c r="T26" s="2"/>
      <c r="U26" s="2"/>
      <c r="V26" s="12">
        <f t="shared" si="0"/>
        <v>30</v>
      </c>
      <c r="W26" s="13">
        <f t="shared" si="1"/>
        <v>0</v>
      </c>
      <c r="X26" s="10">
        <f t="shared" si="2"/>
        <v>0</v>
      </c>
      <c r="Y26" s="11">
        <f t="shared" si="5"/>
        <v>0</v>
      </c>
      <c r="Z26" s="2">
        <f t="shared" si="3"/>
        <v>60</v>
      </c>
      <c r="AA26" s="2">
        <f t="shared" si="4"/>
        <v>10</v>
      </c>
      <c r="AB26" s="2"/>
      <c r="AC26" s="2">
        <v>1</v>
      </c>
      <c r="AD26" s="6"/>
      <c r="AE26" s="1"/>
    </row>
    <row r="27" spans="1:31" ht="31.5" x14ac:dyDescent="0.25">
      <c r="A27" s="2">
        <v>26</v>
      </c>
      <c r="B27" s="3" t="s">
        <v>239</v>
      </c>
      <c r="C27" s="3"/>
      <c r="D27" s="3"/>
      <c r="E27" s="3" t="s">
        <v>46</v>
      </c>
      <c r="F27" s="4"/>
      <c r="G27" s="4" t="s">
        <v>206</v>
      </c>
      <c r="H27" s="5" t="s">
        <v>56</v>
      </c>
      <c r="I27" s="6"/>
      <c r="J27" s="3">
        <v>2</v>
      </c>
      <c r="K27" s="7">
        <v>2</v>
      </c>
      <c r="L27" s="8">
        <v>2</v>
      </c>
      <c r="M27" s="9"/>
      <c r="N27" s="17"/>
      <c r="O27" s="15"/>
      <c r="P27" s="2"/>
      <c r="Q27" s="2"/>
      <c r="R27" s="3">
        <v>0</v>
      </c>
      <c r="S27" s="3">
        <v>0</v>
      </c>
      <c r="T27" s="2" t="s">
        <v>140</v>
      </c>
      <c r="U27" s="2" t="s">
        <v>124</v>
      </c>
      <c r="V27" s="12">
        <f t="shared" si="0"/>
        <v>30</v>
      </c>
      <c r="W27" s="13">
        <f t="shared" si="1"/>
        <v>0</v>
      </c>
      <c r="X27" s="10">
        <f t="shared" si="2"/>
        <v>0</v>
      </c>
      <c r="Y27" s="11">
        <f t="shared" si="5"/>
        <v>0</v>
      </c>
      <c r="Z27" s="2">
        <f t="shared" si="3"/>
        <v>60</v>
      </c>
      <c r="AA27" s="2">
        <f t="shared" si="4"/>
        <v>10</v>
      </c>
      <c r="AB27" s="2"/>
      <c r="AC27" s="2">
        <v>1</v>
      </c>
      <c r="AD27" s="6"/>
      <c r="AE27" s="1"/>
    </row>
    <row r="28" spans="1:31" ht="31.5" x14ac:dyDescent="0.25">
      <c r="A28" s="2">
        <v>27</v>
      </c>
      <c r="B28" s="3" t="s">
        <v>239</v>
      </c>
      <c r="C28" s="3"/>
      <c r="D28" s="3"/>
      <c r="E28" s="3" t="s">
        <v>46</v>
      </c>
      <c r="F28" s="4"/>
      <c r="G28" s="4" t="s">
        <v>242</v>
      </c>
      <c r="H28" s="5" t="s">
        <v>243</v>
      </c>
      <c r="I28" s="6"/>
      <c r="J28" s="3">
        <v>3</v>
      </c>
      <c r="K28" s="7">
        <v>3</v>
      </c>
      <c r="L28" s="8">
        <v>3</v>
      </c>
      <c r="M28" s="9"/>
      <c r="N28" s="17"/>
      <c r="O28" s="15"/>
      <c r="P28" s="2"/>
      <c r="Q28" s="2"/>
      <c r="R28" s="3">
        <v>1</v>
      </c>
      <c r="S28" s="3">
        <v>0</v>
      </c>
      <c r="T28" s="2" t="s">
        <v>207</v>
      </c>
      <c r="U28" s="2" t="s">
        <v>124</v>
      </c>
      <c r="V28" s="12">
        <f t="shared" si="0"/>
        <v>45</v>
      </c>
      <c r="W28" s="13">
        <f t="shared" si="1"/>
        <v>0</v>
      </c>
      <c r="X28" s="10">
        <f t="shared" si="2"/>
        <v>0</v>
      </c>
      <c r="Y28" s="11">
        <f t="shared" si="5"/>
        <v>0</v>
      </c>
      <c r="Z28" s="2">
        <f t="shared" si="3"/>
        <v>90</v>
      </c>
      <c r="AA28" s="2">
        <f t="shared" si="4"/>
        <v>15</v>
      </c>
      <c r="AB28" s="2"/>
      <c r="AC28" s="2">
        <v>1</v>
      </c>
      <c r="AD28" s="6"/>
      <c r="AE28" s="1"/>
    </row>
    <row r="29" spans="1:31" ht="31.5" x14ac:dyDescent="0.25">
      <c r="A29" s="2">
        <v>28</v>
      </c>
      <c r="B29" s="3" t="s">
        <v>239</v>
      </c>
      <c r="C29" s="3"/>
      <c r="D29" s="3"/>
      <c r="E29" s="3" t="s">
        <v>46</v>
      </c>
      <c r="F29" s="4"/>
      <c r="G29" s="4" t="s">
        <v>160</v>
      </c>
      <c r="H29" s="5" t="s">
        <v>66</v>
      </c>
      <c r="I29" s="6"/>
      <c r="J29" s="3">
        <v>4</v>
      </c>
      <c r="K29" s="7">
        <v>3</v>
      </c>
      <c r="L29" s="8">
        <v>1</v>
      </c>
      <c r="M29" s="9">
        <v>2</v>
      </c>
      <c r="N29" s="17"/>
      <c r="O29" s="15"/>
      <c r="P29" s="2" t="s">
        <v>11</v>
      </c>
      <c r="Q29" s="2"/>
      <c r="R29" s="3">
        <v>1</v>
      </c>
      <c r="S29" s="3">
        <v>0</v>
      </c>
      <c r="T29" s="2" t="s">
        <v>199</v>
      </c>
      <c r="U29" s="2" t="s">
        <v>124</v>
      </c>
      <c r="V29" s="12">
        <f t="shared" si="0"/>
        <v>15</v>
      </c>
      <c r="W29" s="13">
        <f t="shared" si="1"/>
        <v>60</v>
      </c>
      <c r="X29" s="10">
        <f t="shared" si="2"/>
        <v>0</v>
      </c>
      <c r="Y29" s="11">
        <f t="shared" si="5"/>
        <v>0</v>
      </c>
      <c r="Z29" s="2">
        <f t="shared" si="3"/>
        <v>60</v>
      </c>
      <c r="AA29" s="2">
        <f t="shared" si="4"/>
        <v>15</v>
      </c>
      <c r="AB29" s="2"/>
      <c r="AC29" s="2">
        <v>1</v>
      </c>
      <c r="AD29" s="6"/>
      <c r="AE29" s="1"/>
    </row>
    <row r="30" spans="1:31" ht="31.5" x14ac:dyDescent="0.25">
      <c r="A30" s="2">
        <v>29</v>
      </c>
      <c r="B30" s="3" t="s">
        <v>239</v>
      </c>
      <c r="C30" s="3"/>
      <c r="D30" s="3"/>
      <c r="E30" s="3" t="s">
        <v>46</v>
      </c>
      <c r="F30" s="4"/>
      <c r="G30" s="4" t="s">
        <v>216</v>
      </c>
      <c r="H30" s="5" t="s">
        <v>42</v>
      </c>
      <c r="I30" s="6"/>
      <c r="J30" s="3">
        <v>0</v>
      </c>
      <c r="K30" s="7">
        <v>3</v>
      </c>
      <c r="L30" s="8">
        <v>3</v>
      </c>
      <c r="M30" s="9"/>
      <c r="N30" s="17"/>
      <c r="O30" s="15"/>
      <c r="P30" s="2"/>
      <c r="Q30" s="2"/>
      <c r="R30" s="3">
        <v>1</v>
      </c>
      <c r="S30" s="3">
        <v>0</v>
      </c>
      <c r="T30" s="2" t="s">
        <v>244</v>
      </c>
      <c r="U30" s="2" t="s">
        <v>124</v>
      </c>
      <c r="V30" s="12">
        <f t="shared" si="0"/>
        <v>45</v>
      </c>
      <c r="W30" s="13">
        <f t="shared" si="1"/>
        <v>0</v>
      </c>
      <c r="X30" s="10">
        <f t="shared" si="2"/>
        <v>0</v>
      </c>
      <c r="Y30" s="11">
        <f t="shared" si="5"/>
        <v>0</v>
      </c>
      <c r="Z30" s="2">
        <f t="shared" si="3"/>
        <v>90</v>
      </c>
      <c r="AA30" s="2">
        <f t="shared" si="4"/>
        <v>15</v>
      </c>
      <c r="AB30" s="2"/>
      <c r="AC30" s="2">
        <v>1</v>
      </c>
      <c r="AD30" s="6"/>
      <c r="AE30" s="1"/>
    </row>
    <row r="31" spans="1:31" ht="31.5" x14ac:dyDescent="0.25">
      <c r="A31" s="2">
        <v>30</v>
      </c>
      <c r="B31" s="3" t="s">
        <v>239</v>
      </c>
      <c r="C31" s="3"/>
      <c r="D31" s="3"/>
      <c r="E31" s="3" t="s">
        <v>46</v>
      </c>
      <c r="F31" s="4"/>
      <c r="G31" s="4" t="s">
        <v>164</v>
      </c>
      <c r="H31" s="5" t="s">
        <v>76</v>
      </c>
      <c r="I31" s="6"/>
      <c r="J31" s="3">
        <v>0</v>
      </c>
      <c r="K31" s="7">
        <v>2</v>
      </c>
      <c r="L31" s="8">
        <v>1</v>
      </c>
      <c r="M31" s="9">
        <v>1</v>
      </c>
      <c r="N31" s="17"/>
      <c r="O31" s="15"/>
      <c r="P31" s="2" t="s">
        <v>11</v>
      </c>
      <c r="Q31" s="2"/>
      <c r="R31" s="3">
        <v>1</v>
      </c>
      <c r="S31" s="3">
        <v>0</v>
      </c>
      <c r="T31" s="2" t="s">
        <v>245</v>
      </c>
      <c r="U31" s="2" t="s">
        <v>124</v>
      </c>
      <c r="V31" s="12">
        <f t="shared" si="0"/>
        <v>15</v>
      </c>
      <c r="W31" s="13">
        <f t="shared" si="1"/>
        <v>30</v>
      </c>
      <c r="X31" s="10">
        <f t="shared" si="2"/>
        <v>0</v>
      </c>
      <c r="Y31" s="11">
        <f t="shared" si="5"/>
        <v>0</v>
      </c>
      <c r="Z31" s="2">
        <f t="shared" si="3"/>
        <v>45</v>
      </c>
      <c r="AA31" s="2">
        <f t="shared" si="4"/>
        <v>10</v>
      </c>
      <c r="AB31" s="2"/>
      <c r="AC31" s="2">
        <v>1</v>
      </c>
      <c r="AD31" s="6"/>
      <c r="AE31" s="1"/>
    </row>
    <row r="32" spans="1:31" ht="31.5" x14ac:dyDescent="0.25">
      <c r="A32" s="2">
        <v>31</v>
      </c>
      <c r="B32" s="3" t="s">
        <v>239</v>
      </c>
      <c r="C32" s="3"/>
      <c r="D32" s="3"/>
      <c r="E32" s="3" t="s">
        <v>46</v>
      </c>
      <c r="F32" s="4"/>
      <c r="G32" s="4" t="s">
        <v>246</v>
      </c>
      <c r="H32" s="5" t="s">
        <v>247</v>
      </c>
      <c r="I32" s="6"/>
      <c r="J32" s="3">
        <v>0</v>
      </c>
      <c r="K32" s="7">
        <v>3</v>
      </c>
      <c r="L32" s="8">
        <v>2</v>
      </c>
      <c r="M32" s="9">
        <v>1</v>
      </c>
      <c r="N32" s="17"/>
      <c r="O32" s="15"/>
      <c r="P32" s="2" t="s">
        <v>11</v>
      </c>
      <c r="Q32" s="2"/>
      <c r="R32" s="3">
        <v>1</v>
      </c>
      <c r="S32" s="3">
        <v>0</v>
      </c>
      <c r="T32" s="2" t="s">
        <v>248</v>
      </c>
      <c r="U32" s="2" t="s">
        <v>124</v>
      </c>
      <c r="V32" s="12">
        <f t="shared" si="0"/>
        <v>30</v>
      </c>
      <c r="W32" s="13">
        <f t="shared" si="1"/>
        <v>30</v>
      </c>
      <c r="X32" s="10">
        <f t="shared" si="2"/>
        <v>0</v>
      </c>
      <c r="Y32" s="11">
        <f t="shared" si="5"/>
        <v>0</v>
      </c>
      <c r="Z32" s="2">
        <f t="shared" si="3"/>
        <v>75</v>
      </c>
      <c r="AA32" s="2">
        <f t="shared" si="4"/>
        <v>15</v>
      </c>
      <c r="AB32" s="2"/>
      <c r="AC32" s="2">
        <v>1</v>
      </c>
      <c r="AD32" s="6"/>
      <c r="AE32" s="1"/>
    </row>
    <row r="33" spans="1:31" ht="31.5" x14ac:dyDescent="0.25">
      <c r="A33" s="2">
        <v>32</v>
      </c>
      <c r="B33" s="3" t="s">
        <v>239</v>
      </c>
      <c r="C33" s="3"/>
      <c r="D33" s="3"/>
      <c r="E33" s="3" t="s">
        <v>46</v>
      </c>
      <c r="F33" s="4"/>
      <c r="G33" s="4" t="s">
        <v>249</v>
      </c>
      <c r="H33" s="5" t="s">
        <v>250</v>
      </c>
      <c r="I33" s="6"/>
      <c r="J33" s="3">
        <v>0</v>
      </c>
      <c r="K33" s="7">
        <v>2</v>
      </c>
      <c r="L33" s="8">
        <v>1</v>
      </c>
      <c r="M33" s="9">
        <v>1</v>
      </c>
      <c r="N33" s="17"/>
      <c r="O33" s="15"/>
      <c r="P33" s="2" t="s">
        <v>11</v>
      </c>
      <c r="Q33" s="2"/>
      <c r="R33" s="3">
        <v>1</v>
      </c>
      <c r="S33" s="3">
        <v>0</v>
      </c>
      <c r="T33" s="2" t="s">
        <v>216</v>
      </c>
      <c r="U33" s="2" t="s">
        <v>124</v>
      </c>
      <c r="V33" s="12">
        <f t="shared" si="0"/>
        <v>15</v>
      </c>
      <c r="W33" s="13">
        <f t="shared" si="1"/>
        <v>30</v>
      </c>
      <c r="X33" s="10">
        <f t="shared" si="2"/>
        <v>0</v>
      </c>
      <c r="Y33" s="11">
        <f t="shared" si="5"/>
        <v>0</v>
      </c>
      <c r="Z33" s="2">
        <f t="shared" si="3"/>
        <v>45</v>
      </c>
      <c r="AA33" s="2">
        <f t="shared" si="4"/>
        <v>10</v>
      </c>
      <c r="AB33" s="2"/>
      <c r="AC33" s="2">
        <v>1</v>
      </c>
      <c r="AD33" s="6"/>
      <c r="AE33" s="1"/>
    </row>
    <row r="34" spans="1:31" ht="31.5" x14ac:dyDescent="0.25">
      <c r="A34" s="2">
        <v>33</v>
      </c>
      <c r="B34" s="3" t="s">
        <v>239</v>
      </c>
      <c r="C34" s="3"/>
      <c r="D34" s="3"/>
      <c r="E34" s="3" t="s">
        <v>46</v>
      </c>
      <c r="F34" s="4"/>
      <c r="G34" s="4" t="s">
        <v>251</v>
      </c>
      <c r="H34" s="5" t="s">
        <v>252</v>
      </c>
      <c r="I34" s="6"/>
      <c r="J34" s="3">
        <v>0</v>
      </c>
      <c r="K34" s="7">
        <v>2</v>
      </c>
      <c r="L34" s="8">
        <v>1</v>
      </c>
      <c r="M34" s="9">
        <v>1</v>
      </c>
      <c r="N34" s="17"/>
      <c r="O34" s="15"/>
      <c r="P34" s="2" t="s">
        <v>11</v>
      </c>
      <c r="Q34" s="2"/>
      <c r="R34" s="3">
        <v>1</v>
      </c>
      <c r="S34" s="3">
        <v>0</v>
      </c>
      <c r="T34" s="2"/>
      <c r="U34" s="2"/>
      <c r="V34" s="12">
        <f t="shared" si="0"/>
        <v>15</v>
      </c>
      <c r="W34" s="13">
        <f t="shared" si="1"/>
        <v>30</v>
      </c>
      <c r="X34" s="10">
        <f t="shared" si="2"/>
        <v>0</v>
      </c>
      <c r="Y34" s="11">
        <f t="shared" si="5"/>
        <v>0</v>
      </c>
      <c r="Z34" s="2">
        <f t="shared" si="3"/>
        <v>45</v>
      </c>
      <c r="AA34" s="2">
        <f t="shared" si="4"/>
        <v>10</v>
      </c>
      <c r="AB34" s="2"/>
      <c r="AC34" s="2">
        <v>1</v>
      </c>
      <c r="AD34" s="6"/>
      <c r="AE34" s="1"/>
    </row>
    <row r="35" spans="1:31" ht="31.5" x14ac:dyDescent="0.25">
      <c r="A35" s="2">
        <v>34</v>
      </c>
      <c r="B35" s="3" t="s">
        <v>239</v>
      </c>
      <c r="C35" s="3"/>
      <c r="D35" s="3"/>
      <c r="E35" s="3" t="s">
        <v>46</v>
      </c>
      <c r="F35" s="4"/>
      <c r="G35" s="4" t="s">
        <v>253</v>
      </c>
      <c r="H35" s="5" t="s">
        <v>254</v>
      </c>
      <c r="I35" s="6"/>
      <c r="J35" s="3">
        <v>0</v>
      </c>
      <c r="K35" s="7">
        <v>3</v>
      </c>
      <c r="L35" s="8">
        <v>3</v>
      </c>
      <c r="M35" s="9"/>
      <c r="N35" s="17"/>
      <c r="O35" s="15"/>
      <c r="P35" s="2"/>
      <c r="Q35" s="2"/>
      <c r="R35" s="3">
        <v>1</v>
      </c>
      <c r="S35" s="3">
        <v>0</v>
      </c>
      <c r="T35" s="2" t="s">
        <v>146</v>
      </c>
      <c r="U35" s="2" t="s">
        <v>124</v>
      </c>
      <c r="V35" s="12">
        <f t="shared" si="0"/>
        <v>45</v>
      </c>
      <c r="W35" s="13">
        <f t="shared" si="1"/>
        <v>0</v>
      </c>
      <c r="X35" s="10">
        <f t="shared" si="2"/>
        <v>0</v>
      </c>
      <c r="Y35" s="11">
        <f t="shared" si="5"/>
        <v>0</v>
      </c>
      <c r="Z35" s="2">
        <f t="shared" si="3"/>
        <v>90</v>
      </c>
      <c r="AA35" s="2">
        <f t="shared" si="4"/>
        <v>15</v>
      </c>
      <c r="AB35" s="2"/>
      <c r="AC35" s="2">
        <v>1</v>
      </c>
      <c r="AD35" s="6"/>
      <c r="AE35" s="1"/>
    </row>
    <row r="36" spans="1:31" ht="31.5" x14ac:dyDescent="0.25">
      <c r="A36" s="2">
        <v>35</v>
      </c>
      <c r="B36" s="3" t="s">
        <v>73</v>
      </c>
      <c r="C36" s="3"/>
      <c r="D36" s="3"/>
      <c r="E36" s="3" t="s">
        <v>74</v>
      </c>
      <c r="F36" s="4"/>
      <c r="G36" s="4" t="s">
        <v>162</v>
      </c>
      <c r="H36" s="5" t="s">
        <v>163</v>
      </c>
      <c r="I36" s="6"/>
      <c r="J36" s="3">
        <v>4</v>
      </c>
      <c r="K36" s="7">
        <v>2</v>
      </c>
      <c r="L36" s="8"/>
      <c r="M36" s="9"/>
      <c r="N36" s="17"/>
      <c r="O36" s="15">
        <v>2</v>
      </c>
      <c r="P36" s="2"/>
      <c r="Q36" s="2"/>
      <c r="R36" s="3">
        <v>0</v>
      </c>
      <c r="S36" s="3">
        <v>0</v>
      </c>
      <c r="T36" s="2" t="s">
        <v>143</v>
      </c>
      <c r="U36" s="2" t="s">
        <v>124</v>
      </c>
      <c r="V36" s="12">
        <f t="shared" si="0"/>
        <v>0</v>
      </c>
      <c r="W36" s="13">
        <f t="shared" si="1"/>
        <v>0</v>
      </c>
      <c r="X36" s="10">
        <f t="shared" si="2"/>
        <v>0</v>
      </c>
      <c r="Y36" s="11">
        <f t="shared" si="5"/>
        <v>90</v>
      </c>
      <c r="Z36" s="2">
        <f t="shared" si="3"/>
        <v>90</v>
      </c>
      <c r="AA36" s="2">
        <f t="shared" si="4"/>
        <v>10</v>
      </c>
      <c r="AB36" s="2"/>
      <c r="AC36" s="2">
        <v>1</v>
      </c>
      <c r="AD36" s="6"/>
      <c r="AE36" s="1"/>
    </row>
    <row r="37" spans="1:31" ht="31.5" x14ac:dyDescent="0.25">
      <c r="A37" s="2">
        <v>36</v>
      </c>
      <c r="B37" s="3" t="s">
        <v>73</v>
      </c>
      <c r="C37" s="3"/>
      <c r="D37" s="3"/>
      <c r="E37" s="3" t="s">
        <v>74</v>
      </c>
      <c r="F37" s="4"/>
      <c r="G37" s="4" t="s">
        <v>255</v>
      </c>
      <c r="H37" s="5" t="s">
        <v>256</v>
      </c>
      <c r="I37" s="6"/>
      <c r="J37" s="3">
        <v>5</v>
      </c>
      <c r="K37" s="7">
        <v>3</v>
      </c>
      <c r="L37" s="8">
        <v>3</v>
      </c>
      <c r="M37" s="9"/>
      <c r="N37" s="17"/>
      <c r="O37" s="15"/>
      <c r="P37" s="2"/>
      <c r="Q37" s="2"/>
      <c r="R37" s="3">
        <v>0</v>
      </c>
      <c r="S37" s="3">
        <v>0</v>
      </c>
      <c r="T37" s="2" t="s">
        <v>257</v>
      </c>
      <c r="U37" s="2" t="s">
        <v>124</v>
      </c>
      <c r="V37" s="12">
        <f t="shared" si="0"/>
        <v>45</v>
      </c>
      <c r="W37" s="13">
        <f t="shared" si="1"/>
        <v>0</v>
      </c>
      <c r="X37" s="10">
        <f t="shared" si="2"/>
        <v>0</v>
      </c>
      <c r="Y37" s="11">
        <f t="shared" si="5"/>
        <v>0</v>
      </c>
      <c r="Z37" s="2">
        <f t="shared" si="3"/>
        <v>90</v>
      </c>
      <c r="AA37" s="2">
        <f t="shared" si="4"/>
        <v>15</v>
      </c>
      <c r="AB37" s="2"/>
      <c r="AC37" s="2">
        <v>1</v>
      </c>
      <c r="AD37" s="6"/>
      <c r="AE37" s="1"/>
    </row>
    <row r="38" spans="1:31" ht="31.5" x14ac:dyDescent="0.25">
      <c r="A38" s="2">
        <v>37</v>
      </c>
      <c r="B38" s="3" t="s">
        <v>73</v>
      </c>
      <c r="C38" s="3"/>
      <c r="D38" s="3"/>
      <c r="E38" s="3" t="s">
        <v>74</v>
      </c>
      <c r="F38" s="4"/>
      <c r="G38" s="4" t="s">
        <v>167</v>
      </c>
      <c r="H38" s="5" t="s">
        <v>86</v>
      </c>
      <c r="I38" s="6"/>
      <c r="J38" s="3">
        <v>4</v>
      </c>
      <c r="K38" s="7">
        <v>4</v>
      </c>
      <c r="L38" s="8">
        <v>4</v>
      </c>
      <c r="M38" s="9"/>
      <c r="N38" s="17"/>
      <c r="O38" s="15"/>
      <c r="P38" s="2"/>
      <c r="Q38" s="2"/>
      <c r="R38" s="3">
        <v>0</v>
      </c>
      <c r="S38" s="3">
        <v>0</v>
      </c>
      <c r="T38" s="2" t="s">
        <v>143</v>
      </c>
      <c r="U38" s="2" t="s">
        <v>124</v>
      </c>
      <c r="V38" s="12">
        <f t="shared" si="0"/>
        <v>60</v>
      </c>
      <c r="W38" s="13">
        <f t="shared" si="1"/>
        <v>0</v>
      </c>
      <c r="X38" s="10">
        <f t="shared" si="2"/>
        <v>0</v>
      </c>
      <c r="Y38" s="11">
        <f t="shared" si="5"/>
        <v>0</v>
      </c>
      <c r="Z38" s="2">
        <f t="shared" si="3"/>
        <v>120</v>
      </c>
      <c r="AA38" s="2">
        <f t="shared" si="4"/>
        <v>20</v>
      </c>
      <c r="AB38" s="2"/>
      <c r="AC38" s="2">
        <v>1</v>
      </c>
      <c r="AD38" s="6"/>
      <c r="AE38" s="1"/>
    </row>
    <row r="39" spans="1:31" ht="31.5" x14ac:dyDescent="0.25">
      <c r="A39" s="2">
        <v>38</v>
      </c>
      <c r="B39" s="3" t="s">
        <v>73</v>
      </c>
      <c r="C39" s="3"/>
      <c r="D39" s="3"/>
      <c r="E39" s="3" t="s">
        <v>74</v>
      </c>
      <c r="F39" s="4"/>
      <c r="G39" s="4" t="s">
        <v>87</v>
      </c>
      <c r="H39" s="5" t="s">
        <v>88</v>
      </c>
      <c r="I39" s="6"/>
      <c r="J39" s="3">
        <v>5</v>
      </c>
      <c r="K39" s="7">
        <v>4</v>
      </c>
      <c r="L39" s="8">
        <v>4</v>
      </c>
      <c r="M39" s="9"/>
      <c r="N39" s="17"/>
      <c r="O39" s="15"/>
      <c r="P39" s="2"/>
      <c r="Q39" s="2"/>
      <c r="R39" s="3">
        <v>0</v>
      </c>
      <c r="S39" s="3">
        <v>0</v>
      </c>
      <c r="T39" s="2" t="s">
        <v>167</v>
      </c>
      <c r="U39" s="2" t="s">
        <v>124</v>
      </c>
      <c r="V39" s="12">
        <f t="shared" si="0"/>
        <v>60</v>
      </c>
      <c r="W39" s="13">
        <f t="shared" si="1"/>
        <v>0</v>
      </c>
      <c r="X39" s="10">
        <f t="shared" si="2"/>
        <v>0</v>
      </c>
      <c r="Y39" s="11">
        <f t="shared" si="5"/>
        <v>0</v>
      </c>
      <c r="Z39" s="2">
        <f t="shared" si="3"/>
        <v>120</v>
      </c>
      <c r="AA39" s="2">
        <f t="shared" si="4"/>
        <v>20</v>
      </c>
      <c r="AB39" s="2"/>
      <c r="AC39" s="2">
        <v>1</v>
      </c>
      <c r="AD39" s="6"/>
      <c r="AE39" s="1"/>
    </row>
    <row r="40" spans="1:31" ht="31.5" x14ac:dyDescent="0.25">
      <c r="A40" s="2">
        <v>39</v>
      </c>
      <c r="B40" s="3" t="s">
        <v>73</v>
      </c>
      <c r="C40" s="3"/>
      <c r="D40" s="3"/>
      <c r="E40" s="3" t="s">
        <v>74</v>
      </c>
      <c r="F40" s="4"/>
      <c r="G40" s="4" t="s">
        <v>165</v>
      </c>
      <c r="H40" s="5" t="s">
        <v>78</v>
      </c>
      <c r="I40" s="6"/>
      <c r="J40" s="3">
        <v>4</v>
      </c>
      <c r="K40" s="7">
        <v>3</v>
      </c>
      <c r="L40" s="8">
        <v>3</v>
      </c>
      <c r="M40" s="9"/>
      <c r="N40" s="17"/>
      <c r="O40" s="15"/>
      <c r="P40" s="2"/>
      <c r="Q40" s="2"/>
      <c r="R40" s="3">
        <v>0</v>
      </c>
      <c r="S40" s="3">
        <v>0</v>
      </c>
      <c r="T40" s="2" t="s">
        <v>146</v>
      </c>
      <c r="U40" s="2" t="s">
        <v>124</v>
      </c>
      <c r="V40" s="12">
        <f t="shared" si="0"/>
        <v>45</v>
      </c>
      <c r="W40" s="13">
        <f t="shared" si="1"/>
        <v>0</v>
      </c>
      <c r="X40" s="10">
        <f t="shared" si="2"/>
        <v>0</v>
      </c>
      <c r="Y40" s="11">
        <f t="shared" si="5"/>
        <v>0</v>
      </c>
      <c r="Z40" s="2">
        <f t="shared" si="3"/>
        <v>90</v>
      </c>
      <c r="AA40" s="2">
        <f t="shared" si="4"/>
        <v>15</v>
      </c>
      <c r="AB40" s="2"/>
      <c r="AC40" s="2">
        <v>1</v>
      </c>
      <c r="AD40" s="6"/>
      <c r="AE40" s="1"/>
    </row>
    <row r="41" spans="1:31" ht="31.5" x14ac:dyDescent="0.25">
      <c r="A41" s="2">
        <v>40</v>
      </c>
      <c r="B41" s="3" t="s">
        <v>73</v>
      </c>
      <c r="C41" s="3"/>
      <c r="D41" s="3"/>
      <c r="E41" s="3" t="s">
        <v>74</v>
      </c>
      <c r="F41" s="4"/>
      <c r="G41" s="4" t="s">
        <v>106</v>
      </c>
      <c r="H41" s="5" t="s">
        <v>107</v>
      </c>
      <c r="I41" s="6"/>
      <c r="J41" s="3">
        <v>5</v>
      </c>
      <c r="K41" s="7">
        <v>3</v>
      </c>
      <c r="L41" s="8">
        <v>3</v>
      </c>
      <c r="M41" s="9"/>
      <c r="N41" s="17"/>
      <c r="O41" s="15"/>
      <c r="P41" s="2"/>
      <c r="Q41" s="2"/>
      <c r="R41" s="3">
        <v>0</v>
      </c>
      <c r="S41" s="3">
        <v>0</v>
      </c>
      <c r="T41" s="2" t="s">
        <v>143</v>
      </c>
      <c r="U41" s="2" t="s">
        <v>124</v>
      </c>
      <c r="V41" s="12">
        <f t="shared" si="0"/>
        <v>45</v>
      </c>
      <c r="W41" s="13">
        <f t="shared" si="1"/>
        <v>0</v>
      </c>
      <c r="X41" s="10">
        <f t="shared" si="2"/>
        <v>0</v>
      </c>
      <c r="Y41" s="11">
        <f t="shared" si="5"/>
        <v>0</v>
      </c>
      <c r="Z41" s="2">
        <f t="shared" si="3"/>
        <v>90</v>
      </c>
      <c r="AA41" s="2">
        <f t="shared" si="4"/>
        <v>15</v>
      </c>
      <c r="AB41" s="2"/>
      <c r="AC41" s="2">
        <v>1</v>
      </c>
      <c r="AD41" s="6"/>
      <c r="AE41" s="1"/>
    </row>
    <row r="42" spans="1:31" ht="31.5" x14ac:dyDescent="0.25">
      <c r="A42" s="2">
        <v>41</v>
      </c>
      <c r="B42" s="3" t="s">
        <v>73</v>
      </c>
      <c r="C42" s="3"/>
      <c r="D42" s="3"/>
      <c r="E42" s="3" t="s">
        <v>74</v>
      </c>
      <c r="F42" s="4"/>
      <c r="G42" s="4" t="s">
        <v>97</v>
      </c>
      <c r="H42" s="5" t="s">
        <v>98</v>
      </c>
      <c r="I42" s="6"/>
      <c r="J42" s="3">
        <v>5</v>
      </c>
      <c r="K42" s="7">
        <v>4</v>
      </c>
      <c r="L42" s="8">
        <v>4</v>
      </c>
      <c r="M42" s="9"/>
      <c r="N42" s="17"/>
      <c r="O42" s="15"/>
      <c r="P42" s="2"/>
      <c r="Q42" s="2"/>
      <c r="R42" s="3">
        <v>0</v>
      </c>
      <c r="S42" s="3">
        <v>0</v>
      </c>
      <c r="T42" s="2" t="s">
        <v>143</v>
      </c>
      <c r="U42" s="2" t="s">
        <v>124</v>
      </c>
      <c r="V42" s="12">
        <f t="shared" si="0"/>
        <v>60</v>
      </c>
      <c r="W42" s="13">
        <f t="shared" si="1"/>
        <v>0</v>
      </c>
      <c r="X42" s="10">
        <f t="shared" si="2"/>
        <v>0</v>
      </c>
      <c r="Y42" s="11">
        <f t="shared" si="5"/>
        <v>0</v>
      </c>
      <c r="Z42" s="2">
        <f t="shared" si="3"/>
        <v>120</v>
      </c>
      <c r="AA42" s="2">
        <f t="shared" si="4"/>
        <v>20</v>
      </c>
      <c r="AB42" s="2"/>
      <c r="AC42" s="2">
        <v>1</v>
      </c>
      <c r="AD42" s="6"/>
      <c r="AE42" s="1"/>
    </row>
    <row r="43" spans="1:31" ht="31.5" x14ac:dyDescent="0.25">
      <c r="A43" s="2">
        <v>42</v>
      </c>
      <c r="B43" s="3" t="s">
        <v>73</v>
      </c>
      <c r="C43" s="3"/>
      <c r="D43" s="3"/>
      <c r="E43" s="3" t="s">
        <v>74</v>
      </c>
      <c r="F43" s="4"/>
      <c r="G43" s="4" t="s">
        <v>258</v>
      </c>
      <c r="H43" s="5" t="s">
        <v>259</v>
      </c>
      <c r="I43" s="6"/>
      <c r="J43" s="3">
        <v>6</v>
      </c>
      <c r="K43" s="7">
        <v>3</v>
      </c>
      <c r="L43" s="8">
        <v>3</v>
      </c>
      <c r="M43" s="9"/>
      <c r="N43" s="17"/>
      <c r="O43" s="15"/>
      <c r="P43" s="2"/>
      <c r="Q43" s="2"/>
      <c r="R43" s="3">
        <v>0</v>
      </c>
      <c r="S43" s="3">
        <v>0</v>
      </c>
      <c r="T43" s="2" t="s">
        <v>260</v>
      </c>
      <c r="U43" s="2" t="s">
        <v>124</v>
      </c>
      <c r="V43" s="12">
        <f t="shared" si="0"/>
        <v>45</v>
      </c>
      <c r="W43" s="13">
        <f t="shared" si="1"/>
        <v>0</v>
      </c>
      <c r="X43" s="10">
        <f t="shared" si="2"/>
        <v>0</v>
      </c>
      <c r="Y43" s="11">
        <f t="shared" si="5"/>
        <v>0</v>
      </c>
      <c r="Z43" s="2">
        <f t="shared" si="3"/>
        <v>90</v>
      </c>
      <c r="AA43" s="2">
        <f t="shared" si="4"/>
        <v>15</v>
      </c>
      <c r="AB43" s="2"/>
      <c r="AC43" s="2">
        <v>1</v>
      </c>
      <c r="AD43" s="6"/>
      <c r="AE43" s="1"/>
    </row>
    <row r="44" spans="1:31" ht="31.5" x14ac:dyDescent="0.25">
      <c r="A44" s="2">
        <v>43</v>
      </c>
      <c r="B44" s="3" t="s">
        <v>73</v>
      </c>
      <c r="C44" s="3"/>
      <c r="D44" s="3"/>
      <c r="E44" s="3" t="s">
        <v>74</v>
      </c>
      <c r="F44" s="4"/>
      <c r="G44" s="4" t="s">
        <v>171</v>
      </c>
      <c r="H44" s="5" t="s">
        <v>172</v>
      </c>
      <c r="I44" s="6"/>
      <c r="J44" s="3">
        <v>6</v>
      </c>
      <c r="K44" s="7">
        <v>3</v>
      </c>
      <c r="L44" s="8">
        <v>2</v>
      </c>
      <c r="M44" s="9">
        <v>1</v>
      </c>
      <c r="N44" s="17"/>
      <c r="O44" s="15"/>
      <c r="P44" s="2" t="s">
        <v>11</v>
      </c>
      <c r="Q44" s="2"/>
      <c r="R44" s="3">
        <v>0</v>
      </c>
      <c r="S44" s="3">
        <v>0</v>
      </c>
      <c r="T44" s="2" t="s">
        <v>87</v>
      </c>
      <c r="U44" s="2" t="s">
        <v>124</v>
      </c>
      <c r="V44" s="12">
        <f t="shared" si="0"/>
        <v>30</v>
      </c>
      <c r="W44" s="13">
        <f t="shared" si="1"/>
        <v>30</v>
      </c>
      <c r="X44" s="10">
        <f t="shared" si="2"/>
        <v>0</v>
      </c>
      <c r="Y44" s="11">
        <f t="shared" si="5"/>
        <v>0</v>
      </c>
      <c r="Z44" s="2">
        <f t="shared" si="3"/>
        <v>75</v>
      </c>
      <c r="AA44" s="2">
        <f t="shared" si="4"/>
        <v>15</v>
      </c>
      <c r="AB44" s="2"/>
      <c r="AC44" s="2">
        <v>1</v>
      </c>
      <c r="AD44" s="6"/>
      <c r="AE44" s="1"/>
    </row>
    <row r="45" spans="1:31" ht="31.5" x14ac:dyDescent="0.25">
      <c r="A45" s="2">
        <v>44</v>
      </c>
      <c r="B45" s="3" t="s">
        <v>73</v>
      </c>
      <c r="C45" s="3"/>
      <c r="D45" s="3"/>
      <c r="E45" s="3" t="s">
        <v>74</v>
      </c>
      <c r="F45" s="4"/>
      <c r="G45" s="4" t="s">
        <v>95</v>
      </c>
      <c r="H45" s="5" t="s">
        <v>96</v>
      </c>
      <c r="I45" s="6"/>
      <c r="J45" s="3">
        <v>6</v>
      </c>
      <c r="K45" s="7">
        <v>3</v>
      </c>
      <c r="L45" s="8">
        <v>3</v>
      </c>
      <c r="M45" s="9"/>
      <c r="N45" s="17"/>
      <c r="O45" s="15"/>
      <c r="P45" s="2"/>
      <c r="Q45" s="2"/>
      <c r="R45" s="3">
        <v>0</v>
      </c>
      <c r="S45" s="3">
        <v>0</v>
      </c>
      <c r="T45" s="2" t="s">
        <v>261</v>
      </c>
      <c r="U45" s="2" t="s">
        <v>124</v>
      </c>
      <c r="V45" s="12">
        <f t="shared" si="0"/>
        <v>45</v>
      </c>
      <c r="W45" s="13">
        <f t="shared" si="1"/>
        <v>0</v>
      </c>
      <c r="X45" s="10">
        <f t="shared" si="2"/>
        <v>0</v>
      </c>
      <c r="Y45" s="11">
        <f t="shared" si="5"/>
        <v>0</v>
      </c>
      <c r="Z45" s="2">
        <f t="shared" si="3"/>
        <v>90</v>
      </c>
      <c r="AA45" s="2">
        <f t="shared" si="4"/>
        <v>15</v>
      </c>
      <c r="AB45" s="2"/>
      <c r="AC45" s="2">
        <v>1</v>
      </c>
      <c r="AD45" s="6"/>
      <c r="AE45" s="1"/>
    </row>
    <row r="46" spans="1:31" ht="31.5" x14ac:dyDescent="0.25">
      <c r="A46" s="2">
        <v>45</v>
      </c>
      <c r="B46" s="3" t="s">
        <v>73</v>
      </c>
      <c r="C46" s="3"/>
      <c r="D46" s="3"/>
      <c r="E46" s="3" t="s">
        <v>74</v>
      </c>
      <c r="F46" s="4"/>
      <c r="G46" s="4" t="s">
        <v>177</v>
      </c>
      <c r="H46" s="5" t="s">
        <v>178</v>
      </c>
      <c r="I46" s="6"/>
      <c r="J46" s="3">
        <v>6</v>
      </c>
      <c r="K46" s="7">
        <v>3</v>
      </c>
      <c r="L46" s="8">
        <v>1</v>
      </c>
      <c r="M46" s="9">
        <v>2</v>
      </c>
      <c r="N46" s="17"/>
      <c r="O46" s="15"/>
      <c r="P46" s="2" t="s">
        <v>11</v>
      </c>
      <c r="Q46" s="2"/>
      <c r="R46" s="3">
        <v>0</v>
      </c>
      <c r="S46" s="3">
        <v>0</v>
      </c>
      <c r="T46" s="2" t="s">
        <v>87</v>
      </c>
      <c r="U46" s="2" t="s">
        <v>124</v>
      </c>
      <c r="V46" s="12">
        <f t="shared" si="0"/>
        <v>15</v>
      </c>
      <c r="W46" s="13">
        <f t="shared" si="1"/>
        <v>60</v>
      </c>
      <c r="X46" s="10">
        <f t="shared" si="2"/>
        <v>0</v>
      </c>
      <c r="Y46" s="11">
        <f t="shared" si="5"/>
        <v>0</v>
      </c>
      <c r="Z46" s="2">
        <f t="shared" si="3"/>
        <v>60</v>
      </c>
      <c r="AA46" s="2">
        <f t="shared" si="4"/>
        <v>15</v>
      </c>
      <c r="AB46" s="2"/>
      <c r="AC46" s="2">
        <v>1</v>
      </c>
      <c r="AD46" s="6"/>
      <c r="AE46" s="1"/>
    </row>
    <row r="47" spans="1:31" ht="31.5" x14ac:dyDescent="0.25">
      <c r="A47" s="2">
        <v>46</v>
      </c>
      <c r="B47" s="3" t="s">
        <v>73</v>
      </c>
      <c r="C47" s="3"/>
      <c r="D47" s="3"/>
      <c r="E47" s="3" t="s">
        <v>74</v>
      </c>
      <c r="F47" s="4"/>
      <c r="G47" s="4" t="s">
        <v>221</v>
      </c>
      <c r="H47" s="5" t="s">
        <v>181</v>
      </c>
      <c r="I47" s="6"/>
      <c r="J47" s="3">
        <v>6</v>
      </c>
      <c r="K47" s="7">
        <v>3</v>
      </c>
      <c r="L47" s="8"/>
      <c r="M47" s="9"/>
      <c r="N47" s="17"/>
      <c r="O47" s="15">
        <v>3</v>
      </c>
      <c r="P47" s="2"/>
      <c r="Q47" s="2"/>
      <c r="R47" s="3">
        <v>0</v>
      </c>
      <c r="S47" s="3">
        <v>0</v>
      </c>
      <c r="T47" s="2" t="s">
        <v>262</v>
      </c>
      <c r="U47" s="2" t="s">
        <v>124</v>
      </c>
      <c r="V47" s="12">
        <f t="shared" si="0"/>
        <v>0</v>
      </c>
      <c r="W47" s="13">
        <f t="shared" si="1"/>
        <v>0</v>
      </c>
      <c r="X47" s="10">
        <f t="shared" si="2"/>
        <v>0</v>
      </c>
      <c r="Y47" s="11">
        <f t="shared" si="5"/>
        <v>135</v>
      </c>
      <c r="Z47" s="2">
        <f t="shared" si="3"/>
        <v>135</v>
      </c>
      <c r="AA47" s="2">
        <f t="shared" si="4"/>
        <v>15</v>
      </c>
      <c r="AB47" s="2"/>
      <c r="AC47" s="2">
        <v>1</v>
      </c>
      <c r="AD47" s="6"/>
      <c r="AE47" s="1"/>
    </row>
    <row r="48" spans="1:31" ht="31.5" x14ac:dyDescent="0.25">
      <c r="A48" s="2">
        <v>47</v>
      </c>
      <c r="B48" s="19" t="s">
        <v>263</v>
      </c>
      <c r="C48" s="20" t="s">
        <v>264</v>
      </c>
      <c r="D48" s="20" t="s">
        <v>265</v>
      </c>
      <c r="E48" s="3" t="s">
        <v>74</v>
      </c>
      <c r="F48" s="4"/>
      <c r="G48" s="4" t="s">
        <v>168</v>
      </c>
      <c r="H48" s="5" t="s">
        <v>169</v>
      </c>
      <c r="I48" s="6"/>
      <c r="J48" s="3">
        <v>7</v>
      </c>
      <c r="K48" s="7">
        <v>3</v>
      </c>
      <c r="L48" s="8">
        <v>3</v>
      </c>
      <c r="M48" s="9"/>
      <c r="N48" s="17"/>
      <c r="O48" s="15"/>
      <c r="P48" s="2"/>
      <c r="Q48" s="2"/>
      <c r="R48" s="3">
        <v>1</v>
      </c>
      <c r="S48" s="3">
        <v>0</v>
      </c>
      <c r="T48" s="2" t="s">
        <v>143</v>
      </c>
      <c r="U48" s="2" t="s">
        <v>124</v>
      </c>
      <c r="V48" s="12">
        <f t="shared" si="0"/>
        <v>45</v>
      </c>
      <c r="W48" s="13">
        <f t="shared" si="1"/>
        <v>0</v>
      </c>
      <c r="X48" s="10">
        <f t="shared" si="2"/>
        <v>0</v>
      </c>
      <c r="Y48" s="11">
        <f t="shared" si="5"/>
        <v>0</v>
      </c>
      <c r="Z48" s="2">
        <f t="shared" si="3"/>
        <v>90</v>
      </c>
      <c r="AA48" s="2">
        <f t="shared" si="4"/>
        <v>15</v>
      </c>
      <c r="AB48" s="2"/>
      <c r="AC48" s="2">
        <v>1</v>
      </c>
      <c r="AD48" s="6"/>
      <c r="AE48" s="1"/>
    </row>
    <row r="49" spans="1:31" ht="31.5" x14ac:dyDescent="0.25">
      <c r="A49" s="2">
        <v>48</v>
      </c>
      <c r="B49" s="19" t="s">
        <v>263</v>
      </c>
      <c r="C49" s="20" t="s">
        <v>264</v>
      </c>
      <c r="D49" s="20" t="s">
        <v>265</v>
      </c>
      <c r="E49" s="3" t="s">
        <v>74</v>
      </c>
      <c r="F49" s="4"/>
      <c r="G49" s="4" t="s">
        <v>266</v>
      </c>
      <c r="H49" s="5" t="s">
        <v>267</v>
      </c>
      <c r="I49" s="6"/>
      <c r="J49" s="3">
        <v>0</v>
      </c>
      <c r="K49" s="7">
        <v>3</v>
      </c>
      <c r="L49" s="8">
        <v>3</v>
      </c>
      <c r="M49" s="9"/>
      <c r="N49" s="17"/>
      <c r="O49" s="15"/>
      <c r="P49" s="2"/>
      <c r="Q49" s="2"/>
      <c r="R49" s="3">
        <v>1</v>
      </c>
      <c r="S49" s="3">
        <v>0</v>
      </c>
      <c r="T49" s="2" t="s">
        <v>97</v>
      </c>
      <c r="U49" s="2" t="s">
        <v>124</v>
      </c>
      <c r="V49" s="12">
        <f t="shared" si="0"/>
        <v>45</v>
      </c>
      <c r="W49" s="13">
        <f t="shared" si="1"/>
        <v>0</v>
      </c>
      <c r="X49" s="10">
        <f t="shared" si="2"/>
        <v>0</v>
      </c>
      <c r="Y49" s="11">
        <f t="shared" si="5"/>
        <v>0</v>
      </c>
      <c r="Z49" s="2">
        <f t="shared" si="3"/>
        <v>90</v>
      </c>
      <c r="AA49" s="2">
        <f t="shared" si="4"/>
        <v>15</v>
      </c>
      <c r="AB49" s="2"/>
      <c r="AC49" s="2">
        <v>1</v>
      </c>
      <c r="AD49" s="6"/>
      <c r="AE49" s="1"/>
    </row>
    <row r="50" spans="1:31" ht="31.5" x14ac:dyDescent="0.25">
      <c r="A50" s="2">
        <v>49</v>
      </c>
      <c r="B50" s="19" t="s">
        <v>263</v>
      </c>
      <c r="C50" s="20" t="s">
        <v>264</v>
      </c>
      <c r="D50" s="20" t="s">
        <v>265</v>
      </c>
      <c r="E50" s="3" t="s">
        <v>74</v>
      </c>
      <c r="F50" s="4"/>
      <c r="G50" s="4" t="s">
        <v>268</v>
      </c>
      <c r="H50" s="14" t="s">
        <v>269</v>
      </c>
      <c r="I50" s="6"/>
      <c r="J50" s="3">
        <v>0</v>
      </c>
      <c r="K50" s="7">
        <v>3</v>
      </c>
      <c r="L50" s="8">
        <v>3</v>
      </c>
      <c r="M50" s="9"/>
      <c r="N50" s="17"/>
      <c r="O50" s="15"/>
      <c r="P50" s="2"/>
      <c r="Q50" s="2"/>
      <c r="R50" s="3">
        <v>1</v>
      </c>
      <c r="S50" s="3">
        <v>0</v>
      </c>
      <c r="T50" s="2" t="s">
        <v>87</v>
      </c>
      <c r="U50" s="2" t="s">
        <v>124</v>
      </c>
      <c r="V50" s="12">
        <f t="shared" si="0"/>
        <v>45</v>
      </c>
      <c r="W50" s="13">
        <f t="shared" si="1"/>
        <v>0</v>
      </c>
      <c r="X50" s="10">
        <f t="shared" si="2"/>
        <v>0</v>
      </c>
      <c r="Y50" s="11">
        <f t="shared" si="5"/>
        <v>0</v>
      </c>
      <c r="Z50" s="2">
        <f t="shared" si="3"/>
        <v>90</v>
      </c>
      <c r="AA50" s="2">
        <f t="shared" si="4"/>
        <v>15</v>
      </c>
      <c r="AB50" s="2"/>
      <c r="AC50" s="2">
        <v>1</v>
      </c>
      <c r="AD50" s="6"/>
      <c r="AE50" s="1"/>
    </row>
    <row r="51" spans="1:31" ht="31.5" x14ac:dyDescent="0.25">
      <c r="A51" s="2">
        <v>50</v>
      </c>
      <c r="B51" s="19" t="s">
        <v>263</v>
      </c>
      <c r="C51" s="20" t="s">
        <v>264</v>
      </c>
      <c r="D51" s="20" t="s">
        <v>265</v>
      </c>
      <c r="E51" s="3" t="s">
        <v>74</v>
      </c>
      <c r="F51" s="4"/>
      <c r="G51" s="4" t="s">
        <v>270</v>
      </c>
      <c r="H51" s="14" t="s">
        <v>271</v>
      </c>
      <c r="I51" s="6"/>
      <c r="J51" s="3">
        <v>6</v>
      </c>
      <c r="K51" s="7">
        <v>3</v>
      </c>
      <c r="L51" s="8">
        <v>3</v>
      </c>
      <c r="M51" s="9"/>
      <c r="N51" s="17"/>
      <c r="O51" s="15"/>
      <c r="P51" s="2"/>
      <c r="Q51" s="2"/>
      <c r="R51" s="3">
        <v>1</v>
      </c>
      <c r="S51" s="3">
        <v>0</v>
      </c>
      <c r="T51" s="2" t="s">
        <v>229</v>
      </c>
      <c r="U51" s="2" t="s">
        <v>124</v>
      </c>
      <c r="V51" s="12">
        <f t="shared" si="0"/>
        <v>45</v>
      </c>
      <c r="W51" s="13">
        <f t="shared" si="1"/>
        <v>0</v>
      </c>
      <c r="X51" s="10">
        <f t="shared" si="2"/>
        <v>0</v>
      </c>
      <c r="Y51" s="11">
        <f t="shared" si="5"/>
        <v>0</v>
      </c>
      <c r="Z51" s="2">
        <f t="shared" si="3"/>
        <v>90</v>
      </c>
      <c r="AA51" s="2">
        <f t="shared" si="4"/>
        <v>15</v>
      </c>
      <c r="AB51" s="2"/>
      <c r="AC51" s="2">
        <v>1</v>
      </c>
      <c r="AD51" s="6"/>
      <c r="AE51" s="1"/>
    </row>
    <row r="52" spans="1:31" ht="31.5" x14ac:dyDescent="0.25">
      <c r="A52" s="2">
        <v>51</v>
      </c>
      <c r="B52" s="19" t="s">
        <v>263</v>
      </c>
      <c r="C52" s="20" t="s">
        <v>264</v>
      </c>
      <c r="D52" s="20" t="s">
        <v>265</v>
      </c>
      <c r="E52" s="3" t="s">
        <v>74</v>
      </c>
      <c r="F52" s="4"/>
      <c r="G52" s="4" t="s">
        <v>174</v>
      </c>
      <c r="H52" s="14" t="s">
        <v>175</v>
      </c>
      <c r="I52" s="6"/>
      <c r="J52" s="3">
        <v>7</v>
      </c>
      <c r="K52" s="7">
        <v>3</v>
      </c>
      <c r="L52" s="8">
        <v>1</v>
      </c>
      <c r="M52" s="9">
        <v>2</v>
      </c>
      <c r="N52" s="17"/>
      <c r="O52" s="15"/>
      <c r="P52" s="2" t="s">
        <v>11</v>
      </c>
      <c r="Q52" s="2"/>
      <c r="R52" s="3">
        <v>1</v>
      </c>
      <c r="S52" s="3">
        <v>0</v>
      </c>
      <c r="T52" s="2" t="s">
        <v>87</v>
      </c>
      <c r="U52" s="2" t="s">
        <v>124</v>
      </c>
      <c r="V52" s="12">
        <f t="shared" si="0"/>
        <v>15</v>
      </c>
      <c r="W52" s="13">
        <f t="shared" si="1"/>
        <v>60</v>
      </c>
      <c r="X52" s="10">
        <f t="shared" si="2"/>
        <v>0</v>
      </c>
      <c r="Y52" s="11">
        <f t="shared" si="5"/>
        <v>0</v>
      </c>
      <c r="Z52" s="2">
        <f t="shared" si="3"/>
        <v>60</v>
      </c>
      <c r="AA52" s="2">
        <f t="shared" si="4"/>
        <v>15</v>
      </c>
      <c r="AB52" s="2"/>
      <c r="AC52" s="2">
        <v>1</v>
      </c>
      <c r="AD52" s="6"/>
      <c r="AE52" s="1"/>
    </row>
    <row r="53" spans="1:31" ht="31.5" x14ac:dyDescent="0.25">
      <c r="A53" s="2">
        <v>52</v>
      </c>
      <c r="B53" s="19" t="s">
        <v>263</v>
      </c>
      <c r="C53" s="20" t="s">
        <v>264</v>
      </c>
      <c r="D53" s="20" t="s">
        <v>265</v>
      </c>
      <c r="E53" s="3" t="s">
        <v>74</v>
      </c>
      <c r="F53" s="4"/>
      <c r="G53" s="4" t="s">
        <v>101</v>
      </c>
      <c r="H53" s="14" t="s">
        <v>102</v>
      </c>
      <c r="I53" s="6"/>
      <c r="J53" s="3">
        <v>7</v>
      </c>
      <c r="K53" s="7">
        <v>3</v>
      </c>
      <c r="L53" s="8">
        <v>3</v>
      </c>
      <c r="M53" s="9"/>
      <c r="N53" s="17"/>
      <c r="O53" s="15"/>
      <c r="P53" s="2"/>
      <c r="Q53" s="2"/>
      <c r="R53" s="3">
        <v>1</v>
      </c>
      <c r="S53" s="3">
        <v>0</v>
      </c>
      <c r="T53" s="2" t="s">
        <v>143</v>
      </c>
      <c r="U53" s="2" t="s">
        <v>124</v>
      </c>
      <c r="V53" s="12">
        <f t="shared" si="0"/>
        <v>45</v>
      </c>
      <c r="W53" s="13">
        <f t="shared" si="1"/>
        <v>0</v>
      </c>
      <c r="X53" s="10">
        <f t="shared" si="2"/>
        <v>0</v>
      </c>
      <c r="Y53" s="11">
        <f t="shared" si="5"/>
        <v>0</v>
      </c>
      <c r="Z53" s="2">
        <f t="shared" si="3"/>
        <v>90</v>
      </c>
      <c r="AA53" s="2">
        <f t="shared" si="4"/>
        <v>15</v>
      </c>
      <c r="AB53" s="2"/>
      <c r="AC53" s="2">
        <v>1</v>
      </c>
      <c r="AD53" s="6"/>
      <c r="AE53" s="1"/>
    </row>
    <row r="54" spans="1:31" ht="31.5" x14ac:dyDescent="0.25">
      <c r="A54" s="2">
        <v>53</v>
      </c>
      <c r="B54" s="19" t="s">
        <v>263</v>
      </c>
      <c r="C54" s="20" t="s">
        <v>264</v>
      </c>
      <c r="D54" s="20" t="s">
        <v>265</v>
      </c>
      <c r="E54" s="3" t="s">
        <v>74</v>
      </c>
      <c r="F54" s="4"/>
      <c r="G54" s="4" t="s">
        <v>196</v>
      </c>
      <c r="H54" s="14" t="s">
        <v>113</v>
      </c>
      <c r="I54" s="6"/>
      <c r="J54" s="3">
        <v>7</v>
      </c>
      <c r="K54" s="7">
        <v>3</v>
      </c>
      <c r="L54" s="8">
        <v>3</v>
      </c>
      <c r="M54" s="9"/>
      <c r="N54" s="17"/>
      <c r="O54" s="15"/>
      <c r="P54" s="2"/>
      <c r="Q54" s="2"/>
      <c r="R54" s="3">
        <v>1</v>
      </c>
      <c r="S54" s="3">
        <v>0</v>
      </c>
      <c r="T54" s="2" t="s">
        <v>143</v>
      </c>
      <c r="U54" s="2" t="s">
        <v>124</v>
      </c>
      <c r="V54" s="12">
        <f t="shared" si="0"/>
        <v>45</v>
      </c>
      <c r="W54" s="13">
        <f t="shared" si="1"/>
        <v>0</v>
      </c>
      <c r="X54" s="10">
        <f t="shared" si="2"/>
        <v>0</v>
      </c>
      <c r="Y54" s="11">
        <f t="shared" si="5"/>
        <v>0</v>
      </c>
      <c r="Z54" s="2">
        <f t="shared" si="3"/>
        <v>90</v>
      </c>
      <c r="AA54" s="2">
        <f t="shared" si="4"/>
        <v>15</v>
      </c>
      <c r="AB54" s="2"/>
      <c r="AC54" s="2">
        <v>1</v>
      </c>
      <c r="AD54" s="6"/>
      <c r="AE54" s="1"/>
    </row>
    <row r="55" spans="1:31" ht="31.5" x14ac:dyDescent="0.25">
      <c r="A55" s="2">
        <v>54</v>
      </c>
      <c r="B55" s="19" t="s">
        <v>263</v>
      </c>
      <c r="C55" s="20" t="s">
        <v>264</v>
      </c>
      <c r="D55" s="20" t="s">
        <v>265</v>
      </c>
      <c r="E55" s="3" t="s">
        <v>74</v>
      </c>
      <c r="F55" s="4"/>
      <c r="G55" s="4" t="s">
        <v>104</v>
      </c>
      <c r="H55" s="14" t="s">
        <v>105</v>
      </c>
      <c r="I55" s="6"/>
      <c r="J55" s="3">
        <v>6</v>
      </c>
      <c r="K55" s="7">
        <v>3</v>
      </c>
      <c r="L55" s="8">
        <v>3</v>
      </c>
      <c r="M55" s="9"/>
      <c r="N55" s="17"/>
      <c r="O55" s="15"/>
      <c r="P55" s="2"/>
      <c r="Q55" s="2"/>
      <c r="R55" s="3">
        <v>1</v>
      </c>
      <c r="S55" s="3">
        <v>0</v>
      </c>
      <c r="T55" s="2" t="s">
        <v>87</v>
      </c>
      <c r="U55" s="2" t="s">
        <v>124</v>
      </c>
      <c r="V55" s="12">
        <f t="shared" si="0"/>
        <v>45</v>
      </c>
      <c r="W55" s="13">
        <f t="shared" si="1"/>
        <v>0</v>
      </c>
      <c r="X55" s="10">
        <f t="shared" si="2"/>
        <v>0</v>
      </c>
      <c r="Y55" s="11">
        <f t="shared" si="5"/>
        <v>0</v>
      </c>
      <c r="Z55" s="2">
        <f t="shared" si="3"/>
        <v>90</v>
      </c>
      <c r="AA55" s="2">
        <f t="shared" si="4"/>
        <v>15</v>
      </c>
      <c r="AB55" s="2"/>
      <c r="AC55" s="2">
        <v>1</v>
      </c>
      <c r="AD55" s="6"/>
      <c r="AE55" s="1"/>
    </row>
    <row r="56" spans="1:31" ht="31.5" x14ac:dyDescent="0.25">
      <c r="A56" s="2">
        <v>55</v>
      </c>
      <c r="B56" s="19" t="s">
        <v>272</v>
      </c>
      <c r="C56" s="20" t="s">
        <v>273</v>
      </c>
      <c r="D56" s="20" t="s">
        <v>274</v>
      </c>
      <c r="E56" s="3" t="s">
        <v>74</v>
      </c>
      <c r="F56" s="4"/>
      <c r="G56" s="4" t="s">
        <v>268</v>
      </c>
      <c r="H56" s="14" t="s">
        <v>269</v>
      </c>
      <c r="I56" s="6"/>
      <c r="J56" s="3">
        <v>0</v>
      </c>
      <c r="K56" s="7">
        <v>3</v>
      </c>
      <c r="L56" s="8">
        <v>3</v>
      </c>
      <c r="M56" s="9"/>
      <c r="N56" s="17"/>
      <c r="O56" s="15"/>
      <c r="P56" s="2"/>
      <c r="Q56" s="2"/>
      <c r="R56" s="3">
        <v>1</v>
      </c>
      <c r="S56" s="3">
        <v>0</v>
      </c>
      <c r="T56" s="2" t="s">
        <v>87</v>
      </c>
      <c r="U56" s="2" t="s">
        <v>124</v>
      </c>
      <c r="V56" s="12">
        <f t="shared" si="0"/>
        <v>45</v>
      </c>
      <c r="W56" s="13">
        <f t="shared" si="1"/>
        <v>0</v>
      </c>
      <c r="X56" s="10">
        <f t="shared" si="2"/>
        <v>0</v>
      </c>
      <c r="Y56" s="11">
        <f t="shared" si="5"/>
        <v>0</v>
      </c>
      <c r="Z56" s="2">
        <f t="shared" si="3"/>
        <v>90</v>
      </c>
      <c r="AA56" s="2">
        <f t="shared" si="4"/>
        <v>15</v>
      </c>
      <c r="AB56" s="2"/>
      <c r="AC56" s="2">
        <v>1</v>
      </c>
      <c r="AD56" s="6"/>
      <c r="AE56" s="1"/>
    </row>
    <row r="57" spans="1:31" ht="31.5" x14ac:dyDescent="0.25">
      <c r="A57" s="2">
        <v>56</v>
      </c>
      <c r="B57" s="19" t="s">
        <v>272</v>
      </c>
      <c r="C57" s="20" t="s">
        <v>273</v>
      </c>
      <c r="D57" s="20" t="s">
        <v>274</v>
      </c>
      <c r="E57" s="3" t="s">
        <v>74</v>
      </c>
      <c r="F57" s="4"/>
      <c r="G57" s="4" t="s">
        <v>101</v>
      </c>
      <c r="H57" s="14" t="s">
        <v>102</v>
      </c>
      <c r="I57" s="6"/>
      <c r="J57" s="3">
        <v>7</v>
      </c>
      <c r="K57" s="7">
        <v>3</v>
      </c>
      <c r="L57" s="8">
        <v>3</v>
      </c>
      <c r="M57" s="9"/>
      <c r="N57" s="17"/>
      <c r="O57" s="15"/>
      <c r="P57" s="2"/>
      <c r="Q57" s="2"/>
      <c r="R57" s="3">
        <v>1</v>
      </c>
      <c r="S57" s="3">
        <v>0</v>
      </c>
      <c r="T57" s="2" t="s">
        <v>143</v>
      </c>
      <c r="U57" s="2" t="s">
        <v>124</v>
      </c>
      <c r="V57" s="12">
        <f t="shared" si="0"/>
        <v>45</v>
      </c>
      <c r="W57" s="13">
        <f t="shared" si="1"/>
        <v>0</v>
      </c>
      <c r="X57" s="10">
        <f t="shared" si="2"/>
        <v>0</v>
      </c>
      <c r="Y57" s="11">
        <f t="shared" si="5"/>
        <v>0</v>
      </c>
      <c r="Z57" s="2">
        <f t="shared" si="3"/>
        <v>90</v>
      </c>
      <c r="AA57" s="2">
        <f t="shared" si="4"/>
        <v>15</v>
      </c>
      <c r="AB57" s="2"/>
      <c r="AC57" s="2">
        <v>1</v>
      </c>
      <c r="AD57" s="6"/>
      <c r="AE57" s="1"/>
    </row>
    <row r="58" spans="1:31" ht="31.5" x14ac:dyDescent="0.25">
      <c r="A58" s="2">
        <v>57</v>
      </c>
      <c r="B58" s="19" t="s">
        <v>272</v>
      </c>
      <c r="C58" s="20" t="s">
        <v>273</v>
      </c>
      <c r="D58" s="20" t="s">
        <v>274</v>
      </c>
      <c r="E58" s="3" t="s">
        <v>74</v>
      </c>
      <c r="F58" s="4"/>
      <c r="G58" s="4" t="s">
        <v>196</v>
      </c>
      <c r="H58" s="14" t="s">
        <v>113</v>
      </c>
      <c r="I58" s="6"/>
      <c r="J58" s="3">
        <v>7</v>
      </c>
      <c r="K58" s="7">
        <v>3</v>
      </c>
      <c r="L58" s="8">
        <v>3</v>
      </c>
      <c r="M58" s="9"/>
      <c r="N58" s="17"/>
      <c r="O58" s="15"/>
      <c r="P58" s="2"/>
      <c r="Q58" s="2"/>
      <c r="R58" s="3">
        <v>1</v>
      </c>
      <c r="S58" s="3">
        <v>0</v>
      </c>
      <c r="T58" s="2" t="s">
        <v>143</v>
      </c>
      <c r="U58" s="2" t="s">
        <v>124</v>
      </c>
      <c r="V58" s="12">
        <f t="shared" si="0"/>
        <v>45</v>
      </c>
      <c r="W58" s="13">
        <f t="shared" si="1"/>
        <v>0</v>
      </c>
      <c r="X58" s="10">
        <f t="shared" si="2"/>
        <v>0</v>
      </c>
      <c r="Y58" s="11">
        <f t="shared" si="5"/>
        <v>0</v>
      </c>
      <c r="Z58" s="2">
        <f t="shared" si="3"/>
        <v>90</v>
      </c>
      <c r="AA58" s="2">
        <f t="shared" si="4"/>
        <v>15</v>
      </c>
      <c r="AB58" s="2"/>
      <c r="AC58" s="2">
        <v>1</v>
      </c>
      <c r="AD58" s="6"/>
      <c r="AE58" s="1"/>
    </row>
    <row r="59" spans="1:31" ht="31.5" x14ac:dyDescent="0.25">
      <c r="A59" s="2">
        <v>58</v>
      </c>
      <c r="B59" s="19" t="s">
        <v>272</v>
      </c>
      <c r="C59" s="20" t="s">
        <v>273</v>
      </c>
      <c r="D59" s="20" t="s">
        <v>274</v>
      </c>
      <c r="E59" s="3" t="s">
        <v>74</v>
      </c>
      <c r="F59" s="4"/>
      <c r="G59" s="4" t="s">
        <v>275</v>
      </c>
      <c r="H59" s="5" t="s">
        <v>276</v>
      </c>
      <c r="I59" s="6"/>
      <c r="J59" s="3">
        <v>7</v>
      </c>
      <c r="K59" s="7">
        <v>3</v>
      </c>
      <c r="L59" s="8">
        <v>1</v>
      </c>
      <c r="M59" s="9">
        <v>2</v>
      </c>
      <c r="N59" s="17"/>
      <c r="O59" s="15"/>
      <c r="P59" s="2" t="s">
        <v>11</v>
      </c>
      <c r="Q59" s="2"/>
      <c r="R59" s="3">
        <v>1</v>
      </c>
      <c r="S59" s="3">
        <v>0</v>
      </c>
      <c r="T59" s="2" t="s">
        <v>95</v>
      </c>
      <c r="U59" s="2" t="s">
        <v>124</v>
      </c>
      <c r="V59" s="12">
        <f t="shared" si="0"/>
        <v>15</v>
      </c>
      <c r="W59" s="13">
        <f t="shared" si="1"/>
        <v>60</v>
      </c>
      <c r="X59" s="10">
        <f t="shared" si="2"/>
        <v>0</v>
      </c>
      <c r="Y59" s="11">
        <f t="shared" si="5"/>
        <v>0</v>
      </c>
      <c r="Z59" s="2">
        <f t="shared" si="3"/>
        <v>60</v>
      </c>
      <c r="AA59" s="2">
        <f t="shared" si="4"/>
        <v>15</v>
      </c>
      <c r="AB59" s="2"/>
      <c r="AC59" s="2">
        <v>1</v>
      </c>
      <c r="AD59" s="6"/>
      <c r="AE59" s="1"/>
    </row>
    <row r="60" spans="1:31" ht="31.5" x14ac:dyDescent="0.25">
      <c r="A60" s="2">
        <v>59</v>
      </c>
      <c r="B60" s="19" t="s">
        <v>272</v>
      </c>
      <c r="C60" s="20" t="s">
        <v>273</v>
      </c>
      <c r="D60" s="20" t="s">
        <v>274</v>
      </c>
      <c r="E60" s="3" t="s">
        <v>74</v>
      </c>
      <c r="F60" s="4"/>
      <c r="G60" s="4" t="s">
        <v>277</v>
      </c>
      <c r="H60" s="5" t="s">
        <v>278</v>
      </c>
      <c r="I60" s="6"/>
      <c r="J60" s="3">
        <v>7</v>
      </c>
      <c r="K60" s="7">
        <v>3</v>
      </c>
      <c r="L60" s="8">
        <v>3</v>
      </c>
      <c r="M60" s="9"/>
      <c r="N60" s="17"/>
      <c r="O60" s="15"/>
      <c r="P60" s="2"/>
      <c r="Q60" s="2"/>
      <c r="R60" s="3">
        <v>1</v>
      </c>
      <c r="S60" s="3">
        <v>0</v>
      </c>
      <c r="T60" s="2" t="s">
        <v>214</v>
      </c>
      <c r="U60" s="2" t="s">
        <v>124</v>
      </c>
      <c r="V60" s="12">
        <f t="shared" si="0"/>
        <v>45</v>
      </c>
      <c r="W60" s="13">
        <f t="shared" si="1"/>
        <v>0</v>
      </c>
      <c r="X60" s="10">
        <f t="shared" si="2"/>
        <v>0</v>
      </c>
      <c r="Y60" s="11">
        <f t="shared" si="5"/>
        <v>0</v>
      </c>
      <c r="Z60" s="2">
        <f t="shared" si="3"/>
        <v>90</v>
      </c>
      <c r="AA60" s="2">
        <f t="shared" si="4"/>
        <v>15</v>
      </c>
      <c r="AB60" s="2"/>
      <c r="AC60" s="2">
        <v>1</v>
      </c>
      <c r="AD60" s="6"/>
      <c r="AE60" s="1"/>
    </row>
    <row r="61" spans="1:31" ht="31.5" x14ac:dyDescent="0.25">
      <c r="A61" s="2">
        <v>60</v>
      </c>
      <c r="B61" s="19" t="s">
        <v>272</v>
      </c>
      <c r="C61" s="20" t="s">
        <v>273</v>
      </c>
      <c r="D61" s="20" t="s">
        <v>274</v>
      </c>
      <c r="E61" s="3" t="s">
        <v>74</v>
      </c>
      <c r="F61" s="4"/>
      <c r="G61" s="4" t="s">
        <v>279</v>
      </c>
      <c r="H61" s="5" t="s">
        <v>280</v>
      </c>
      <c r="I61" s="6"/>
      <c r="J61" s="3">
        <v>7</v>
      </c>
      <c r="K61" s="7">
        <v>3</v>
      </c>
      <c r="L61" s="8">
        <v>3</v>
      </c>
      <c r="M61" s="9"/>
      <c r="N61" s="17"/>
      <c r="O61" s="15"/>
      <c r="P61" s="2"/>
      <c r="Q61" s="2"/>
      <c r="R61" s="3">
        <v>1</v>
      </c>
      <c r="S61" s="3">
        <v>0</v>
      </c>
      <c r="T61" s="2" t="s">
        <v>214</v>
      </c>
      <c r="U61" s="2" t="s">
        <v>124</v>
      </c>
      <c r="V61" s="12">
        <f t="shared" si="0"/>
        <v>45</v>
      </c>
      <c r="W61" s="13">
        <f t="shared" si="1"/>
        <v>0</v>
      </c>
      <c r="X61" s="10">
        <f t="shared" si="2"/>
        <v>0</v>
      </c>
      <c r="Y61" s="11">
        <f t="shared" si="5"/>
        <v>0</v>
      </c>
      <c r="Z61" s="2">
        <f t="shared" si="3"/>
        <v>90</v>
      </c>
      <c r="AA61" s="2">
        <f t="shared" si="4"/>
        <v>15</v>
      </c>
      <c r="AB61" s="2"/>
      <c r="AC61" s="2">
        <v>1</v>
      </c>
      <c r="AD61" s="6"/>
      <c r="AE61" s="1"/>
    </row>
    <row r="62" spans="1:31" ht="31.5" x14ac:dyDescent="0.25">
      <c r="A62" s="2">
        <v>61</v>
      </c>
      <c r="B62" s="19" t="s">
        <v>272</v>
      </c>
      <c r="C62" s="20" t="s">
        <v>273</v>
      </c>
      <c r="D62" s="20" t="s">
        <v>274</v>
      </c>
      <c r="E62" s="3" t="s">
        <v>74</v>
      </c>
      <c r="F62" s="4"/>
      <c r="G62" s="4" t="s">
        <v>281</v>
      </c>
      <c r="H62" s="5" t="s">
        <v>189</v>
      </c>
      <c r="I62" s="6"/>
      <c r="J62" s="3">
        <v>0</v>
      </c>
      <c r="K62" s="7">
        <v>3</v>
      </c>
      <c r="L62" s="8">
        <v>3</v>
      </c>
      <c r="M62" s="9"/>
      <c r="N62" s="17"/>
      <c r="O62" s="15"/>
      <c r="P62" s="2"/>
      <c r="Q62" s="2"/>
      <c r="R62" s="3">
        <v>1</v>
      </c>
      <c r="S62" s="3">
        <v>0</v>
      </c>
      <c r="T62" s="2" t="s">
        <v>165</v>
      </c>
      <c r="U62" s="2" t="s">
        <v>124</v>
      </c>
      <c r="V62" s="12">
        <f t="shared" si="0"/>
        <v>45</v>
      </c>
      <c r="W62" s="13">
        <f t="shared" si="1"/>
        <v>0</v>
      </c>
      <c r="X62" s="10">
        <f t="shared" si="2"/>
        <v>0</v>
      </c>
      <c r="Y62" s="11">
        <f t="shared" si="5"/>
        <v>0</v>
      </c>
      <c r="Z62" s="2">
        <f t="shared" si="3"/>
        <v>90</v>
      </c>
      <c r="AA62" s="2">
        <f t="shared" si="4"/>
        <v>15</v>
      </c>
      <c r="AB62" s="2"/>
      <c r="AC62" s="2">
        <v>1</v>
      </c>
      <c r="AD62" s="6"/>
      <c r="AE62" s="1"/>
    </row>
    <row r="63" spans="1:31" ht="15.75" x14ac:dyDescent="0.25">
      <c r="A63" s="2">
        <v>62</v>
      </c>
      <c r="B63" s="20" t="s">
        <v>118</v>
      </c>
      <c r="C63" s="3"/>
      <c r="D63" s="3"/>
      <c r="E63" s="3" t="s">
        <v>228</v>
      </c>
      <c r="F63" s="19"/>
      <c r="G63" s="4" t="s">
        <v>120</v>
      </c>
      <c r="H63" s="5" t="s">
        <v>121</v>
      </c>
      <c r="I63" s="6"/>
      <c r="J63" s="3">
        <v>8</v>
      </c>
      <c r="K63" s="7">
        <v>4</v>
      </c>
      <c r="L63" s="8"/>
      <c r="M63" s="9"/>
      <c r="N63" s="17"/>
      <c r="O63" s="15">
        <v>4</v>
      </c>
      <c r="P63" s="2"/>
      <c r="Q63" s="2"/>
      <c r="R63" s="3">
        <v>0</v>
      </c>
      <c r="S63" s="3">
        <v>0</v>
      </c>
      <c r="T63" s="2"/>
      <c r="U63" s="2"/>
      <c r="V63" s="12">
        <f t="shared" si="0"/>
        <v>0</v>
      </c>
      <c r="W63" s="13">
        <f t="shared" si="1"/>
        <v>0</v>
      </c>
      <c r="X63" s="10">
        <f t="shared" si="2"/>
        <v>0</v>
      </c>
      <c r="Y63" s="11">
        <f t="shared" si="5"/>
        <v>180</v>
      </c>
      <c r="Z63" s="2">
        <f t="shared" si="3"/>
        <v>180</v>
      </c>
      <c r="AA63" s="2">
        <f t="shared" si="4"/>
        <v>20</v>
      </c>
      <c r="AB63" s="2"/>
      <c r="AC63" s="2">
        <v>1</v>
      </c>
      <c r="AD63" s="6"/>
      <c r="AE63" s="1"/>
    </row>
    <row r="64" spans="1:31" ht="31.5" x14ac:dyDescent="0.25">
      <c r="A64" s="2">
        <v>63</v>
      </c>
      <c r="B64" s="20" t="s">
        <v>282</v>
      </c>
      <c r="C64" s="3"/>
      <c r="D64" s="3"/>
      <c r="E64" s="3" t="s">
        <v>119</v>
      </c>
      <c r="F64" s="19" t="s">
        <v>283</v>
      </c>
      <c r="G64" s="4" t="s">
        <v>122</v>
      </c>
      <c r="H64" s="5" t="s">
        <v>123</v>
      </c>
      <c r="I64" s="6"/>
      <c r="J64" s="3">
        <v>8</v>
      </c>
      <c r="K64" s="7">
        <v>6</v>
      </c>
      <c r="L64" s="8"/>
      <c r="M64" s="9"/>
      <c r="N64" s="17"/>
      <c r="O64" s="15">
        <v>6</v>
      </c>
      <c r="P64" s="2"/>
      <c r="Q64" s="2"/>
      <c r="R64" s="3">
        <v>1</v>
      </c>
      <c r="S64" s="3">
        <v>2</v>
      </c>
      <c r="T64" s="2"/>
      <c r="U64" s="2"/>
      <c r="V64" s="12">
        <f t="shared" si="0"/>
        <v>0</v>
      </c>
      <c r="W64" s="13">
        <f t="shared" si="1"/>
        <v>0</v>
      </c>
      <c r="X64" s="10">
        <f t="shared" si="2"/>
        <v>0</v>
      </c>
      <c r="Y64" s="11">
        <f t="shared" si="5"/>
        <v>270</v>
      </c>
      <c r="Z64" s="2">
        <f t="shared" si="3"/>
        <v>270</v>
      </c>
      <c r="AA64" s="2">
        <f t="shared" si="4"/>
        <v>30</v>
      </c>
      <c r="AB64" s="2"/>
      <c r="AC64" s="2">
        <v>1</v>
      </c>
      <c r="AD64" s="6"/>
      <c r="AE64" s="1"/>
    </row>
    <row r="65" spans="1:31" ht="31.5" x14ac:dyDescent="0.25">
      <c r="A65" s="2">
        <v>64</v>
      </c>
      <c r="B65" s="20" t="s">
        <v>284</v>
      </c>
      <c r="C65" s="3"/>
      <c r="D65" s="3"/>
      <c r="E65" s="3" t="s">
        <v>119</v>
      </c>
      <c r="F65" s="19" t="s">
        <v>283</v>
      </c>
      <c r="G65" s="4" t="s">
        <v>285</v>
      </c>
      <c r="H65" s="5" t="s">
        <v>286</v>
      </c>
      <c r="I65" s="6"/>
      <c r="J65" s="3">
        <v>8</v>
      </c>
      <c r="K65" s="7">
        <v>3</v>
      </c>
      <c r="L65" s="8">
        <v>3</v>
      </c>
      <c r="M65" s="9"/>
      <c r="N65" s="17"/>
      <c r="O65" s="15"/>
      <c r="P65" s="2"/>
      <c r="Q65" s="2"/>
      <c r="R65" s="3">
        <v>1</v>
      </c>
      <c r="S65" s="3">
        <v>2</v>
      </c>
      <c r="T65" s="2" t="s">
        <v>87</v>
      </c>
      <c r="U65" s="2" t="s">
        <v>124</v>
      </c>
      <c r="V65" s="12">
        <f t="shared" si="0"/>
        <v>45</v>
      </c>
      <c r="W65" s="13">
        <f t="shared" si="1"/>
        <v>0</v>
      </c>
      <c r="X65" s="10">
        <f t="shared" si="2"/>
        <v>0</v>
      </c>
      <c r="Y65" s="11">
        <f t="shared" si="5"/>
        <v>0</v>
      </c>
      <c r="Z65" s="2">
        <f t="shared" si="3"/>
        <v>90</v>
      </c>
      <c r="AA65" s="2">
        <f t="shared" si="4"/>
        <v>15</v>
      </c>
      <c r="AB65" s="2"/>
      <c r="AC65" s="2">
        <v>1</v>
      </c>
      <c r="AD65" s="6"/>
      <c r="AE65" s="1"/>
    </row>
    <row r="66" spans="1:31" ht="31.5" x14ac:dyDescent="0.25">
      <c r="A66" s="2">
        <v>65</v>
      </c>
      <c r="B66" s="20" t="s">
        <v>284</v>
      </c>
      <c r="C66" s="3"/>
      <c r="D66" s="3"/>
      <c r="E66" s="3" t="s">
        <v>119</v>
      </c>
      <c r="F66" s="19" t="s">
        <v>283</v>
      </c>
      <c r="G66" s="4" t="s">
        <v>287</v>
      </c>
      <c r="H66" s="5" t="s">
        <v>288</v>
      </c>
      <c r="I66" s="6"/>
      <c r="J66" s="3">
        <v>8</v>
      </c>
      <c r="K66" s="7">
        <v>3</v>
      </c>
      <c r="L66" s="8">
        <v>3</v>
      </c>
      <c r="M66" s="9"/>
      <c r="N66" s="17"/>
      <c r="O66" s="15"/>
      <c r="P66" s="2"/>
      <c r="Q66" s="2"/>
      <c r="R66" s="3">
        <v>1</v>
      </c>
      <c r="S66" s="3">
        <v>2</v>
      </c>
      <c r="T66" s="2" t="s">
        <v>87</v>
      </c>
      <c r="U66" s="2" t="s">
        <v>124</v>
      </c>
      <c r="V66" s="12">
        <f t="shared" si="0"/>
        <v>45</v>
      </c>
      <c r="W66" s="13">
        <f t="shared" si="1"/>
        <v>0</v>
      </c>
      <c r="X66" s="10">
        <f t="shared" si="2"/>
        <v>0</v>
      </c>
      <c r="Y66" s="11">
        <f t="shared" si="5"/>
        <v>0</v>
      </c>
      <c r="Z66" s="2">
        <f t="shared" si="3"/>
        <v>90</v>
      </c>
      <c r="AA66" s="2">
        <f t="shared" si="4"/>
        <v>15</v>
      </c>
      <c r="AB66" s="2"/>
      <c r="AC66" s="2">
        <v>1</v>
      </c>
      <c r="AD66" s="6"/>
      <c r="AE66" s="1"/>
    </row>
    <row r="67" spans="1:31" ht="31.5" x14ac:dyDescent="0.25">
      <c r="A67" s="2">
        <v>66</v>
      </c>
      <c r="B67" s="20" t="s">
        <v>289</v>
      </c>
      <c r="C67" s="3"/>
      <c r="D67" s="3"/>
      <c r="E67" s="3" t="s">
        <v>119</v>
      </c>
      <c r="F67" s="19" t="s">
        <v>283</v>
      </c>
      <c r="G67" s="4" t="s">
        <v>290</v>
      </c>
      <c r="H67" s="5" t="s">
        <v>291</v>
      </c>
      <c r="I67" s="6"/>
      <c r="J67" s="3">
        <v>8</v>
      </c>
      <c r="K67" s="7">
        <v>3</v>
      </c>
      <c r="L67" s="8">
        <v>3</v>
      </c>
      <c r="M67" s="9"/>
      <c r="N67" s="17"/>
      <c r="O67" s="15"/>
      <c r="P67" s="2"/>
      <c r="Q67" s="2"/>
      <c r="R67" s="3">
        <v>1</v>
      </c>
      <c r="S67" s="3">
        <v>2</v>
      </c>
      <c r="T67" s="2" t="s">
        <v>95</v>
      </c>
      <c r="U67" s="2" t="s">
        <v>124</v>
      </c>
      <c r="V67" s="12">
        <f t="shared" si="0"/>
        <v>45</v>
      </c>
      <c r="W67" s="13">
        <f t="shared" si="1"/>
        <v>0</v>
      </c>
      <c r="X67" s="10">
        <f t="shared" si="2"/>
        <v>0</v>
      </c>
      <c r="Y67" s="11">
        <f t="shared" si="5"/>
        <v>0</v>
      </c>
      <c r="Z67" s="2">
        <f t="shared" si="3"/>
        <v>90</v>
      </c>
      <c r="AA67" s="2">
        <f t="shared" si="4"/>
        <v>15</v>
      </c>
      <c r="AB67" s="2"/>
      <c r="AC67" s="2">
        <v>1</v>
      </c>
      <c r="AD67" s="6"/>
      <c r="AE67" s="1"/>
    </row>
    <row r="68" spans="1:31" ht="31.5" x14ac:dyDescent="0.25">
      <c r="A68" s="2">
        <v>67</v>
      </c>
      <c r="B68" s="20" t="s">
        <v>289</v>
      </c>
      <c r="C68" s="3"/>
      <c r="D68" s="3"/>
      <c r="E68" s="3" t="s">
        <v>119</v>
      </c>
      <c r="F68" s="19" t="s">
        <v>283</v>
      </c>
      <c r="G68" s="4" t="s">
        <v>292</v>
      </c>
      <c r="H68" s="5" t="s">
        <v>293</v>
      </c>
      <c r="I68" s="6"/>
      <c r="J68" s="3">
        <v>8</v>
      </c>
      <c r="K68" s="7">
        <v>3</v>
      </c>
      <c r="L68" s="8">
        <v>3</v>
      </c>
      <c r="M68" s="9"/>
      <c r="N68" s="17"/>
      <c r="O68" s="15"/>
      <c r="P68" s="2"/>
      <c r="Q68" s="2"/>
      <c r="R68" s="3">
        <v>1</v>
      </c>
      <c r="S68" s="3">
        <v>2</v>
      </c>
      <c r="T68" s="2"/>
      <c r="U68" s="2"/>
      <c r="V68" s="12">
        <f t="shared" si="0"/>
        <v>45</v>
      </c>
      <c r="W68" s="13">
        <f t="shared" si="1"/>
        <v>0</v>
      </c>
      <c r="X68" s="10">
        <f t="shared" si="2"/>
        <v>0</v>
      </c>
      <c r="Y68" s="11">
        <f t="shared" si="5"/>
        <v>0</v>
      </c>
      <c r="Z68" s="2">
        <f t="shared" si="3"/>
        <v>90</v>
      </c>
      <c r="AA68" s="2">
        <f t="shared" si="4"/>
        <v>15</v>
      </c>
      <c r="AB68" s="2"/>
      <c r="AC68" s="2">
        <v>1</v>
      </c>
      <c r="AD68" s="6"/>
      <c r="AE68" s="1"/>
    </row>
  </sheetData>
  <autoFilter ref="F1:F68" xr:uid="{00000000-0001-0000-0400-000000000000}"/>
  <dataValidations count="5">
    <dataValidation type="list" allowBlank="1" showErrorMessage="1" sqref="AB2:AB68" xr:uid="{00000000-0002-0000-0400-000000000000}">
      <formula1>#REF!</formula1>
    </dataValidation>
    <dataValidation type="list" allowBlank="1" showErrorMessage="1" sqref="AC2:AC68" xr:uid="{00000000-0002-0000-0400-000001000000}">
      <formula1>"1,0"</formula1>
    </dataValidation>
    <dataValidation type="list" allowBlank="1" showErrorMessage="1" sqref="U2:U68" xr:uid="{00000000-0002-0000-0400-000002000000}">
      <formula1>"Tiên quyết (c),Học trước (d),Song hành (e)"</formula1>
    </dataValidation>
    <dataValidation type="list" allowBlank="1" showErrorMessage="1" sqref="Q2:Q68" xr:uid="{00000000-0002-0000-0400-000003000000}">
      <formula1>"Nhóm 1,Nhóm 2,Nhóm 3,Nhóm 4"</formula1>
    </dataValidation>
    <dataValidation type="list" allowBlank="1" showErrorMessage="1" sqref="P2:P68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J68"/>
  <sheetViews>
    <sheetView workbookViewId="0">
      <selection activeCell="A2" sqref="A2:A68"/>
    </sheetView>
  </sheetViews>
  <sheetFormatPr defaultColWidth="14.42578125" defaultRowHeight="15" customHeight="1" x14ac:dyDescent="0.25"/>
  <cols>
    <col min="1" max="1" width="9.28515625" customWidth="1"/>
    <col min="2" max="2" width="16.28515625" customWidth="1"/>
    <col min="3" max="3" width="17.7109375" customWidth="1"/>
    <col min="4" max="5" width="21.85546875" customWidth="1"/>
    <col min="8" max="8" width="26" customWidth="1"/>
    <col min="10" max="10" width="9" customWidth="1"/>
    <col min="11" max="11" width="10.85546875" customWidth="1"/>
    <col min="15" max="15" width="16" customWidth="1"/>
    <col min="30" max="30" width="36.42578125" customWidth="1"/>
  </cols>
  <sheetData>
    <row r="1" spans="1:36" ht="15" customHeight="1" x14ac:dyDescent="0.25">
      <c r="A1" t="s">
        <v>338</v>
      </c>
      <c r="B1" t="s">
        <v>339</v>
      </c>
      <c r="C1" t="s">
        <v>365</v>
      </c>
      <c r="D1" t="s">
        <v>366</v>
      </c>
      <c r="E1" t="s">
        <v>340</v>
      </c>
      <c r="F1" t="s">
        <v>367</v>
      </c>
      <c r="G1" t="s">
        <v>368</v>
      </c>
      <c r="H1" t="s">
        <v>369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349</v>
      </c>
      <c r="P1" t="s">
        <v>350</v>
      </c>
      <c r="Q1" t="s">
        <v>351</v>
      </c>
      <c r="R1" t="s">
        <v>352</v>
      </c>
      <c r="S1" t="s">
        <v>353</v>
      </c>
      <c r="T1" t="s">
        <v>354</v>
      </c>
      <c r="U1" t="s">
        <v>355</v>
      </c>
      <c r="V1" t="s">
        <v>356</v>
      </c>
      <c r="W1" t="s">
        <v>357</v>
      </c>
      <c r="X1" t="s">
        <v>358</v>
      </c>
      <c r="Y1" t="s">
        <v>359</v>
      </c>
      <c r="Z1" t="s">
        <v>360</v>
      </c>
      <c r="AA1" t="s">
        <v>361</v>
      </c>
      <c r="AB1" t="s">
        <v>362</v>
      </c>
      <c r="AC1" t="s">
        <v>363</v>
      </c>
      <c r="AD1" t="s">
        <v>364</v>
      </c>
    </row>
    <row r="2" spans="1:36" ht="31.5" x14ac:dyDescent="0.25">
      <c r="A2" s="22">
        <v>1</v>
      </c>
      <c r="B2" s="19" t="s">
        <v>7</v>
      </c>
      <c r="C2" s="20"/>
      <c r="D2" s="20"/>
      <c r="E2" s="20" t="s">
        <v>8</v>
      </c>
      <c r="F2" s="19"/>
      <c r="G2" s="19" t="s">
        <v>9</v>
      </c>
      <c r="H2" s="14" t="s">
        <v>10</v>
      </c>
      <c r="I2" s="23"/>
      <c r="J2" s="20">
        <v>1</v>
      </c>
      <c r="K2" s="24">
        <v>3</v>
      </c>
      <c r="L2" s="25">
        <v>3</v>
      </c>
      <c r="M2" s="26"/>
      <c r="N2" s="27"/>
      <c r="O2" s="28"/>
      <c r="P2" s="22"/>
      <c r="Q2" s="22"/>
      <c r="R2" s="20">
        <v>0</v>
      </c>
      <c r="S2" s="20">
        <v>0</v>
      </c>
      <c r="T2" s="22"/>
      <c r="U2" s="22"/>
      <c r="V2" s="25">
        <f t="shared" ref="V2:V68" si="0">L2*15</f>
        <v>45</v>
      </c>
      <c r="W2" s="26">
        <f t="shared" ref="W2:W68" si="1">IF(M2="",0,IF(P2="T",M2*15*2,IF(P2="N",M2*15*3,"fail")))</f>
        <v>0</v>
      </c>
      <c r="X2" s="27">
        <f t="shared" ref="X2:X68" si="2">N2*15</f>
        <v>0</v>
      </c>
      <c r="Y2" s="28">
        <f t="shared" ref="Y2:Y3" si="3">IF(O2="",0,IF(P2="T",O2*15*2,IF(P2="N",O2*15*3,"fail")))</f>
        <v>0</v>
      </c>
      <c r="Z2" s="22">
        <f t="shared" ref="Z2:Z68" si="4">(L2*2+M2+N2*3+O2*3)*15</f>
        <v>90</v>
      </c>
      <c r="AA2" s="22">
        <f t="shared" ref="AA2:AA68" si="5">K2*5</f>
        <v>15</v>
      </c>
      <c r="AB2" s="22"/>
      <c r="AC2" s="22">
        <v>1</v>
      </c>
      <c r="AD2" s="23"/>
      <c r="AE2" s="21"/>
      <c r="AF2" s="21"/>
      <c r="AG2" s="21"/>
      <c r="AH2" s="21"/>
      <c r="AI2" s="21"/>
      <c r="AJ2" s="21"/>
    </row>
    <row r="3" spans="1:36" ht="31.5" x14ac:dyDescent="0.25">
      <c r="A3" s="22">
        <v>2</v>
      </c>
      <c r="B3" s="19" t="s">
        <v>7</v>
      </c>
      <c r="C3" s="20"/>
      <c r="D3" s="20"/>
      <c r="E3" s="20" t="s">
        <v>8</v>
      </c>
      <c r="F3" s="19"/>
      <c r="G3" s="19" t="s">
        <v>140</v>
      </c>
      <c r="H3" s="14" t="s">
        <v>197</v>
      </c>
      <c r="I3" s="23"/>
      <c r="J3" s="20">
        <v>2</v>
      </c>
      <c r="K3" s="24">
        <v>2</v>
      </c>
      <c r="L3" s="25">
        <v>2</v>
      </c>
      <c r="M3" s="26"/>
      <c r="N3" s="27"/>
      <c r="O3" s="28"/>
      <c r="P3" s="22"/>
      <c r="Q3" s="22"/>
      <c r="R3" s="20">
        <v>0</v>
      </c>
      <c r="S3" s="20">
        <v>0</v>
      </c>
      <c r="T3" s="22" t="s">
        <v>9</v>
      </c>
      <c r="U3" s="22" t="s">
        <v>124</v>
      </c>
      <c r="V3" s="25">
        <f t="shared" si="0"/>
        <v>30</v>
      </c>
      <c r="W3" s="26">
        <f t="shared" si="1"/>
        <v>0</v>
      </c>
      <c r="X3" s="27">
        <f t="shared" si="2"/>
        <v>0</v>
      </c>
      <c r="Y3" s="28">
        <f t="shared" si="3"/>
        <v>0</v>
      </c>
      <c r="Z3" s="22">
        <f t="shared" si="4"/>
        <v>60</v>
      </c>
      <c r="AA3" s="22">
        <f t="shared" si="5"/>
        <v>10</v>
      </c>
      <c r="AB3" s="22"/>
      <c r="AC3" s="22">
        <v>1</v>
      </c>
      <c r="AD3" s="23"/>
      <c r="AE3" s="21"/>
      <c r="AF3" s="21"/>
      <c r="AG3" s="21"/>
      <c r="AH3" s="21"/>
      <c r="AI3" s="21"/>
      <c r="AJ3" s="21"/>
    </row>
    <row r="4" spans="1:36" ht="31.5" x14ac:dyDescent="0.25">
      <c r="A4" s="22">
        <v>3</v>
      </c>
      <c r="B4" s="19" t="s">
        <v>7</v>
      </c>
      <c r="C4" s="20"/>
      <c r="D4" s="20"/>
      <c r="E4" s="20" t="s">
        <v>8</v>
      </c>
      <c r="F4" s="19"/>
      <c r="G4" s="19" t="s">
        <v>125</v>
      </c>
      <c r="H4" s="14" t="s">
        <v>13</v>
      </c>
      <c r="I4" s="23"/>
      <c r="J4" s="20">
        <v>3</v>
      </c>
      <c r="K4" s="24">
        <v>2</v>
      </c>
      <c r="L4" s="25">
        <v>2</v>
      </c>
      <c r="M4" s="26"/>
      <c r="N4" s="27"/>
      <c r="O4" s="28"/>
      <c r="P4" s="22"/>
      <c r="Q4" s="22"/>
      <c r="R4" s="20">
        <v>0</v>
      </c>
      <c r="S4" s="20">
        <v>0</v>
      </c>
      <c r="T4" s="22" t="s">
        <v>140</v>
      </c>
      <c r="U4" s="22" t="s">
        <v>124</v>
      </c>
      <c r="V4" s="25">
        <f t="shared" si="0"/>
        <v>30</v>
      </c>
      <c r="W4" s="26">
        <f t="shared" si="1"/>
        <v>0</v>
      </c>
      <c r="X4" s="27">
        <f t="shared" si="2"/>
        <v>0</v>
      </c>
      <c r="Y4" s="28">
        <f t="shared" ref="Y4:Y68" si="6">IF(O4="",0,IF(P4="T",O4*15*2,O4*15*3))</f>
        <v>0</v>
      </c>
      <c r="Z4" s="22">
        <f t="shared" si="4"/>
        <v>60</v>
      </c>
      <c r="AA4" s="22">
        <f t="shared" si="5"/>
        <v>10</v>
      </c>
      <c r="AB4" s="22"/>
      <c r="AC4" s="22">
        <v>1</v>
      </c>
      <c r="AD4" s="23"/>
      <c r="AE4" s="21"/>
      <c r="AF4" s="21"/>
      <c r="AG4" s="21"/>
      <c r="AH4" s="21"/>
      <c r="AI4" s="21"/>
      <c r="AJ4" s="21"/>
    </row>
    <row r="5" spans="1:36" ht="31.5" x14ac:dyDescent="0.25">
      <c r="A5" s="22">
        <v>4</v>
      </c>
      <c r="B5" s="19" t="s">
        <v>7</v>
      </c>
      <c r="C5" s="20"/>
      <c r="D5" s="20"/>
      <c r="E5" s="20" t="s">
        <v>8</v>
      </c>
      <c r="F5" s="19"/>
      <c r="G5" s="19" t="s">
        <v>126</v>
      </c>
      <c r="H5" s="14" t="s">
        <v>127</v>
      </c>
      <c r="I5" s="23"/>
      <c r="J5" s="20">
        <v>5</v>
      </c>
      <c r="K5" s="24">
        <v>2</v>
      </c>
      <c r="L5" s="25">
        <v>2</v>
      </c>
      <c r="M5" s="26"/>
      <c r="N5" s="27"/>
      <c r="O5" s="28"/>
      <c r="P5" s="22"/>
      <c r="Q5" s="22"/>
      <c r="R5" s="20">
        <v>0</v>
      </c>
      <c r="S5" s="20">
        <v>0</v>
      </c>
      <c r="T5" s="22"/>
      <c r="U5" s="22"/>
      <c r="V5" s="25">
        <f t="shared" si="0"/>
        <v>30</v>
      </c>
      <c r="W5" s="26">
        <f t="shared" si="1"/>
        <v>0</v>
      </c>
      <c r="X5" s="27">
        <f t="shared" si="2"/>
        <v>0</v>
      </c>
      <c r="Y5" s="28">
        <f t="shared" si="6"/>
        <v>0</v>
      </c>
      <c r="Z5" s="22">
        <f t="shared" si="4"/>
        <v>60</v>
      </c>
      <c r="AA5" s="22">
        <f t="shared" si="5"/>
        <v>10</v>
      </c>
      <c r="AB5" s="22"/>
      <c r="AC5" s="22">
        <v>1</v>
      </c>
      <c r="AD5" s="23"/>
      <c r="AE5" s="21"/>
      <c r="AF5" s="21"/>
      <c r="AG5" s="21"/>
      <c r="AH5" s="21"/>
      <c r="AI5" s="21"/>
      <c r="AJ5" s="21"/>
    </row>
    <row r="6" spans="1:36" ht="31.5" x14ac:dyDescent="0.25">
      <c r="A6" s="22">
        <v>5</v>
      </c>
      <c r="B6" s="19" t="s">
        <v>7</v>
      </c>
      <c r="C6" s="20"/>
      <c r="D6" s="20"/>
      <c r="E6" s="20" t="s">
        <v>8</v>
      </c>
      <c r="F6" s="19"/>
      <c r="G6" s="19" t="s">
        <v>26</v>
      </c>
      <c r="H6" s="14" t="s">
        <v>27</v>
      </c>
      <c r="I6" s="23"/>
      <c r="J6" s="20">
        <v>4</v>
      </c>
      <c r="K6" s="24">
        <v>2</v>
      </c>
      <c r="L6" s="25">
        <v>2</v>
      </c>
      <c r="M6" s="26"/>
      <c r="N6" s="27"/>
      <c r="O6" s="28"/>
      <c r="P6" s="22"/>
      <c r="Q6" s="22"/>
      <c r="R6" s="20">
        <v>0</v>
      </c>
      <c r="S6" s="20">
        <v>0</v>
      </c>
      <c r="T6" s="22"/>
      <c r="U6" s="22"/>
      <c r="V6" s="25">
        <f t="shared" si="0"/>
        <v>30</v>
      </c>
      <c r="W6" s="26">
        <f t="shared" si="1"/>
        <v>0</v>
      </c>
      <c r="X6" s="27">
        <f t="shared" si="2"/>
        <v>0</v>
      </c>
      <c r="Y6" s="28">
        <f t="shared" si="6"/>
        <v>0</v>
      </c>
      <c r="Z6" s="22">
        <f t="shared" si="4"/>
        <v>60</v>
      </c>
      <c r="AA6" s="22">
        <f t="shared" si="5"/>
        <v>10</v>
      </c>
      <c r="AB6" s="22"/>
      <c r="AC6" s="22">
        <v>1</v>
      </c>
      <c r="AD6" s="23"/>
      <c r="AE6" s="21"/>
      <c r="AF6" s="21"/>
      <c r="AG6" s="21"/>
      <c r="AH6" s="21"/>
      <c r="AI6" s="21"/>
      <c r="AJ6" s="21"/>
    </row>
    <row r="7" spans="1:36" ht="31.5" x14ac:dyDescent="0.25">
      <c r="A7" s="22">
        <v>6</v>
      </c>
      <c r="B7" s="19" t="s">
        <v>7</v>
      </c>
      <c r="C7" s="20"/>
      <c r="D7" s="20"/>
      <c r="E7" s="20" t="s">
        <v>8</v>
      </c>
      <c r="F7" s="19"/>
      <c r="G7" s="19" t="s">
        <v>141</v>
      </c>
      <c r="H7" s="14" t="s">
        <v>21</v>
      </c>
      <c r="I7" s="23"/>
      <c r="J7" s="20">
        <v>1</v>
      </c>
      <c r="K7" s="24">
        <v>2</v>
      </c>
      <c r="L7" s="25">
        <v>2</v>
      </c>
      <c r="M7" s="26"/>
      <c r="N7" s="27"/>
      <c r="O7" s="28"/>
      <c r="P7" s="22"/>
      <c r="Q7" s="22"/>
      <c r="R7" s="20">
        <v>0</v>
      </c>
      <c r="S7" s="20">
        <v>0</v>
      </c>
      <c r="T7" s="22"/>
      <c r="U7" s="22"/>
      <c r="V7" s="25">
        <f t="shared" si="0"/>
        <v>30</v>
      </c>
      <c r="W7" s="26">
        <f t="shared" si="1"/>
        <v>0</v>
      </c>
      <c r="X7" s="27">
        <f t="shared" si="2"/>
        <v>0</v>
      </c>
      <c r="Y7" s="28">
        <f t="shared" si="6"/>
        <v>0</v>
      </c>
      <c r="Z7" s="22">
        <f t="shared" si="4"/>
        <v>60</v>
      </c>
      <c r="AA7" s="22">
        <f t="shared" si="5"/>
        <v>10</v>
      </c>
      <c r="AB7" s="22"/>
      <c r="AC7" s="22">
        <v>1</v>
      </c>
      <c r="AD7" s="23"/>
      <c r="AE7" s="21"/>
      <c r="AF7" s="21"/>
      <c r="AG7" s="21"/>
      <c r="AH7" s="21"/>
      <c r="AI7" s="21"/>
      <c r="AJ7" s="21"/>
    </row>
    <row r="8" spans="1:36" ht="31.5" x14ac:dyDescent="0.25">
      <c r="A8" s="22">
        <v>7</v>
      </c>
      <c r="B8" s="19" t="s">
        <v>7</v>
      </c>
      <c r="C8" s="20"/>
      <c r="D8" s="20"/>
      <c r="E8" s="20" t="s">
        <v>8</v>
      </c>
      <c r="F8" s="19"/>
      <c r="G8" s="19" t="s">
        <v>198</v>
      </c>
      <c r="H8" s="14" t="s">
        <v>131</v>
      </c>
      <c r="I8" s="23"/>
      <c r="J8" s="20">
        <v>1</v>
      </c>
      <c r="K8" s="24">
        <v>3</v>
      </c>
      <c r="L8" s="25">
        <v>3</v>
      </c>
      <c r="M8" s="26"/>
      <c r="N8" s="27"/>
      <c r="O8" s="28"/>
      <c r="P8" s="22"/>
      <c r="Q8" s="22"/>
      <c r="R8" s="20">
        <v>0</v>
      </c>
      <c r="S8" s="20">
        <v>0</v>
      </c>
      <c r="T8" s="22"/>
      <c r="U8" s="22"/>
      <c r="V8" s="25">
        <f t="shared" si="0"/>
        <v>45</v>
      </c>
      <c r="W8" s="26">
        <f t="shared" si="1"/>
        <v>0</v>
      </c>
      <c r="X8" s="27">
        <f t="shared" si="2"/>
        <v>0</v>
      </c>
      <c r="Y8" s="28">
        <f t="shared" si="6"/>
        <v>0</v>
      </c>
      <c r="Z8" s="22">
        <f t="shared" si="4"/>
        <v>90</v>
      </c>
      <c r="AA8" s="22">
        <f t="shared" si="5"/>
        <v>15</v>
      </c>
      <c r="AB8" s="22"/>
      <c r="AC8" s="22">
        <v>1</v>
      </c>
      <c r="AD8" s="23"/>
      <c r="AE8" s="21"/>
      <c r="AF8" s="21"/>
      <c r="AG8" s="21"/>
      <c r="AH8" s="21"/>
      <c r="AI8" s="21"/>
      <c r="AJ8" s="21"/>
    </row>
    <row r="9" spans="1:36" ht="31.5" x14ac:dyDescent="0.25">
      <c r="A9" s="22">
        <v>8</v>
      </c>
      <c r="B9" s="19" t="s">
        <v>7</v>
      </c>
      <c r="C9" s="20"/>
      <c r="D9" s="20"/>
      <c r="E9" s="20" t="s">
        <v>8</v>
      </c>
      <c r="F9" s="19"/>
      <c r="G9" s="19" t="s">
        <v>199</v>
      </c>
      <c r="H9" s="14" t="s">
        <v>23</v>
      </c>
      <c r="I9" s="23"/>
      <c r="J9" s="20">
        <v>1</v>
      </c>
      <c r="K9" s="24">
        <v>3</v>
      </c>
      <c r="L9" s="25">
        <v>2</v>
      </c>
      <c r="M9" s="26">
        <v>1</v>
      </c>
      <c r="N9" s="27"/>
      <c r="O9" s="28"/>
      <c r="P9" s="22" t="s">
        <v>11</v>
      </c>
      <c r="Q9" s="22"/>
      <c r="R9" s="20">
        <v>0</v>
      </c>
      <c r="S9" s="20">
        <v>0</v>
      </c>
      <c r="T9" s="22"/>
      <c r="U9" s="22"/>
      <c r="V9" s="25">
        <f t="shared" si="0"/>
        <v>30</v>
      </c>
      <c r="W9" s="26">
        <f t="shared" si="1"/>
        <v>30</v>
      </c>
      <c r="X9" s="27">
        <f t="shared" si="2"/>
        <v>0</v>
      </c>
      <c r="Y9" s="28">
        <f t="shared" si="6"/>
        <v>0</v>
      </c>
      <c r="Z9" s="22">
        <f t="shared" si="4"/>
        <v>75</v>
      </c>
      <c r="AA9" s="22">
        <f t="shared" si="5"/>
        <v>15</v>
      </c>
      <c r="AB9" s="22"/>
      <c r="AC9" s="22">
        <v>1</v>
      </c>
      <c r="AD9" s="23"/>
      <c r="AE9" s="21"/>
      <c r="AF9" s="21"/>
      <c r="AG9" s="21"/>
      <c r="AH9" s="21"/>
      <c r="AI9" s="21"/>
      <c r="AJ9" s="21"/>
    </row>
    <row r="10" spans="1:36" ht="31.5" x14ac:dyDescent="0.25">
      <c r="A10" s="22">
        <v>9</v>
      </c>
      <c r="B10" s="19" t="s">
        <v>7</v>
      </c>
      <c r="C10" s="20"/>
      <c r="D10" s="20"/>
      <c r="E10" s="20" t="s">
        <v>8</v>
      </c>
      <c r="F10" s="19"/>
      <c r="G10" s="19" t="s">
        <v>294</v>
      </c>
      <c r="H10" s="14" t="s">
        <v>295</v>
      </c>
      <c r="I10" s="23"/>
      <c r="J10" s="20">
        <v>1</v>
      </c>
      <c r="K10" s="24">
        <v>2</v>
      </c>
      <c r="L10" s="25">
        <v>2</v>
      </c>
      <c r="M10" s="26"/>
      <c r="N10" s="27"/>
      <c r="O10" s="28"/>
      <c r="P10" s="22"/>
      <c r="Q10" s="22"/>
      <c r="R10" s="20">
        <v>0</v>
      </c>
      <c r="S10" s="20">
        <v>0</v>
      </c>
      <c r="T10" s="22"/>
      <c r="U10" s="22"/>
      <c r="V10" s="25">
        <f t="shared" si="0"/>
        <v>30</v>
      </c>
      <c r="W10" s="26">
        <f t="shared" si="1"/>
        <v>0</v>
      </c>
      <c r="X10" s="27">
        <f t="shared" si="2"/>
        <v>0</v>
      </c>
      <c r="Y10" s="28">
        <f t="shared" si="6"/>
        <v>0</v>
      </c>
      <c r="Z10" s="22">
        <f t="shared" si="4"/>
        <v>60</v>
      </c>
      <c r="AA10" s="22">
        <f t="shared" si="5"/>
        <v>10</v>
      </c>
      <c r="AB10" s="22"/>
      <c r="AC10" s="22">
        <v>1</v>
      </c>
      <c r="AD10" s="23"/>
      <c r="AE10" s="21"/>
      <c r="AF10" s="21"/>
      <c r="AG10" s="21"/>
      <c r="AH10" s="21"/>
      <c r="AI10" s="21"/>
      <c r="AJ10" s="21"/>
    </row>
    <row r="11" spans="1:36" ht="31.5" x14ac:dyDescent="0.25">
      <c r="A11" s="22">
        <v>10</v>
      </c>
      <c r="B11" s="19" t="s">
        <v>7</v>
      </c>
      <c r="C11" s="20"/>
      <c r="D11" s="20"/>
      <c r="E11" s="20" t="s">
        <v>8</v>
      </c>
      <c r="F11" s="19"/>
      <c r="G11" s="19" t="s">
        <v>203</v>
      </c>
      <c r="H11" s="14" t="s">
        <v>31</v>
      </c>
      <c r="I11" s="23"/>
      <c r="J11" s="20">
        <v>1</v>
      </c>
      <c r="K11" s="24">
        <v>3</v>
      </c>
      <c r="L11" s="25">
        <v>3</v>
      </c>
      <c r="M11" s="26"/>
      <c r="N11" s="27"/>
      <c r="O11" s="28"/>
      <c r="P11" s="22"/>
      <c r="Q11" s="22"/>
      <c r="R11" s="20">
        <v>0</v>
      </c>
      <c r="S11" s="20">
        <v>0</v>
      </c>
      <c r="T11" s="22"/>
      <c r="U11" s="22"/>
      <c r="V11" s="25">
        <f t="shared" si="0"/>
        <v>45</v>
      </c>
      <c r="W11" s="26">
        <f t="shared" si="1"/>
        <v>0</v>
      </c>
      <c r="X11" s="27">
        <f t="shared" si="2"/>
        <v>0</v>
      </c>
      <c r="Y11" s="28">
        <f t="shared" si="6"/>
        <v>0</v>
      </c>
      <c r="Z11" s="22">
        <f t="shared" si="4"/>
        <v>90</v>
      </c>
      <c r="AA11" s="22">
        <f t="shared" si="5"/>
        <v>15</v>
      </c>
      <c r="AB11" s="22"/>
      <c r="AC11" s="22">
        <v>1</v>
      </c>
      <c r="AD11" s="23"/>
      <c r="AE11" s="21"/>
      <c r="AF11" s="21"/>
      <c r="AG11" s="21"/>
      <c r="AH11" s="21"/>
      <c r="AI11" s="21"/>
      <c r="AJ11" s="21"/>
    </row>
    <row r="12" spans="1:36" ht="31.5" x14ac:dyDescent="0.25">
      <c r="A12" s="22">
        <v>11</v>
      </c>
      <c r="B12" s="19" t="s">
        <v>7</v>
      </c>
      <c r="C12" s="20"/>
      <c r="D12" s="20"/>
      <c r="E12" s="20" t="s">
        <v>8</v>
      </c>
      <c r="F12" s="19"/>
      <c r="G12" s="19" t="s">
        <v>204</v>
      </c>
      <c r="H12" s="14" t="s">
        <v>33</v>
      </c>
      <c r="I12" s="23"/>
      <c r="J12" s="20">
        <v>2</v>
      </c>
      <c r="K12" s="24">
        <v>3</v>
      </c>
      <c r="L12" s="25">
        <v>3</v>
      </c>
      <c r="M12" s="26"/>
      <c r="N12" s="27"/>
      <c r="O12" s="28"/>
      <c r="P12" s="22"/>
      <c r="Q12" s="22"/>
      <c r="R12" s="20">
        <v>0</v>
      </c>
      <c r="S12" s="20">
        <v>0</v>
      </c>
      <c r="T12" s="22" t="s">
        <v>203</v>
      </c>
      <c r="U12" s="22" t="s">
        <v>124</v>
      </c>
      <c r="V12" s="25">
        <f t="shared" si="0"/>
        <v>45</v>
      </c>
      <c r="W12" s="26">
        <f t="shared" si="1"/>
        <v>0</v>
      </c>
      <c r="X12" s="27">
        <f t="shared" si="2"/>
        <v>0</v>
      </c>
      <c r="Y12" s="28">
        <f t="shared" si="6"/>
        <v>0</v>
      </c>
      <c r="Z12" s="22">
        <f t="shared" si="4"/>
        <v>90</v>
      </c>
      <c r="AA12" s="22">
        <f t="shared" si="5"/>
        <v>15</v>
      </c>
      <c r="AB12" s="22"/>
      <c r="AC12" s="22">
        <v>1</v>
      </c>
      <c r="AD12" s="23"/>
      <c r="AE12" s="21"/>
      <c r="AF12" s="21"/>
      <c r="AG12" s="21"/>
      <c r="AH12" s="21"/>
      <c r="AI12" s="21"/>
      <c r="AJ12" s="21"/>
    </row>
    <row r="13" spans="1:36" ht="31.5" x14ac:dyDescent="0.25">
      <c r="A13" s="22">
        <v>12</v>
      </c>
      <c r="B13" s="19" t="s">
        <v>7</v>
      </c>
      <c r="C13" s="20"/>
      <c r="D13" s="20"/>
      <c r="E13" s="20" t="s">
        <v>8</v>
      </c>
      <c r="F13" s="19"/>
      <c r="G13" s="19" t="s">
        <v>205</v>
      </c>
      <c r="H13" s="14" t="s">
        <v>35</v>
      </c>
      <c r="I13" s="23"/>
      <c r="J13" s="20">
        <v>3</v>
      </c>
      <c r="K13" s="24">
        <v>3</v>
      </c>
      <c r="L13" s="25">
        <v>3</v>
      </c>
      <c r="M13" s="26"/>
      <c r="N13" s="27"/>
      <c r="O13" s="28"/>
      <c r="P13" s="22"/>
      <c r="Q13" s="22"/>
      <c r="R13" s="20">
        <v>0</v>
      </c>
      <c r="S13" s="20">
        <v>0</v>
      </c>
      <c r="T13" s="22" t="s">
        <v>204</v>
      </c>
      <c r="U13" s="22" t="s">
        <v>124</v>
      </c>
      <c r="V13" s="25">
        <f t="shared" si="0"/>
        <v>45</v>
      </c>
      <c r="W13" s="26">
        <f t="shared" si="1"/>
        <v>0</v>
      </c>
      <c r="X13" s="27">
        <f t="shared" si="2"/>
        <v>0</v>
      </c>
      <c r="Y13" s="28">
        <f t="shared" si="6"/>
        <v>0</v>
      </c>
      <c r="Z13" s="22">
        <f t="shared" si="4"/>
        <v>90</v>
      </c>
      <c r="AA13" s="22">
        <f t="shared" si="5"/>
        <v>15</v>
      </c>
      <c r="AB13" s="22"/>
      <c r="AC13" s="22">
        <v>1</v>
      </c>
      <c r="AD13" s="23"/>
      <c r="AE13" s="21"/>
      <c r="AF13" s="21"/>
      <c r="AG13" s="21"/>
      <c r="AH13" s="21"/>
      <c r="AI13" s="21"/>
      <c r="AJ13" s="21"/>
    </row>
    <row r="14" spans="1:36" ht="31.5" x14ac:dyDescent="0.25">
      <c r="A14" s="22">
        <v>13</v>
      </c>
      <c r="B14" s="19" t="s">
        <v>7</v>
      </c>
      <c r="C14" s="20"/>
      <c r="D14" s="20"/>
      <c r="E14" s="20" t="s">
        <v>8</v>
      </c>
      <c r="F14" s="19"/>
      <c r="G14" s="19" t="s">
        <v>16</v>
      </c>
      <c r="H14" s="14" t="s">
        <v>17</v>
      </c>
      <c r="I14" s="23"/>
      <c r="J14" s="20">
        <v>1</v>
      </c>
      <c r="K14" s="24">
        <v>3</v>
      </c>
      <c r="L14" s="25">
        <v>1</v>
      </c>
      <c r="M14" s="26">
        <v>2</v>
      </c>
      <c r="N14" s="27"/>
      <c r="O14" s="28"/>
      <c r="P14" s="22" t="s">
        <v>11</v>
      </c>
      <c r="Q14" s="22"/>
      <c r="R14" s="20">
        <v>0</v>
      </c>
      <c r="S14" s="20">
        <v>0</v>
      </c>
      <c r="T14" s="22"/>
      <c r="U14" s="22"/>
      <c r="V14" s="25">
        <f t="shared" si="0"/>
        <v>15</v>
      </c>
      <c r="W14" s="26">
        <f t="shared" si="1"/>
        <v>60</v>
      </c>
      <c r="X14" s="27">
        <f t="shared" si="2"/>
        <v>0</v>
      </c>
      <c r="Y14" s="28">
        <f t="shared" si="6"/>
        <v>0</v>
      </c>
      <c r="Z14" s="22">
        <f t="shared" si="4"/>
        <v>60</v>
      </c>
      <c r="AA14" s="22">
        <f t="shared" si="5"/>
        <v>15</v>
      </c>
      <c r="AB14" s="22"/>
      <c r="AC14" s="22">
        <v>0</v>
      </c>
      <c r="AD14" s="23"/>
      <c r="AE14" s="21"/>
      <c r="AF14" s="21"/>
      <c r="AG14" s="21"/>
      <c r="AH14" s="21"/>
      <c r="AI14" s="21"/>
      <c r="AJ14" s="21"/>
    </row>
    <row r="15" spans="1:36" ht="31.5" x14ac:dyDescent="0.25">
      <c r="A15" s="22">
        <v>14</v>
      </c>
      <c r="B15" s="19" t="s">
        <v>7</v>
      </c>
      <c r="C15" s="20"/>
      <c r="D15" s="20"/>
      <c r="E15" s="20" t="s">
        <v>8</v>
      </c>
      <c r="F15" s="19"/>
      <c r="G15" s="19" t="s">
        <v>18</v>
      </c>
      <c r="H15" s="14" t="s">
        <v>19</v>
      </c>
      <c r="I15" s="23"/>
      <c r="J15" s="20">
        <v>1</v>
      </c>
      <c r="K15" s="24">
        <v>8</v>
      </c>
      <c r="L15" s="25"/>
      <c r="M15" s="26"/>
      <c r="N15" s="27"/>
      <c r="O15" s="28"/>
      <c r="P15" s="22"/>
      <c r="Q15" s="22"/>
      <c r="R15" s="20">
        <v>0</v>
      </c>
      <c r="S15" s="20">
        <v>0</v>
      </c>
      <c r="T15" s="22"/>
      <c r="U15" s="22"/>
      <c r="V15" s="25">
        <f t="shared" si="0"/>
        <v>0</v>
      </c>
      <c r="W15" s="26">
        <f t="shared" si="1"/>
        <v>0</v>
      </c>
      <c r="X15" s="27">
        <f t="shared" si="2"/>
        <v>0</v>
      </c>
      <c r="Y15" s="28">
        <f t="shared" si="6"/>
        <v>0</v>
      </c>
      <c r="Z15" s="22">
        <f t="shared" si="4"/>
        <v>0</v>
      </c>
      <c r="AA15" s="22">
        <f t="shared" si="5"/>
        <v>40</v>
      </c>
      <c r="AB15" s="22"/>
      <c r="AC15" s="22">
        <v>0</v>
      </c>
      <c r="AD15" s="23"/>
      <c r="AE15" s="21"/>
      <c r="AF15" s="21"/>
      <c r="AG15" s="21"/>
      <c r="AH15" s="21"/>
      <c r="AI15" s="21"/>
      <c r="AJ15" s="21"/>
    </row>
    <row r="16" spans="1:36" ht="31.5" x14ac:dyDescent="0.25">
      <c r="A16" s="22">
        <v>15</v>
      </c>
      <c r="B16" s="19" t="s">
        <v>45</v>
      </c>
      <c r="C16" s="20"/>
      <c r="D16" s="20"/>
      <c r="E16" s="20" t="s">
        <v>46</v>
      </c>
      <c r="F16" s="19"/>
      <c r="G16" s="19" t="s">
        <v>213</v>
      </c>
      <c r="H16" s="14" t="s">
        <v>296</v>
      </c>
      <c r="I16" s="23"/>
      <c r="J16" s="20">
        <v>1</v>
      </c>
      <c r="K16" s="24">
        <v>1</v>
      </c>
      <c r="L16" s="25">
        <v>1</v>
      </c>
      <c r="M16" s="26"/>
      <c r="N16" s="27"/>
      <c r="O16" s="28"/>
      <c r="P16" s="22"/>
      <c r="Q16" s="22"/>
      <c r="R16" s="20">
        <v>0</v>
      </c>
      <c r="S16" s="20">
        <v>0</v>
      </c>
      <c r="T16" s="22"/>
      <c r="U16" s="22"/>
      <c r="V16" s="25">
        <f t="shared" si="0"/>
        <v>15</v>
      </c>
      <c r="W16" s="26">
        <f t="shared" si="1"/>
        <v>0</v>
      </c>
      <c r="X16" s="27">
        <f t="shared" si="2"/>
        <v>0</v>
      </c>
      <c r="Y16" s="28">
        <f t="shared" si="6"/>
        <v>0</v>
      </c>
      <c r="Z16" s="22">
        <f t="shared" si="4"/>
        <v>30</v>
      </c>
      <c r="AA16" s="22">
        <f t="shared" si="5"/>
        <v>5</v>
      </c>
      <c r="AB16" s="22"/>
      <c r="AC16" s="22">
        <v>1</v>
      </c>
      <c r="AD16" s="23"/>
      <c r="AE16" s="21"/>
      <c r="AF16" s="21"/>
      <c r="AG16" s="21"/>
      <c r="AH16" s="21"/>
      <c r="AI16" s="21"/>
      <c r="AJ16" s="21"/>
    </row>
    <row r="17" spans="1:36" ht="31.5" x14ac:dyDescent="0.25">
      <c r="A17" s="22">
        <v>16</v>
      </c>
      <c r="B17" s="19" t="s">
        <v>45</v>
      </c>
      <c r="C17" s="20"/>
      <c r="D17" s="20"/>
      <c r="E17" s="20" t="s">
        <v>46</v>
      </c>
      <c r="F17" s="19"/>
      <c r="G17" s="19" t="s">
        <v>207</v>
      </c>
      <c r="H17" s="14" t="s">
        <v>208</v>
      </c>
      <c r="I17" s="23"/>
      <c r="J17" s="20">
        <v>2</v>
      </c>
      <c r="K17" s="24">
        <v>3</v>
      </c>
      <c r="L17" s="25">
        <v>3</v>
      </c>
      <c r="M17" s="26"/>
      <c r="N17" s="27"/>
      <c r="O17" s="28"/>
      <c r="P17" s="22"/>
      <c r="Q17" s="22"/>
      <c r="R17" s="20">
        <v>0</v>
      </c>
      <c r="S17" s="20">
        <v>0</v>
      </c>
      <c r="T17" s="22"/>
      <c r="U17" s="22"/>
      <c r="V17" s="25">
        <f t="shared" si="0"/>
        <v>45</v>
      </c>
      <c r="W17" s="26">
        <f t="shared" si="1"/>
        <v>0</v>
      </c>
      <c r="X17" s="27">
        <f t="shared" si="2"/>
        <v>0</v>
      </c>
      <c r="Y17" s="28">
        <f t="shared" si="6"/>
        <v>0</v>
      </c>
      <c r="Z17" s="22">
        <f t="shared" si="4"/>
        <v>90</v>
      </c>
      <c r="AA17" s="22">
        <f t="shared" si="5"/>
        <v>15</v>
      </c>
      <c r="AB17" s="22"/>
      <c r="AC17" s="22">
        <v>1</v>
      </c>
      <c r="AD17" s="23"/>
      <c r="AE17" s="21"/>
      <c r="AF17" s="21"/>
      <c r="AG17" s="21"/>
      <c r="AH17" s="21"/>
      <c r="AI17" s="21"/>
      <c r="AJ17" s="21"/>
    </row>
    <row r="18" spans="1:36" ht="31.5" x14ac:dyDescent="0.25">
      <c r="A18" s="22">
        <v>17</v>
      </c>
      <c r="B18" s="19" t="s">
        <v>45</v>
      </c>
      <c r="C18" s="20"/>
      <c r="D18" s="20"/>
      <c r="E18" s="20" t="s">
        <v>46</v>
      </c>
      <c r="F18" s="19"/>
      <c r="G18" s="19" t="s">
        <v>209</v>
      </c>
      <c r="H18" s="14" t="s">
        <v>62</v>
      </c>
      <c r="I18" s="23"/>
      <c r="J18" s="20">
        <v>2</v>
      </c>
      <c r="K18" s="24">
        <v>2</v>
      </c>
      <c r="L18" s="25">
        <v>2</v>
      </c>
      <c r="M18" s="26"/>
      <c r="N18" s="27"/>
      <c r="O18" s="28"/>
      <c r="P18" s="22"/>
      <c r="Q18" s="22"/>
      <c r="R18" s="20">
        <v>0</v>
      </c>
      <c r="S18" s="20">
        <v>0</v>
      </c>
      <c r="T18" s="22" t="s">
        <v>294</v>
      </c>
      <c r="U18" s="22" t="s">
        <v>124</v>
      </c>
      <c r="V18" s="25">
        <f t="shared" si="0"/>
        <v>30</v>
      </c>
      <c r="W18" s="26">
        <f t="shared" si="1"/>
        <v>0</v>
      </c>
      <c r="X18" s="27">
        <f t="shared" si="2"/>
        <v>0</v>
      </c>
      <c r="Y18" s="28">
        <f t="shared" si="6"/>
        <v>0</v>
      </c>
      <c r="Z18" s="22">
        <f t="shared" si="4"/>
        <v>60</v>
      </c>
      <c r="AA18" s="22">
        <f t="shared" si="5"/>
        <v>10</v>
      </c>
      <c r="AB18" s="22"/>
      <c r="AC18" s="22">
        <v>1</v>
      </c>
      <c r="AD18" s="23"/>
      <c r="AE18" s="21"/>
      <c r="AF18" s="21"/>
      <c r="AG18" s="21"/>
      <c r="AH18" s="21"/>
      <c r="AI18" s="21"/>
      <c r="AJ18" s="21"/>
    </row>
    <row r="19" spans="1:36" ht="31.5" x14ac:dyDescent="0.25">
      <c r="A19" s="22">
        <v>18</v>
      </c>
      <c r="B19" s="19" t="s">
        <v>45</v>
      </c>
      <c r="C19" s="20"/>
      <c r="D19" s="20"/>
      <c r="E19" s="20" t="s">
        <v>46</v>
      </c>
      <c r="F19" s="19"/>
      <c r="G19" s="19" t="s">
        <v>210</v>
      </c>
      <c r="H19" s="14" t="s">
        <v>48</v>
      </c>
      <c r="I19" s="23"/>
      <c r="J19" s="20">
        <v>2</v>
      </c>
      <c r="K19" s="24">
        <v>3</v>
      </c>
      <c r="L19" s="25">
        <v>3</v>
      </c>
      <c r="M19" s="26"/>
      <c r="N19" s="27"/>
      <c r="O19" s="28"/>
      <c r="P19" s="22"/>
      <c r="Q19" s="22"/>
      <c r="R19" s="20">
        <v>0</v>
      </c>
      <c r="S19" s="20">
        <v>0</v>
      </c>
      <c r="T19" s="22"/>
      <c r="U19" s="22"/>
      <c r="V19" s="25">
        <f t="shared" si="0"/>
        <v>45</v>
      </c>
      <c r="W19" s="26">
        <f t="shared" si="1"/>
        <v>0</v>
      </c>
      <c r="X19" s="27">
        <f t="shared" si="2"/>
        <v>0</v>
      </c>
      <c r="Y19" s="28">
        <f t="shared" si="6"/>
        <v>0</v>
      </c>
      <c r="Z19" s="22">
        <f t="shared" si="4"/>
        <v>90</v>
      </c>
      <c r="AA19" s="22">
        <f t="shared" si="5"/>
        <v>15</v>
      </c>
      <c r="AB19" s="22"/>
      <c r="AC19" s="22">
        <v>1</v>
      </c>
      <c r="AD19" s="23"/>
      <c r="AE19" s="21"/>
      <c r="AF19" s="21"/>
      <c r="AG19" s="21"/>
      <c r="AH19" s="21"/>
      <c r="AI19" s="21"/>
      <c r="AJ19" s="21"/>
    </row>
    <row r="20" spans="1:36" ht="31.5" x14ac:dyDescent="0.25">
      <c r="A20" s="22">
        <v>19</v>
      </c>
      <c r="B20" s="19" t="s">
        <v>45</v>
      </c>
      <c r="C20" s="20"/>
      <c r="D20" s="20"/>
      <c r="E20" s="20" t="s">
        <v>46</v>
      </c>
      <c r="F20" s="19"/>
      <c r="G20" s="19" t="s">
        <v>297</v>
      </c>
      <c r="H20" s="14" t="s">
        <v>235</v>
      </c>
      <c r="I20" s="23"/>
      <c r="J20" s="20">
        <v>2</v>
      </c>
      <c r="K20" s="24">
        <v>3</v>
      </c>
      <c r="L20" s="25">
        <v>3</v>
      </c>
      <c r="M20" s="26"/>
      <c r="N20" s="27"/>
      <c r="O20" s="28"/>
      <c r="P20" s="22"/>
      <c r="Q20" s="22"/>
      <c r="R20" s="20">
        <v>0</v>
      </c>
      <c r="S20" s="20">
        <v>0</v>
      </c>
      <c r="T20" s="22" t="s">
        <v>141</v>
      </c>
      <c r="U20" s="22" t="s">
        <v>124</v>
      </c>
      <c r="V20" s="25">
        <f t="shared" si="0"/>
        <v>45</v>
      </c>
      <c r="W20" s="26">
        <f t="shared" si="1"/>
        <v>0</v>
      </c>
      <c r="X20" s="27">
        <f t="shared" si="2"/>
        <v>0</v>
      </c>
      <c r="Y20" s="28">
        <f t="shared" si="6"/>
        <v>0</v>
      </c>
      <c r="Z20" s="22">
        <f t="shared" si="4"/>
        <v>90</v>
      </c>
      <c r="AA20" s="22">
        <f t="shared" si="5"/>
        <v>15</v>
      </c>
      <c r="AB20" s="22"/>
      <c r="AC20" s="22">
        <v>1</v>
      </c>
      <c r="AD20" s="23"/>
      <c r="AE20" s="21"/>
      <c r="AF20" s="21"/>
      <c r="AG20" s="21"/>
      <c r="AH20" s="21"/>
      <c r="AI20" s="21"/>
      <c r="AJ20" s="21"/>
    </row>
    <row r="21" spans="1:36" ht="31.5" x14ac:dyDescent="0.25">
      <c r="A21" s="22">
        <v>20</v>
      </c>
      <c r="B21" s="19" t="s">
        <v>45</v>
      </c>
      <c r="C21" s="20"/>
      <c r="D21" s="20"/>
      <c r="E21" s="20" t="s">
        <v>46</v>
      </c>
      <c r="F21" s="19"/>
      <c r="G21" s="19" t="s">
        <v>212</v>
      </c>
      <c r="H21" s="14" t="s">
        <v>52</v>
      </c>
      <c r="I21" s="23"/>
      <c r="J21" s="20">
        <v>3</v>
      </c>
      <c r="K21" s="24">
        <v>3</v>
      </c>
      <c r="L21" s="25">
        <v>3</v>
      </c>
      <c r="M21" s="26"/>
      <c r="N21" s="27"/>
      <c r="O21" s="28"/>
      <c r="P21" s="22"/>
      <c r="Q21" s="22"/>
      <c r="R21" s="20">
        <v>0</v>
      </c>
      <c r="S21" s="20">
        <v>0</v>
      </c>
      <c r="T21" s="22" t="s">
        <v>207</v>
      </c>
      <c r="U21" s="22" t="s">
        <v>124</v>
      </c>
      <c r="V21" s="25">
        <f t="shared" si="0"/>
        <v>45</v>
      </c>
      <c r="W21" s="26">
        <f t="shared" si="1"/>
        <v>0</v>
      </c>
      <c r="X21" s="27">
        <f t="shared" si="2"/>
        <v>0</v>
      </c>
      <c r="Y21" s="28">
        <f t="shared" si="6"/>
        <v>0</v>
      </c>
      <c r="Z21" s="22">
        <f t="shared" si="4"/>
        <v>90</v>
      </c>
      <c r="AA21" s="22">
        <f t="shared" si="5"/>
        <v>15</v>
      </c>
      <c r="AB21" s="22"/>
      <c r="AC21" s="22">
        <v>1</v>
      </c>
      <c r="AD21" s="23"/>
      <c r="AE21" s="21"/>
      <c r="AF21" s="21"/>
      <c r="AG21" s="21"/>
      <c r="AH21" s="21"/>
      <c r="AI21" s="21"/>
      <c r="AJ21" s="21"/>
    </row>
    <row r="22" spans="1:36" ht="31.5" x14ac:dyDescent="0.25">
      <c r="A22" s="22">
        <v>21</v>
      </c>
      <c r="B22" s="19" t="s">
        <v>45</v>
      </c>
      <c r="C22" s="20"/>
      <c r="D22" s="20"/>
      <c r="E22" s="20" t="s">
        <v>46</v>
      </c>
      <c r="F22" s="19"/>
      <c r="G22" s="19" t="s">
        <v>143</v>
      </c>
      <c r="H22" s="14" t="s">
        <v>60</v>
      </c>
      <c r="I22" s="23"/>
      <c r="J22" s="20">
        <v>3</v>
      </c>
      <c r="K22" s="24">
        <v>3</v>
      </c>
      <c r="L22" s="25">
        <v>3</v>
      </c>
      <c r="M22" s="26"/>
      <c r="N22" s="27"/>
      <c r="O22" s="28"/>
      <c r="P22" s="22"/>
      <c r="Q22" s="22"/>
      <c r="R22" s="20">
        <v>0</v>
      </c>
      <c r="S22" s="20">
        <v>0</v>
      </c>
      <c r="T22" s="22"/>
      <c r="U22" s="22"/>
      <c r="V22" s="25">
        <f t="shared" si="0"/>
        <v>45</v>
      </c>
      <c r="W22" s="26">
        <f t="shared" si="1"/>
        <v>0</v>
      </c>
      <c r="X22" s="27">
        <f t="shared" si="2"/>
        <v>0</v>
      </c>
      <c r="Y22" s="28">
        <f t="shared" si="6"/>
        <v>0</v>
      </c>
      <c r="Z22" s="22">
        <f t="shared" si="4"/>
        <v>90</v>
      </c>
      <c r="AA22" s="22">
        <f t="shared" si="5"/>
        <v>15</v>
      </c>
      <c r="AB22" s="22"/>
      <c r="AC22" s="22">
        <v>1</v>
      </c>
      <c r="AD22" s="23"/>
      <c r="AE22" s="21"/>
      <c r="AF22" s="21"/>
      <c r="AG22" s="21"/>
      <c r="AH22" s="21"/>
      <c r="AI22" s="21"/>
      <c r="AJ22" s="21"/>
    </row>
    <row r="23" spans="1:36" ht="31.5" x14ac:dyDescent="0.25">
      <c r="A23" s="22">
        <v>22</v>
      </c>
      <c r="B23" s="19" t="s">
        <v>45</v>
      </c>
      <c r="C23" s="20"/>
      <c r="D23" s="20"/>
      <c r="E23" s="20" t="s">
        <v>46</v>
      </c>
      <c r="F23" s="19"/>
      <c r="G23" s="19" t="s">
        <v>146</v>
      </c>
      <c r="H23" s="14" t="s">
        <v>147</v>
      </c>
      <c r="I23" s="23"/>
      <c r="J23" s="20">
        <v>3</v>
      </c>
      <c r="K23" s="24">
        <v>3</v>
      </c>
      <c r="L23" s="25">
        <v>3</v>
      </c>
      <c r="M23" s="26"/>
      <c r="N23" s="27"/>
      <c r="O23" s="28"/>
      <c r="P23" s="22"/>
      <c r="Q23" s="22"/>
      <c r="R23" s="20">
        <v>0</v>
      </c>
      <c r="S23" s="20">
        <v>0</v>
      </c>
      <c r="T23" s="22"/>
      <c r="U23" s="22"/>
      <c r="V23" s="25">
        <f t="shared" si="0"/>
        <v>45</v>
      </c>
      <c r="W23" s="26">
        <f t="shared" si="1"/>
        <v>0</v>
      </c>
      <c r="X23" s="27">
        <f t="shared" si="2"/>
        <v>0</v>
      </c>
      <c r="Y23" s="28">
        <f t="shared" si="6"/>
        <v>0</v>
      </c>
      <c r="Z23" s="22">
        <f t="shared" si="4"/>
        <v>90</v>
      </c>
      <c r="AA23" s="22">
        <f t="shared" si="5"/>
        <v>15</v>
      </c>
      <c r="AB23" s="22"/>
      <c r="AC23" s="22">
        <v>1</v>
      </c>
      <c r="AD23" s="23"/>
      <c r="AE23" s="21"/>
      <c r="AF23" s="21"/>
      <c r="AG23" s="21"/>
      <c r="AH23" s="21"/>
      <c r="AI23" s="21"/>
      <c r="AJ23" s="21"/>
    </row>
    <row r="24" spans="1:36" ht="31.5" x14ac:dyDescent="0.25">
      <c r="A24" s="22">
        <v>23</v>
      </c>
      <c r="B24" s="19" t="s">
        <v>45</v>
      </c>
      <c r="C24" s="20"/>
      <c r="D24" s="20"/>
      <c r="E24" s="20" t="s">
        <v>46</v>
      </c>
      <c r="F24" s="19"/>
      <c r="G24" s="19" t="s">
        <v>236</v>
      </c>
      <c r="H24" s="14" t="s">
        <v>237</v>
      </c>
      <c r="I24" s="23"/>
      <c r="J24" s="20">
        <v>4</v>
      </c>
      <c r="K24" s="24">
        <v>2</v>
      </c>
      <c r="L24" s="25">
        <v>2</v>
      </c>
      <c r="M24" s="26"/>
      <c r="N24" s="27"/>
      <c r="O24" s="28"/>
      <c r="P24" s="22"/>
      <c r="Q24" s="22"/>
      <c r="R24" s="20">
        <v>0</v>
      </c>
      <c r="S24" s="20">
        <v>0</v>
      </c>
      <c r="T24" s="22" t="s">
        <v>212</v>
      </c>
      <c r="U24" s="22" t="s">
        <v>124</v>
      </c>
      <c r="V24" s="25">
        <f t="shared" si="0"/>
        <v>30</v>
      </c>
      <c r="W24" s="26">
        <f t="shared" si="1"/>
        <v>0</v>
      </c>
      <c r="X24" s="27">
        <f t="shared" si="2"/>
        <v>0</v>
      </c>
      <c r="Y24" s="28">
        <f t="shared" si="6"/>
        <v>0</v>
      </c>
      <c r="Z24" s="22">
        <f t="shared" si="4"/>
        <v>60</v>
      </c>
      <c r="AA24" s="22">
        <f t="shared" si="5"/>
        <v>10</v>
      </c>
      <c r="AB24" s="22"/>
      <c r="AC24" s="22">
        <v>1</v>
      </c>
      <c r="AD24" s="23"/>
      <c r="AE24" s="21"/>
      <c r="AF24" s="21"/>
      <c r="AG24" s="21"/>
      <c r="AH24" s="21"/>
      <c r="AI24" s="21"/>
      <c r="AJ24" s="21"/>
    </row>
    <row r="25" spans="1:36" ht="31.5" x14ac:dyDescent="0.25">
      <c r="A25" s="22">
        <v>24</v>
      </c>
      <c r="B25" s="19" t="s">
        <v>45</v>
      </c>
      <c r="C25" s="20"/>
      <c r="D25" s="20"/>
      <c r="E25" s="20" t="s">
        <v>46</v>
      </c>
      <c r="F25" s="19"/>
      <c r="G25" s="19" t="s">
        <v>214</v>
      </c>
      <c r="H25" s="14" t="s">
        <v>64</v>
      </c>
      <c r="I25" s="23"/>
      <c r="J25" s="20">
        <v>4</v>
      </c>
      <c r="K25" s="24">
        <v>3</v>
      </c>
      <c r="L25" s="25">
        <v>3</v>
      </c>
      <c r="M25" s="26"/>
      <c r="N25" s="27"/>
      <c r="O25" s="28"/>
      <c r="P25" s="22"/>
      <c r="Q25" s="22"/>
      <c r="R25" s="20">
        <v>0</v>
      </c>
      <c r="S25" s="20">
        <v>0</v>
      </c>
      <c r="T25" s="22" t="s">
        <v>143</v>
      </c>
      <c r="U25" s="22" t="s">
        <v>124</v>
      </c>
      <c r="V25" s="25">
        <f t="shared" si="0"/>
        <v>45</v>
      </c>
      <c r="W25" s="26">
        <f t="shared" si="1"/>
        <v>0</v>
      </c>
      <c r="X25" s="27">
        <f t="shared" si="2"/>
        <v>0</v>
      </c>
      <c r="Y25" s="28">
        <f t="shared" si="6"/>
        <v>0</v>
      </c>
      <c r="Z25" s="22">
        <f t="shared" si="4"/>
        <v>90</v>
      </c>
      <c r="AA25" s="22">
        <f t="shared" si="5"/>
        <v>15</v>
      </c>
      <c r="AB25" s="22"/>
      <c r="AC25" s="22">
        <v>1</v>
      </c>
      <c r="AD25" s="23"/>
      <c r="AE25" s="21"/>
      <c r="AF25" s="21"/>
      <c r="AG25" s="21"/>
      <c r="AH25" s="21"/>
      <c r="AI25" s="21"/>
      <c r="AJ25" s="21"/>
    </row>
    <row r="26" spans="1:36" ht="31.5" x14ac:dyDescent="0.25">
      <c r="A26" s="22">
        <v>25</v>
      </c>
      <c r="B26" s="20" t="s">
        <v>239</v>
      </c>
      <c r="C26" s="20"/>
      <c r="D26" s="20"/>
      <c r="E26" s="20" t="s">
        <v>46</v>
      </c>
      <c r="F26" s="19"/>
      <c r="G26" s="19" t="s">
        <v>240</v>
      </c>
      <c r="H26" s="14" t="s">
        <v>241</v>
      </c>
      <c r="I26" s="23"/>
      <c r="J26" s="20">
        <v>1</v>
      </c>
      <c r="K26" s="24">
        <v>2</v>
      </c>
      <c r="L26" s="25">
        <v>2</v>
      </c>
      <c r="M26" s="26"/>
      <c r="N26" s="27"/>
      <c r="O26" s="28"/>
      <c r="P26" s="22"/>
      <c r="Q26" s="22"/>
      <c r="R26" s="20">
        <v>1</v>
      </c>
      <c r="S26" s="20">
        <v>0</v>
      </c>
      <c r="T26" s="22"/>
      <c r="U26" s="22"/>
      <c r="V26" s="25">
        <f t="shared" si="0"/>
        <v>30</v>
      </c>
      <c r="W26" s="26">
        <f t="shared" si="1"/>
        <v>0</v>
      </c>
      <c r="X26" s="27">
        <f t="shared" si="2"/>
        <v>0</v>
      </c>
      <c r="Y26" s="28">
        <f t="shared" si="6"/>
        <v>0</v>
      </c>
      <c r="Z26" s="22">
        <f t="shared" si="4"/>
        <v>60</v>
      </c>
      <c r="AA26" s="22">
        <f t="shared" si="5"/>
        <v>10</v>
      </c>
      <c r="AB26" s="22"/>
      <c r="AC26" s="22">
        <v>1</v>
      </c>
      <c r="AD26" s="23"/>
      <c r="AE26" s="21"/>
      <c r="AF26" s="21"/>
      <c r="AG26" s="21"/>
      <c r="AH26" s="21"/>
      <c r="AI26" s="21"/>
      <c r="AJ26" s="21"/>
    </row>
    <row r="27" spans="1:36" ht="31.5" x14ac:dyDescent="0.25">
      <c r="A27" s="22">
        <v>26</v>
      </c>
      <c r="B27" s="20" t="s">
        <v>239</v>
      </c>
      <c r="C27" s="20"/>
      <c r="D27" s="20"/>
      <c r="E27" s="20" t="s">
        <v>46</v>
      </c>
      <c r="F27" s="19"/>
      <c r="G27" s="19" t="s">
        <v>206</v>
      </c>
      <c r="H27" s="14" t="s">
        <v>56</v>
      </c>
      <c r="I27" s="23"/>
      <c r="J27" s="20">
        <v>2</v>
      </c>
      <c r="K27" s="24">
        <v>2</v>
      </c>
      <c r="L27" s="25">
        <v>2</v>
      </c>
      <c r="M27" s="26"/>
      <c r="N27" s="27"/>
      <c r="O27" s="28"/>
      <c r="P27" s="22"/>
      <c r="Q27" s="22"/>
      <c r="R27" s="20">
        <v>1</v>
      </c>
      <c r="S27" s="20">
        <v>0</v>
      </c>
      <c r="T27" s="22" t="s">
        <v>298</v>
      </c>
      <c r="U27" s="22" t="s">
        <v>124</v>
      </c>
      <c r="V27" s="25">
        <f t="shared" si="0"/>
        <v>30</v>
      </c>
      <c r="W27" s="26">
        <f t="shared" si="1"/>
        <v>0</v>
      </c>
      <c r="X27" s="27">
        <f t="shared" si="2"/>
        <v>0</v>
      </c>
      <c r="Y27" s="28">
        <f t="shared" si="6"/>
        <v>0</v>
      </c>
      <c r="Z27" s="22">
        <f t="shared" si="4"/>
        <v>60</v>
      </c>
      <c r="AA27" s="22">
        <f t="shared" si="5"/>
        <v>10</v>
      </c>
      <c r="AB27" s="22"/>
      <c r="AC27" s="22">
        <v>1</v>
      </c>
      <c r="AD27" s="23"/>
      <c r="AE27" s="21"/>
      <c r="AF27" s="21"/>
      <c r="AG27" s="21"/>
      <c r="AH27" s="21"/>
      <c r="AI27" s="21"/>
      <c r="AJ27" s="21"/>
    </row>
    <row r="28" spans="1:36" ht="31.5" x14ac:dyDescent="0.25">
      <c r="A28" s="22">
        <v>27</v>
      </c>
      <c r="B28" s="20" t="s">
        <v>239</v>
      </c>
      <c r="C28" s="20"/>
      <c r="D28" s="20"/>
      <c r="E28" s="20" t="s">
        <v>46</v>
      </c>
      <c r="F28" s="19"/>
      <c r="G28" s="19" t="s">
        <v>242</v>
      </c>
      <c r="H28" s="14" t="s">
        <v>243</v>
      </c>
      <c r="I28" s="23"/>
      <c r="J28" s="20">
        <v>3</v>
      </c>
      <c r="K28" s="24">
        <v>3</v>
      </c>
      <c r="L28" s="25">
        <v>3</v>
      </c>
      <c r="M28" s="26"/>
      <c r="N28" s="27"/>
      <c r="O28" s="28"/>
      <c r="P28" s="22"/>
      <c r="Q28" s="22"/>
      <c r="R28" s="20">
        <v>1</v>
      </c>
      <c r="S28" s="20">
        <v>0</v>
      </c>
      <c r="T28" s="22"/>
      <c r="U28" s="22"/>
      <c r="V28" s="25">
        <f t="shared" si="0"/>
        <v>45</v>
      </c>
      <c r="W28" s="26">
        <f t="shared" si="1"/>
        <v>0</v>
      </c>
      <c r="X28" s="27">
        <f t="shared" si="2"/>
        <v>0</v>
      </c>
      <c r="Y28" s="28">
        <f t="shared" si="6"/>
        <v>0</v>
      </c>
      <c r="Z28" s="22">
        <f t="shared" si="4"/>
        <v>90</v>
      </c>
      <c r="AA28" s="22">
        <f t="shared" si="5"/>
        <v>15</v>
      </c>
      <c r="AB28" s="22"/>
      <c r="AC28" s="22">
        <v>1</v>
      </c>
      <c r="AD28" s="23"/>
      <c r="AE28" s="21"/>
      <c r="AF28" s="21"/>
      <c r="AG28" s="21"/>
      <c r="AH28" s="21"/>
      <c r="AI28" s="21"/>
      <c r="AJ28" s="21"/>
    </row>
    <row r="29" spans="1:36" ht="31.5" x14ac:dyDescent="0.25">
      <c r="A29" s="22">
        <v>28</v>
      </c>
      <c r="B29" s="20" t="s">
        <v>239</v>
      </c>
      <c r="C29" s="20"/>
      <c r="D29" s="20"/>
      <c r="E29" s="20" t="s">
        <v>46</v>
      </c>
      <c r="F29" s="19"/>
      <c r="G29" s="19" t="s">
        <v>160</v>
      </c>
      <c r="H29" s="14" t="s">
        <v>66</v>
      </c>
      <c r="I29" s="23"/>
      <c r="J29" s="20">
        <v>4</v>
      </c>
      <c r="K29" s="24">
        <v>3</v>
      </c>
      <c r="L29" s="25">
        <v>1</v>
      </c>
      <c r="M29" s="26">
        <v>2</v>
      </c>
      <c r="N29" s="27"/>
      <c r="O29" s="28"/>
      <c r="P29" s="22" t="s">
        <v>11</v>
      </c>
      <c r="Q29" s="22"/>
      <c r="R29" s="20">
        <v>1</v>
      </c>
      <c r="S29" s="20">
        <v>0</v>
      </c>
      <c r="T29" s="22" t="s">
        <v>299</v>
      </c>
      <c r="U29" s="22" t="s">
        <v>124</v>
      </c>
      <c r="V29" s="25">
        <f t="shared" si="0"/>
        <v>15</v>
      </c>
      <c r="W29" s="26">
        <f t="shared" si="1"/>
        <v>60</v>
      </c>
      <c r="X29" s="27">
        <f t="shared" si="2"/>
        <v>0</v>
      </c>
      <c r="Y29" s="28">
        <f t="shared" si="6"/>
        <v>0</v>
      </c>
      <c r="Z29" s="22">
        <f t="shared" si="4"/>
        <v>60</v>
      </c>
      <c r="AA29" s="22">
        <f t="shared" si="5"/>
        <v>15</v>
      </c>
      <c r="AB29" s="22"/>
      <c r="AC29" s="22">
        <v>1</v>
      </c>
      <c r="AD29" s="23"/>
      <c r="AE29" s="21"/>
      <c r="AF29" s="21"/>
      <c r="AG29" s="21"/>
      <c r="AH29" s="21"/>
      <c r="AI29" s="21"/>
      <c r="AJ29" s="21"/>
    </row>
    <row r="30" spans="1:36" ht="31.5" x14ac:dyDescent="0.25">
      <c r="A30" s="22">
        <v>29</v>
      </c>
      <c r="B30" s="20" t="s">
        <v>239</v>
      </c>
      <c r="C30" s="20"/>
      <c r="D30" s="20"/>
      <c r="E30" s="20" t="s">
        <v>46</v>
      </c>
      <c r="F30" s="19"/>
      <c r="G30" s="19" t="s">
        <v>216</v>
      </c>
      <c r="H30" s="14" t="s">
        <v>42</v>
      </c>
      <c r="I30" s="23"/>
      <c r="J30" s="20">
        <v>0</v>
      </c>
      <c r="K30" s="24">
        <v>3</v>
      </c>
      <c r="L30" s="25">
        <v>3</v>
      </c>
      <c r="M30" s="26"/>
      <c r="N30" s="27"/>
      <c r="O30" s="28"/>
      <c r="P30" s="22"/>
      <c r="Q30" s="22"/>
      <c r="R30" s="20">
        <v>1</v>
      </c>
      <c r="S30" s="20">
        <v>0</v>
      </c>
      <c r="T30" s="22"/>
      <c r="U30" s="22"/>
      <c r="V30" s="25">
        <f t="shared" si="0"/>
        <v>45</v>
      </c>
      <c r="W30" s="26">
        <f t="shared" si="1"/>
        <v>0</v>
      </c>
      <c r="X30" s="27">
        <f t="shared" si="2"/>
        <v>0</v>
      </c>
      <c r="Y30" s="28">
        <f t="shared" si="6"/>
        <v>0</v>
      </c>
      <c r="Z30" s="22">
        <f t="shared" si="4"/>
        <v>90</v>
      </c>
      <c r="AA30" s="22">
        <f t="shared" si="5"/>
        <v>15</v>
      </c>
      <c r="AB30" s="22"/>
      <c r="AC30" s="22">
        <v>1</v>
      </c>
      <c r="AD30" s="23"/>
      <c r="AE30" s="21"/>
      <c r="AF30" s="21"/>
      <c r="AG30" s="21"/>
      <c r="AH30" s="21"/>
      <c r="AI30" s="21"/>
      <c r="AJ30" s="21"/>
    </row>
    <row r="31" spans="1:36" ht="31.5" x14ac:dyDescent="0.25">
      <c r="A31" s="22">
        <v>30</v>
      </c>
      <c r="B31" s="20" t="s">
        <v>239</v>
      </c>
      <c r="C31" s="20"/>
      <c r="D31" s="20"/>
      <c r="E31" s="20" t="s">
        <v>46</v>
      </c>
      <c r="F31" s="19"/>
      <c r="G31" s="19" t="s">
        <v>164</v>
      </c>
      <c r="H31" s="14" t="s">
        <v>76</v>
      </c>
      <c r="I31" s="23"/>
      <c r="J31" s="20">
        <v>0</v>
      </c>
      <c r="K31" s="24">
        <v>2</v>
      </c>
      <c r="L31" s="25">
        <v>1</v>
      </c>
      <c r="M31" s="26">
        <v>1</v>
      </c>
      <c r="N31" s="27"/>
      <c r="O31" s="28"/>
      <c r="P31" s="22" t="s">
        <v>11</v>
      </c>
      <c r="Q31" s="22"/>
      <c r="R31" s="20">
        <v>1</v>
      </c>
      <c r="S31" s="20">
        <v>0</v>
      </c>
      <c r="T31" s="22" t="s">
        <v>209</v>
      </c>
      <c r="U31" s="22" t="s">
        <v>124</v>
      </c>
      <c r="V31" s="25">
        <f t="shared" si="0"/>
        <v>15</v>
      </c>
      <c r="W31" s="26">
        <f t="shared" si="1"/>
        <v>30</v>
      </c>
      <c r="X31" s="27">
        <f t="shared" si="2"/>
        <v>0</v>
      </c>
      <c r="Y31" s="28">
        <f t="shared" si="6"/>
        <v>0</v>
      </c>
      <c r="Z31" s="22">
        <f t="shared" si="4"/>
        <v>45</v>
      </c>
      <c r="AA31" s="22">
        <f t="shared" si="5"/>
        <v>10</v>
      </c>
      <c r="AB31" s="22"/>
      <c r="AC31" s="22">
        <v>1</v>
      </c>
      <c r="AD31" s="23"/>
      <c r="AE31" s="21"/>
      <c r="AF31" s="21"/>
      <c r="AG31" s="21"/>
      <c r="AH31" s="21"/>
      <c r="AI31" s="21"/>
      <c r="AJ31" s="21"/>
    </row>
    <row r="32" spans="1:36" ht="31.5" x14ac:dyDescent="0.25">
      <c r="A32" s="22">
        <v>31</v>
      </c>
      <c r="B32" s="20" t="s">
        <v>239</v>
      </c>
      <c r="C32" s="20"/>
      <c r="D32" s="20"/>
      <c r="E32" s="20" t="s">
        <v>46</v>
      </c>
      <c r="F32" s="19"/>
      <c r="G32" s="19" t="s">
        <v>246</v>
      </c>
      <c r="H32" s="14" t="s">
        <v>247</v>
      </c>
      <c r="I32" s="23"/>
      <c r="J32" s="20">
        <v>0</v>
      </c>
      <c r="K32" s="24">
        <v>3</v>
      </c>
      <c r="L32" s="25">
        <v>2</v>
      </c>
      <c r="M32" s="26">
        <v>1</v>
      </c>
      <c r="N32" s="27"/>
      <c r="O32" s="28"/>
      <c r="P32" s="22" t="s">
        <v>11</v>
      </c>
      <c r="Q32" s="22"/>
      <c r="R32" s="20">
        <v>1</v>
      </c>
      <c r="S32" s="20">
        <v>0</v>
      </c>
      <c r="T32" s="22" t="s">
        <v>210</v>
      </c>
      <c r="U32" s="22" t="s">
        <v>124</v>
      </c>
      <c r="V32" s="25">
        <f t="shared" si="0"/>
        <v>30</v>
      </c>
      <c r="W32" s="26">
        <f t="shared" si="1"/>
        <v>30</v>
      </c>
      <c r="X32" s="27">
        <f t="shared" si="2"/>
        <v>0</v>
      </c>
      <c r="Y32" s="28">
        <f t="shared" si="6"/>
        <v>0</v>
      </c>
      <c r="Z32" s="22">
        <f t="shared" si="4"/>
        <v>75</v>
      </c>
      <c r="AA32" s="22">
        <f t="shared" si="5"/>
        <v>15</v>
      </c>
      <c r="AB32" s="22"/>
      <c r="AC32" s="22">
        <v>1</v>
      </c>
      <c r="AD32" s="23"/>
      <c r="AE32" s="21"/>
      <c r="AF32" s="21"/>
      <c r="AG32" s="21"/>
      <c r="AH32" s="21"/>
      <c r="AI32" s="21"/>
      <c r="AJ32" s="21"/>
    </row>
    <row r="33" spans="1:36" ht="31.5" x14ac:dyDescent="0.25">
      <c r="A33" s="22">
        <v>32</v>
      </c>
      <c r="B33" s="20" t="s">
        <v>239</v>
      </c>
      <c r="C33" s="20"/>
      <c r="D33" s="20"/>
      <c r="E33" s="20" t="s">
        <v>46</v>
      </c>
      <c r="F33" s="19"/>
      <c r="G33" s="19" t="s">
        <v>249</v>
      </c>
      <c r="H33" s="14" t="s">
        <v>250</v>
      </c>
      <c r="I33" s="23"/>
      <c r="J33" s="20">
        <v>0</v>
      </c>
      <c r="K33" s="24">
        <v>2</v>
      </c>
      <c r="L33" s="25">
        <v>1</v>
      </c>
      <c r="M33" s="26">
        <v>1</v>
      </c>
      <c r="N33" s="27"/>
      <c r="O33" s="28"/>
      <c r="P33" s="22" t="s">
        <v>11</v>
      </c>
      <c r="Q33" s="22"/>
      <c r="R33" s="20">
        <v>1</v>
      </c>
      <c r="S33" s="20">
        <v>0</v>
      </c>
      <c r="T33" s="22"/>
      <c r="U33" s="22"/>
      <c r="V33" s="25">
        <f t="shared" si="0"/>
        <v>15</v>
      </c>
      <c r="W33" s="26">
        <f t="shared" si="1"/>
        <v>30</v>
      </c>
      <c r="X33" s="27">
        <f t="shared" si="2"/>
        <v>0</v>
      </c>
      <c r="Y33" s="28">
        <f t="shared" si="6"/>
        <v>0</v>
      </c>
      <c r="Z33" s="22">
        <f t="shared" si="4"/>
        <v>45</v>
      </c>
      <c r="AA33" s="22">
        <f t="shared" si="5"/>
        <v>10</v>
      </c>
      <c r="AB33" s="22"/>
      <c r="AC33" s="22">
        <v>1</v>
      </c>
      <c r="AD33" s="23"/>
      <c r="AE33" s="21"/>
      <c r="AF33" s="21"/>
      <c r="AG33" s="21"/>
      <c r="AH33" s="21"/>
      <c r="AI33" s="21"/>
      <c r="AJ33" s="21"/>
    </row>
    <row r="34" spans="1:36" ht="31.5" x14ac:dyDescent="0.25">
      <c r="A34" s="22">
        <v>33</v>
      </c>
      <c r="B34" s="20" t="s">
        <v>239</v>
      </c>
      <c r="C34" s="20"/>
      <c r="D34" s="20"/>
      <c r="E34" s="20" t="s">
        <v>46</v>
      </c>
      <c r="F34" s="19"/>
      <c r="G34" s="19" t="s">
        <v>251</v>
      </c>
      <c r="H34" s="14" t="s">
        <v>252</v>
      </c>
      <c r="I34" s="23"/>
      <c r="J34" s="20">
        <v>0</v>
      </c>
      <c r="K34" s="24">
        <v>2</v>
      </c>
      <c r="L34" s="25">
        <v>1</v>
      </c>
      <c r="M34" s="26">
        <v>1</v>
      </c>
      <c r="N34" s="27"/>
      <c r="O34" s="28"/>
      <c r="P34" s="22" t="s">
        <v>11</v>
      </c>
      <c r="Q34" s="22"/>
      <c r="R34" s="20">
        <v>1</v>
      </c>
      <c r="S34" s="20">
        <v>0</v>
      </c>
      <c r="T34" s="22"/>
      <c r="U34" s="22"/>
      <c r="V34" s="25">
        <f t="shared" si="0"/>
        <v>15</v>
      </c>
      <c r="W34" s="26">
        <f t="shared" si="1"/>
        <v>30</v>
      </c>
      <c r="X34" s="27">
        <f t="shared" si="2"/>
        <v>0</v>
      </c>
      <c r="Y34" s="28">
        <f t="shared" si="6"/>
        <v>0</v>
      </c>
      <c r="Z34" s="22">
        <f t="shared" si="4"/>
        <v>45</v>
      </c>
      <c r="AA34" s="22">
        <f t="shared" si="5"/>
        <v>10</v>
      </c>
      <c r="AB34" s="22"/>
      <c r="AC34" s="22">
        <v>1</v>
      </c>
      <c r="AD34" s="23"/>
      <c r="AE34" s="21"/>
      <c r="AF34" s="21"/>
      <c r="AG34" s="21"/>
      <c r="AH34" s="21"/>
      <c r="AI34" s="21"/>
      <c r="AJ34" s="21"/>
    </row>
    <row r="35" spans="1:36" ht="31.5" x14ac:dyDescent="0.25">
      <c r="A35" s="22">
        <v>34</v>
      </c>
      <c r="B35" s="20" t="s">
        <v>239</v>
      </c>
      <c r="C35" s="20"/>
      <c r="D35" s="20"/>
      <c r="E35" s="20" t="s">
        <v>46</v>
      </c>
      <c r="F35" s="19"/>
      <c r="G35" s="19" t="s">
        <v>253</v>
      </c>
      <c r="H35" s="14" t="s">
        <v>254</v>
      </c>
      <c r="I35" s="23"/>
      <c r="J35" s="20">
        <v>0</v>
      </c>
      <c r="K35" s="24">
        <v>3</v>
      </c>
      <c r="L35" s="25">
        <v>3</v>
      </c>
      <c r="M35" s="26"/>
      <c r="N35" s="27"/>
      <c r="O35" s="28"/>
      <c r="P35" s="22"/>
      <c r="Q35" s="22"/>
      <c r="R35" s="20">
        <v>1</v>
      </c>
      <c r="S35" s="20">
        <v>0</v>
      </c>
      <c r="T35" s="22" t="s">
        <v>146</v>
      </c>
      <c r="U35" s="22" t="s">
        <v>124</v>
      </c>
      <c r="V35" s="25">
        <f t="shared" si="0"/>
        <v>45</v>
      </c>
      <c r="W35" s="26">
        <f t="shared" si="1"/>
        <v>0</v>
      </c>
      <c r="X35" s="27">
        <f t="shared" si="2"/>
        <v>0</v>
      </c>
      <c r="Y35" s="28">
        <f t="shared" si="6"/>
        <v>0</v>
      </c>
      <c r="Z35" s="22">
        <f t="shared" si="4"/>
        <v>90</v>
      </c>
      <c r="AA35" s="22">
        <f t="shared" si="5"/>
        <v>15</v>
      </c>
      <c r="AB35" s="22"/>
      <c r="AC35" s="22">
        <v>1</v>
      </c>
      <c r="AD35" s="23"/>
      <c r="AE35" s="21"/>
      <c r="AF35" s="21"/>
      <c r="AG35" s="21"/>
      <c r="AH35" s="21"/>
      <c r="AI35" s="21"/>
      <c r="AJ35" s="21"/>
    </row>
    <row r="36" spans="1:36" ht="31.5" x14ac:dyDescent="0.25">
      <c r="A36" s="22">
        <v>35</v>
      </c>
      <c r="B36" s="19" t="s">
        <v>73</v>
      </c>
      <c r="C36" s="20"/>
      <c r="D36" s="20"/>
      <c r="E36" s="20" t="s">
        <v>74</v>
      </c>
      <c r="F36" s="19"/>
      <c r="G36" s="19" t="s">
        <v>162</v>
      </c>
      <c r="H36" s="14" t="s">
        <v>163</v>
      </c>
      <c r="I36" s="23"/>
      <c r="J36" s="20">
        <v>4</v>
      </c>
      <c r="K36" s="24">
        <v>2</v>
      </c>
      <c r="L36" s="25"/>
      <c r="M36" s="26"/>
      <c r="N36" s="27"/>
      <c r="O36" s="28"/>
      <c r="P36" s="22"/>
      <c r="Q36" s="22"/>
      <c r="R36" s="20">
        <v>0</v>
      </c>
      <c r="S36" s="20">
        <v>0</v>
      </c>
      <c r="T36" s="22"/>
      <c r="U36" s="22"/>
      <c r="V36" s="25">
        <f t="shared" si="0"/>
        <v>0</v>
      </c>
      <c r="W36" s="26">
        <f t="shared" si="1"/>
        <v>0</v>
      </c>
      <c r="X36" s="27">
        <f t="shared" si="2"/>
        <v>0</v>
      </c>
      <c r="Y36" s="28">
        <f t="shared" si="6"/>
        <v>0</v>
      </c>
      <c r="Z36" s="22">
        <f t="shared" si="4"/>
        <v>0</v>
      </c>
      <c r="AA36" s="22">
        <f t="shared" si="5"/>
        <v>10</v>
      </c>
      <c r="AB36" s="22"/>
      <c r="AC36" s="22">
        <v>1</v>
      </c>
      <c r="AD36" s="23"/>
      <c r="AE36" s="21"/>
      <c r="AF36" s="21"/>
      <c r="AG36" s="21"/>
      <c r="AH36" s="21"/>
      <c r="AI36" s="21"/>
      <c r="AJ36" s="21"/>
    </row>
    <row r="37" spans="1:36" ht="31.5" x14ac:dyDescent="0.25">
      <c r="A37" s="22">
        <v>36</v>
      </c>
      <c r="B37" s="19" t="s">
        <v>73</v>
      </c>
      <c r="C37" s="20"/>
      <c r="D37" s="20"/>
      <c r="E37" s="20" t="s">
        <v>74</v>
      </c>
      <c r="F37" s="19"/>
      <c r="G37" s="19" t="s">
        <v>255</v>
      </c>
      <c r="H37" s="14" t="s">
        <v>256</v>
      </c>
      <c r="I37" s="23"/>
      <c r="J37" s="20">
        <v>5</v>
      </c>
      <c r="K37" s="24">
        <v>3</v>
      </c>
      <c r="L37" s="25">
        <v>3</v>
      </c>
      <c r="M37" s="26"/>
      <c r="N37" s="27"/>
      <c r="O37" s="28"/>
      <c r="P37" s="22"/>
      <c r="Q37" s="22"/>
      <c r="R37" s="20">
        <v>0</v>
      </c>
      <c r="S37" s="20">
        <v>0</v>
      </c>
      <c r="T37" s="22" t="s">
        <v>205</v>
      </c>
      <c r="U37" s="22" t="s">
        <v>124</v>
      </c>
      <c r="V37" s="25">
        <f t="shared" si="0"/>
        <v>45</v>
      </c>
      <c r="W37" s="26">
        <f t="shared" si="1"/>
        <v>0</v>
      </c>
      <c r="X37" s="27">
        <f t="shared" si="2"/>
        <v>0</v>
      </c>
      <c r="Y37" s="28">
        <f t="shared" si="6"/>
        <v>0</v>
      </c>
      <c r="Z37" s="22">
        <f t="shared" si="4"/>
        <v>90</v>
      </c>
      <c r="AA37" s="22">
        <f t="shared" si="5"/>
        <v>15</v>
      </c>
      <c r="AB37" s="22"/>
      <c r="AC37" s="22">
        <v>1</v>
      </c>
      <c r="AD37" s="23"/>
      <c r="AE37" s="21"/>
      <c r="AF37" s="21"/>
      <c r="AG37" s="21"/>
      <c r="AH37" s="21"/>
      <c r="AI37" s="21"/>
      <c r="AJ37" s="21"/>
    </row>
    <row r="38" spans="1:36" ht="31.5" x14ac:dyDescent="0.25">
      <c r="A38" s="22">
        <v>37</v>
      </c>
      <c r="B38" s="19" t="s">
        <v>73</v>
      </c>
      <c r="C38" s="20"/>
      <c r="D38" s="20"/>
      <c r="E38" s="20" t="s">
        <v>74</v>
      </c>
      <c r="F38" s="19"/>
      <c r="G38" s="19" t="s">
        <v>167</v>
      </c>
      <c r="H38" s="14" t="s">
        <v>86</v>
      </c>
      <c r="I38" s="23"/>
      <c r="J38" s="20">
        <v>4</v>
      </c>
      <c r="K38" s="24">
        <v>4</v>
      </c>
      <c r="L38" s="25">
        <v>4</v>
      </c>
      <c r="M38" s="26"/>
      <c r="N38" s="27"/>
      <c r="O38" s="28"/>
      <c r="P38" s="22"/>
      <c r="Q38" s="22"/>
      <c r="R38" s="20">
        <v>0</v>
      </c>
      <c r="S38" s="20">
        <v>0</v>
      </c>
      <c r="T38" s="22" t="s">
        <v>143</v>
      </c>
      <c r="U38" s="22" t="s">
        <v>124</v>
      </c>
      <c r="V38" s="25">
        <f t="shared" si="0"/>
        <v>60</v>
      </c>
      <c r="W38" s="26">
        <f t="shared" si="1"/>
        <v>0</v>
      </c>
      <c r="X38" s="27">
        <f t="shared" si="2"/>
        <v>0</v>
      </c>
      <c r="Y38" s="28">
        <f t="shared" si="6"/>
        <v>0</v>
      </c>
      <c r="Z38" s="22">
        <f t="shared" si="4"/>
        <v>120</v>
      </c>
      <c r="AA38" s="22">
        <f t="shared" si="5"/>
        <v>20</v>
      </c>
      <c r="AB38" s="22"/>
      <c r="AC38" s="22">
        <v>1</v>
      </c>
      <c r="AD38" s="23"/>
      <c r="AE38" s="21"/>
      <c r="AF38" s="21"/>
      <c r="AG38" s="21"/>
      <c r="AH38" s="21"/>
      <c r="AI38" s="21"/>
      <c r="AJ38" s="21"/>
    </row>
    <row r="39" spans="1:36" ht="31.5" x14ac:dyDescent="0.25">
      <c r="A39" s="22">
        <v>38</v>
      </c>
      <c r="B39" s="19" t="s">
        <v>73</v>
      </c>
      <c r="C39" s="20"/>
      <c r="D39" s="20"/>
      <c r="E39" s="20" t="s">
        <v>74</v>
      </c>
      <c r="F39" s="19"/>
      <c r="G39" s="19" t="s">
        <v>87</v>
      </c>
      <c r="H39" s="14" t="s">
        <v>88</v>
      </c>
      <c r="I39" s="23"/>
      <c r="J39" s="20">
        <v>5</v>
      </c>
      <c r="K39" s="24">
        <v>4</v>
      </c>
      <c r="L39" s="25">
        <v>4</v>
      </c>
      <c r="M39" s="26"/>
      <c r="N39" s="27"/>
      <c r="O39" s="28"/>
      <c r="P39" s="22"/>
      <c r="Q39" s="22"/>
      <c r="R39" s="20">
        <v>0</v>
      </c>
      <c r="S39" s="20">
        <v>0</v>
      </c>
      <c r="T39" s="22" t="s">
        <v>167</v>
      </c>
      <c r="U39" s="22" t="s">
        <v>124</v>
      </c>
      <c r="V39" s="25">
        <f t="shared" si="0"/>
        <v>60</v>
      </c>
      <c r="W39" s="26">
        <f t="shared" si="1"/>
        <v>0</v>
      </c>
      <c r="X39" s="27">
        <f t="shared" si="2"/>
        <v>0</v>
      </c>
      <c r="Y39" s="28">
        <f t="shared" si="6"/>
        <v>0</v>
      </c>
      <c r="Z39" s="22">
        <f t="shared" si="4"/>
        <v>120</v>
      </c>
      <c r="AA39" s="22">
        <f t="shared" si="5"/>
        <v>20</v>
      </c>
      <c r="AB39" s="22"/>
      <c r="AC39" s="22">
        <v>1</v>
      </c>
      <c r="AD39" s="23"/>
      <c r="AE39" s="21"/>
      <c r="AF39" s="21"/>
      <c r="AG39" s="21"/>
      <c r="AH39" s="21"/>
      <c r="AI39" s="21"/>
      <c r="AJ39" s="21"/>
    </row>
    <row r="40" spans="1:36" ht="31.5" x14ac:dyDescent="0.25">
      <c r="A40" s="22">
        <v>39</v>
      </c>
      <c r="B40" s="19" t="s">
        <v>73</v>
      </c>
      <c r="C40" s="20"/>
      <c r="D40" s="20"/>
      <c r="E40" s="20" t="s">
        <v>74</v>
      </c>
      <c r="F40" s="19"/>
      <c r="G40" s="19" t="s">
        <v>165</v>
      </c>
      <c r="H40" s="14" t="s">
        <v>78</v>
      </c>
      <c r="I40" s="23"/>
      <c r="J40" s="20">
        <v>4</v>
      </c>
      <c r="K40" s="24">
        <v>3</v>
      </c>
      <c r="L40" s="25">
        <v>3</v>
      </c>
      <c r="M40" s="26"/>
      <c r="N40" s="27"/>
      <c r="O40" s="28"/>
      <c r="P40" s="22"/>
      <c r="Q40" s="22"/>
      <c r="R40" s="20">
        <v>0</v>
      </c>
      <c r="S40" s="20">
        <v>0</v>
      </c>
      <c r="T40" s="22" t="s">
        <v>146</v>
      </c>
      <c r="U40" s="22" t="s">
        <v>124</v>
      </c>
      <c r="V40" s="25">
        <f t="shared" si="0"/>
        <v>45</v>
      </c>
      <c r="W40" s="26">
        <f t="shared" si="1"/>
        <v>0</v>
      </c>
      <c r="X40" s="27">
        <f t="shared" si="2"/>
        <v>0</v>
      </c>
      <c r="Y40" s="28">
        <f t="shared" si="6"/>
        <v>0</v>
      </c>
      <c r="Z40" s="22">
        <f t="shared" si="4"/>
        <v>90</v>
      </c>
      <c r="AA40" s="22">
        <f t="shared" si="5"/>
        <v>15</v>
      </c>
      <c r="AB40" s="22"/>
      <c r="AC40" s="22">
        <v>1</v>
      </c>
      <c r="AD40" s="23"/>
      <c r="AE40" s="21"/>
      <c r="AF40" s="21"/>
      <c r="AG40" s="21"/>
      <c r="AH40" s="21"/>
      <c r="AI40" s="21"/>
      <c r="AJ40" s="21"/>
    </row>
    <row r="41" spans="1:36" ht="31.5" x14ac:dyDescent="0.25">
      <c r="A41" s="22">
        <v>40</v>
      </c>
      <c r="B41" s="19" t="s">
        <v>73</v>
      </c>
      <c r="C41" s="20"/>
      <c r="D41" s="20"/>
      <c r="E41" s="20" t="s">
        <v>74</v>
      </c>
      <c r="F41" s="19"/>
      <c r="G41" s="19" t="s">
        <v>106</v>
      </c>
      <c r="H41" s="14" t="s">
        <v>107</v>
      </c>
      <c r="I41" s="23"/>
      <c r="J41" s="20">
        <v>5</v>
      </c>
      <c r="K41" s="24">
        <v>3</v>
      </c>
      <c r="L41" s="25">
        <v>3</v>
      </c>
      <c r="M41" s="26"/>
      <c r="N41" s="27"/>
      <c r="O41" s="28"/>
      <c r="P41" s="22"/>
      <c r="Q41" s="22"/>
      <c r="R41" s="20">
        <v>0</v>
      </c>
      <c r="S41" s="20">
        <v>0</v>
      </c>
      <c r="T41" s="22"/>
      <c r="U41" s="22"/>
      <c r="V41" s="25">
        <f t="shared" si="0"/>
        <v>45</v>
      </c>
      <c r="W41" s="26">
        <f t="shared" si="1"/>
        <v>0</v>
      </c>
      <c r="X41" s="27">
        <f t="shared" si="2"/>
        <v>0</v>
      </c>
      <c r="Y41" s="28">
        <f t="shared" si="6"/>
        <v>0</v>
      </c>
      <c r="Z41" s="22">
        <f t="shared" si="4"/>
        <v>90</v>
      </c>
      <c r="AA41" s="22">
        <f t="shared" si="5"/>
        <v>15</v>
      </c>
      <c r="AB41" s="22"/>
      <c r="AC41" s="22">
        <v>1</v>
      </c>
      <c r="AD41" s="23"/>
      <c r="AE41" s="21"/>
      <c r="AF41" s="21"/>
      <c r="AG41" s="21"/>
      <c r="AH41" s="21"/>
      <c r="AI41" s="21"/>
      <c r="AJ41" s="21"/>
    </row>
    <row r="42" spans="1:36" ht="31.5" x14ac:dyDescent="0.25">
      <c r="A42" s="22">
        <v>41</v>
      </c>
      <c r="B42" s="19" t="s">
        <v>73</v>
      </c>
      <c r="C42" s="20"/>
      <c r="D42" s="20"/>
      <c r="E42" s="20" t="s">
        <v>74</v>
      </c>
      <c r="F42" s="19"/>
      <c r="G42" s="19" t="s">
        <v>97</v>
      </c>
      <c r="H42" s="14" t="s">
        <v>98</v>
      </c>
      <c r="I42" s="23"/>
      <c r="J42" s="20">
        <v>5</v>
      </c>
      <c r="K42" s="24">
        <v>4</v>
      </c>
      <c r="L42" s="25">
        <v>4</v>
      </c>
      <c r="M42" s="26"/>
      <c r="N42" s="27"/>
      <c r="O42" s="28"/>
      <c r="P42" s="22"/>
      <c r="Q42" s="22"/>
      <c r="R42" s="20">
        <v>0</v>
      </c>
      <c r="S42" s="20">
        <v>0</v>
      </c>
      <c r="T42" s="22" t="s">
        <v>143</v>
      </c>
      <c r="U42" s="22" t="s">
        <v>124</v>
      </c>
      <c r="V42" s="25">
        <f t="shared" si="0"/>
        <v>60</v>
      </c>
      <c r="W42" s="26">
        <f t="shared" si="1"/>
        <v>0</v>
      </c>
      <c r="X42" s="27">
        <f t="shared" si="2"/>
        <v>0</v>
      </c>
      <c r="Y42" s="28">
        <f t="shared" si="6"/>
        <v>0</v>
      </c>
      <c r="Z42" s="22">
        <f t="shared" si="4"/>
        <v>120</v>
      </c>
      <c r="AA42" s="22">
        <f t="shared" si="5"/>
        <v>20</v>
      </c>
      <c r="AB42" s="22"/>
      <c r="AC42" s="22">
        <v>1</v>
      </c>
      <c r="AD42" s="23"/>
      <c r="AE42" s="21"/>
      <c r="AF42" s="21"/>
      <c r="AG42" s="21"/>
      <c r="AH42" s="21"/>
      <c r="AI42" s="21"/>
      <c r="AJ42" s="21"/>
    </row>
    <row r="43" spans="1:36" ht="31.5" x14ac:dyDescent="0.25">
      <c r="A43" s="22">
        <v>42</v>
      </c>
      <c r="B43" s="19" t="s">
        <v>73</v>
      </c>
      <c r="C43" s="20"/>
      <c r="D43" s="20"/>
      <c r="E43" s="20" t="s">
        <v>74</v>
      </c>
      <c r="F43" s="19"/>
      <c r="G43" s="19" t="s">
        <v>258</v>
      </c>
      <c r="H43" s="14" t="s">
        <v>259</v>
      </c>
      <c r="I43" s="23"/>
      <c r="J43" s="20">
        <v>6</v>
      </c>
      <c r="K43" s="24">
        <v>3</v>
      </c>
      <c r="L43" s="25">
        <v>3</v>
      </c>
      <c r="M43" s="26"/>
      <c r="N43" s="27"/>
      <c r="O43" s="28"/>
      <c r="P43" s="22"/>
      <c r="Q43" s="22"/>
      <c r="R43" s="20">
        <v>0</v>
      </c>
      <c r="S43" s="20">
        <v>0</v>
      </c>
      <c r="T43" s="22" t="s">
        <v>87</v>
      </c>
      <c r="U43" s="22" t="s">
        <v>124</v>
      </c>
      <c r="V43" s="25">
        <f t="shared" si="0"/>
        <v>45</v>
      </c>
      <c r="W43" s="26">
        <f t="shared" si="1"/>
        <v>0</v>
      </c>
      <c r="X43" s="27">
        <f t="shared" si="2"/>
        <v>0</v>
      </c>
      <c r="Y43" s="28">
        <f t="shared" si="6"/>
        <v>0</v>
      </c>
      <c r="Z43" s="22">
        <f t="shared" si="4"/>
        <v>90</v>
      </c>
      <c r="AA43" s="22">
        <f t="shared" si="5"/>
        <v>15</v>
      </c>
      <c r="AB43" s="22"/>
      <c r="AC43" s="22">
        <v>1</v>
      </c>
      <c r="AD43" s="23"/>
      <c r="AE43" s="21"/>
      <c r="AF43" s="21"/>
      <c r="AG43" s="21"/>
      <c r="AH43" s="21"/>
      <c r="AI43" s="21"/>
      <c r="AJ43" s="21"/>
    </row>
    <row r="44" spans="1:36" ht="31.5" x14ac:dyDescent="0.25">
      <c r="A44" s="22">
        <v>43</v>
      </c>
      <c r="B44" s="19" t="s">
        <v>73</v>
      </c>
      <c r="C44" s="20"/>
      <c r="D44" s="20"/>
      <c r="E44" s="20" t="s">
        <v>74</v>
      </c>
      <c r="F44" s="19"/>
      <c r="G44" s="19" t="s">
        <v>171</v>
      </c>
      <c r="H44" s="14" t="s">
        <v>172</v>
      </c>
      <c r="I44" s="23"/>
      <c r="J44" s="20">
        <v>6</v>
      </c>
      <c r="K44" s="24">
        <v>3</v>
      </c>
      <c r="L44" s="25">
        <v>2</v>
      </c>
      <c r="M44" s="26">
        <v>1</v>
      </c>
      <c r="N44" s="27"/>
      <c r="O44" s="28"/>
      <c r="P44" s="22" t="s">
        <v>11</v>
      </c>
      <c r="Q44" s="22"/>
      <c r="R44" s="20">
        <v>0</v>
      </c>
      <c r="S44" s="20">
        <v>0</v>
      </c>
      <c r="T44" s="22"/>
      <c r="U44" s="22"/>
      <c r="V44" s="25">
        <f t="shared" si="0"/>
        <v>30</v>
      </c>
      <c r="W44" s="26">
        <f t="shared" si="1"/>
        <v>30</v>
      </c>
      <c r="X44" s="27">
        <f t="shared" si="2"/>
        <v>0</v>
      </c>
      <c r="Y44" s="28">
        <f t="shared" si="6"/>
        <v>0</v>
      </c>
      <c r="Z44" s="22">
        <f t="shared" si="4"/>
        <v>75</v>
      </c>
      <c r="AA44" s="22">
        <f t="shared" si="5"/>
        <v>15</v>
      </c>
      <c r="AB44" s="22"/>
      <c r="AC44" s="22">
        <v>1</v>
      </c>
      <c r="AD44" s="23"/>
      <c r="AE44" s="21"/>
      <c r="AF44" s="21"/>
      <c r="AG44" s="21"/>
      <c r="AH44" s="21"/>
      <c r="AI44" s="21"/>
      <c r="AJ44" s="21"/>
    </row>
    <row r="45" spans="1:36" ht="31.5" x14ac:dyDescent="0.25">
      <c r="A45" s="22">
        <v>44</v>
      </c>
      <c r="B45" s="19" t="s">
        <v>73</v>
      </c>
      <c r="C45" s="20"/>
      <c r="D45" s="20"/>
      <c r="E45" s="20" t="s">
        <v>74</v>
      </c>
      <c r="F45" s="19"/>
      <c r="G45" s="19" t="s">
        <v>95</v>
      </c>
      <c r="H45" s="14" t="s">
        <v>96</v>
      </c>
      <c r="I45" s="23"/>
      <c r="J45" s="20">
        <v>6</v>
      </c>
      <c r="K45" s="24">
        <v>3</v>
      </c>
      <c r="L45" s="25">
        <v>3</v>
      </c>
      <c r="M45" s="26"/>
      <c r="N45" s="27"/>
      <c r="O45" s="28"/>
      <c r="P45" s="22"/>
      <c r="Q45" s="22"/>
      <c r="R45" s="20">
        <v>0</v>
      </c>
      <c r="S45" s="20">
        <v>0</v>
      </c>
      <c r="T45" s="22" t="s">
        <v>214</v>
      </c>
      <c r="U45" s="22" t="s">
        <v>124</v>
      </c>
      <c r="V45" s="25">
        <f t="shared" si="0"/>
        <v>45</v>
      </c>
      <c r="W45" s="26">
        <f t="shared" si="1"/>
        <v>0</v>
      </c>
      <c r="X45" s="27">
        <f t="shared" si="2"/>
        <v>0</v>
      </c>
      <c r="Y45" s="28">
        <f t="shared" si="6"/>
        <v>0</v>
      </c>
      <c r="Z45" s="22">
        <f t="shared" si="4"/>
        <v>90</v>
      </c>
      <c r="AA45" s="22">
        <f t="shared" si="5"/>
        <v>15</v>
      </c>
      <c r="AB45" s="22"/>
      <c r="AC45" s="22">
        <v>1</v>
      </c>
      <c r="AD45" s="23"/>
      <c r="AE45" s="21"/>
      <c r="AF45" s="21"/>
      <c r="AG45" s="21"/>
      <c r="AH45" s="21"/>
      <c r="AI45" s="21"/>
      <c r="AJ45" s="21"/>
    </row>
    <row r="46" spans="1:36" ht="31.5" x14ac:dyDescent="0.25">
      <c r="A46" s="22">
        <v>45</v>
      </c>
      <c r="B46" s="19" t="s">
        <v>73</v>
      </c>
      <c r="C46" s="20"/>
      <c r="D46" s="20"/>
      <c r="E46" s="20" t="s">
        <v>74</v>
      </c>
      <c r="F46" s="19"/>
      <c r="G46" s="19" t="s">
        <v>177</v>
      </c>
      <c r="H46" s="14" t="s">
        <v>178</v>
      </c>
      <c r="I46" s="23"/>
      <c r="J46" s="20">
        <v>6</v>
      </c>
      <c r="K46" s="24">
        <v>3</v>
      </c>
      <c r="L46" s="25">
        <v>1</v>
      </c>
      <c r="M46" s="26">
        <v>2</v>
      </c>
      <c r="N46" s="27"/>
      <c r="O46" s="28"/>
      <c r="P46" s="22" t="s">
        <v>11</v>
      </c>
      <c r="Q46" s="22"/>
      <c r="R46" s="20">
        <v>0</v>
      </c>
      <c r="S46" s="20">
        <v>0</v>
      </c>
      <c r="T46" s="22" t="s">
        <v>87</v>
      </c>
      <c r="U46" s="22" t="s">
        <v>124</v>
      </c>
      <c r="V46" s="25">
        <f t="shared" si="0"/>
        <v>15</v>
      </c>
      <c r="W46" s="26">
        <f t="shared" si="1"/>
        <v>60</v>
      </c>
      <c r="X46" s="27">
        <f t="shared" si="2"/>
        <v>0</v>
      </c>
      <c r="Y46" s="28">
        <f t="shared" si="6"/>
        <v>0</v>
      </c>
      <c r="Z46" s="22">
        <f t="shared" si="4"/>
        <v>60</v>
      </c>
      <c r="AA46" s="22">
        <f t="shared" si="5"/>
        <v>15</v>
      </c>
      <c r="AB46" s="22"/>
      <c r="AC46" s="22">
        <v>1</v>
      </c>
      <c r="AD46" s="23"/>
      <c r="AE46" s="21"/>
      <c r="AF46" s="21"/>
      <c r="AG46" s="21"/>
      <c r="AH46" s="21"/>
      <c r="AI46" s="21"/>
      <c r="AJ46" s="21"/>
    </row>
    <row r="47" spans="1:36" ht="31.5" x14ac:dyDescent="0.25">
      <c r="A47" s="22">
        <v>46</v>
      </c>
      <c r="B47" s="19" t="s">
        <v>73</v>
      </c>
      <c r="C47" s="20"/>
      <c r="D47" s="20"/>
      <c r="E47" s="20" t="s">
        <v>74</v>
      </c>
      <c r="F47" s="19"/>
      <c r="G47" s="19" t="s">
        <v>221</v>
      </c>
      <c r="H47" s="14" t="s">
        <v>181</v>
      </c>
      <c r="I47" s="23"/>
      <c r="J47" s="20">
        <v>6</v>
      </c>
      <c r="K47" s="24">
        <v>3</v>
      </c>
      <c r="L47" s="25"/>
      <c r="M47" s="26"/>
      <c r="N47" s="27"/>
      <c r="O47" s="28"/>
      <c r="P47" s="22"/>
      <c r="Q47" s="22"/>
      <c r="R47" s="20">
        <v>0</v>
      </c>
      <c r="S47" s="20">
        <v>0</v>
      </c>
      <c r="T47" s="22"/>
      <c r="U47" s="22"/>
      <c r="V47" s="25">
        <f t="shared" si="0"/>
        <v>0</v>
      </c>
      <c r="W47" s="26">
        <f t="shared" si="1"/>
        <v>0</v>
      </c>
      <c r="X47" s="27">
        <f t="shared" si="2"/>
        <v>0</v>
      </c>
      <c r="Y47" s="28">
        <f t="shared" si="6"/>
        <v>0</v>
      </c>
      <c r="Z47" s="22">
        <f t="shared" si="4"/>
        <v>0</v>
      </c>
      <c r="AA47" s="22">
        <f t="shared" si="5"/>
        <v>15</v>
      </c>
      <c r="AB47" s="22"/>
      <c r="AC47" s="22">
        <v>1</v>
      </c>
      <c r="AD47" s="23"/>
      <c r="AE47" s="21"/>
      <c r="AF47" s="21"/>
      <c r="AG47" s="21"/>
      <c r="AH47" s="21"/>
      <c r="AI47" s="21"/>
      <c r="AJ47" s="21"/>
    </row>
    <row r="48" spans="1:36" ht="31.5" x14ac:dyDescent="0.25">
      <c r="A48" s="22">
        <v>47</v>
      </c>
      <c r="B48" s="19" t="s">
        <v>263</v>
      </c>
      <c r="C48" s="20" t="s">
        <v>264</v>
      </c>
      <c r="D48" s="20" t="s">
        <v>265</v>
      </c>
      <c r="E48" s="20" t="s">
        <v>74</v>
      </c>
      <c r="F48" s="19"/>
      <c r="G48" s="19" t="s">
        <v>168</v>
      </c>
      <c r="H48" s="14" t="s">
        <v>169</v>
      </c>
      <c r="I48" s="23"/>
      <c r="J48" s="20">
        <v>7</v>
      </c>
      <c r="K48" s="24">
        <v>3</v>
      </c>
      <c r="L48" s="25">
        <v>3</v>
      </c>
      <c r="M48" s="26"/>
      <c r="N48" s="27"/>
      <c r="O48" s="28"/>
      <c r="P48" s="22"/>
      <c r="Q48" s="22"/>
      <c r="R48" s="20">
        <v>1</v>
      </c>
      <c r="S48" s="20">
        <v>0</v>
      </c>
      <c r="T48" s="22" t="s">
        <v>143</v>
      </c>
      <c r="U48" s="22" t="s">
        <v>124</v>
      </c>
      <c r="V48" s="25">
        <f t="shared" si="0"/>
        <v>45</v>
      </c>
      <c r="W48" s="26">
        <f t="shared" si="1"/>
        <v>0</v>
      </c>
      <c r="X48" s="27">
        <f t="shared" si="2"/>
        <v>0</v>
      </c>
      <c r="Y48" s="28">
        <f t="shared" si="6"/>
        <v>0</v>
      </c>
      <c r="Z48" s="22">
        <f t="shared" si="4"/>
        <v>90</v>
      </c>
      <c r="AA48" s="22">
        <f t="shared" si="5"/>
        <v>15</v>
      </c>
      <c r="AB48" s="22"/>
      <c r="AC48" s="22">
        <v>1</v>
      </c>
      <c r="AD48" s="23"/>
      <c r="AE48" s="21"/>
      <c r="AF48" s="21"/>
      <c r="AG48" s="21"/>
      <c r="AH48" s="21"/>
      <c r="AI48" s="21"/>
      <c r="AJ48" s="21"/>
    </row>
    <row r="49" spans="1:36" ht="31.5" x14ac:dyDescent="0.25">
      <c r="A49" s="22">
        <v>48</v>
      </c>
      <c r="B49" s="19" t="s">
        <v>263</v>
      </c>
      <c r="C49" s="20" t="s">
        <v>264</v>
      </c>
      <c r="D49" s="20" t="s">
        <v>265</v>
      </c>
      <c r="E49" s="20" t="s">
        <v>74</v>
      </c>
      <c r="F49" s="19"/>
      <c r="G49" s="19" t="s">
        <v>266</v>
      </c>
      <c r="H49" s="14" t="s">
        <v>267</v>
      </c>
      <c r="I49" s="23"/>
      <c r="J49" s="20">
        <v>0</v>
      </c>
      <c r="K49" s="24">
        <v>3</v>
      </c>
      <c r="L49" s="25">
        <v>3</v>
      </c>
      <c r="M49" s="26"/>
      <c r="N49" s="27"/>
      <c r="O49" s="28"/>
      <c r="P49" s="22"/>
      <c r="Q49" s="22"/>
      <c r="R49" s="20">
        <v>1</v>
      </c>
      <c r="S49" s="20">
        <v>0</v>
      </c>
      <c r="T49" s="22" t="s">
        <v>97</v>
      </c>
      <c r="U49" s="22" t="s">
        <v>124</v>
      </c>
      <c r="V49" s="25">
        <f t="shared" si="0"/>
        <v>45</v>
      </c>
      <c r="W49" s="26">
        <f t="shared" si="1"/>
        <v>0</v>
      </c>
      <c r="X49" s="27">
        <f t="shared" si="2"/>
        <v>0</v>
      </c>
      <c r="Y49" s="28">
        <f t="shared" si="6"/>
        <v>0</v>
      </c>
      <c r="Z49" s="22">
        <f t="shared" si="4"/>
        <v>90</v>
      </c>
      <c r="AA49" s="22">
        <f t="shared" si="5"/>
        <v>15</v>
      </c>
      <c r="AB49" s="22"/>
      <c r="AC49" s="22">
        <v>1</v>
      </c>
      <c r="AD49" s="23"/>
      <c r="AE49" s="21"/>
      <c r="AF49" s="21"/>
      <c r="AG49" s="21"/>
      <c r="AH49" s="21"/>
      <c r="AI49" s="21"/>
      <c r="AJ49" s="21"/>
    </row>
    <row r="50" spans="1:36" ht="31.5" x14ac:dyDescent="0.25">
      <c r="A50" s="22">
        <v>49</v>
      </c>
      <c r="B50" s="19" t="s">
        <v>263</v>
      </c>
      <c r="C50" s="20" t="s">
        <v>264</v>
      </c>
      <c r="D50" s="20" t="s">
        <v>265</v>
      </c>
      <c r="E50" s="20" t="s">
        <v>74</v>
      </c>
      <c r="F50" s="19"/>
      <c r="G50" s="19" t="s">
        <v>268</v>
      </c>
      <c r="H50" s="14" t="s">
        <v>269</v>
      </c>
      <c r="I50" s="23"/>
      <c r="J50" s="20">
        <v>0</v>
      </c>
      <c r="K50" s="24">
        <v>3</v>
      </c>
      <c r="L50" s="25">
        <v>3</v>
      </c>
      <c r="M50" s="26"/>
      <c r="N50" s="27"/>
      <c r="O50" s="28"/>
      <c r="P50" s="22"/>
      <c r="Q50" s="22"/>
      <c r="R50" s="20">
        <v>1</v>
      </c>
      <c r="S50" s="20">
        <v>0</v>
      </c>
      <c r="T50" s="22"/>
      <c r="U50" s="22"/>
      <c r="V50" s="25">
        <f t="shared" si="0"/>
        <v>45</v>
      </c>
      <c r="W50" s="26">
        <f t="shared" si="1"/>
        <v>0</v>
      </c>
      <c r="X50" s="27">
        <f t="shared" si="2"/>
        <v>0</v>
      </c>
      <c r="Y50" s="28">
        <f t="shared" si="6"/>
        <v>0</v>
      </c>
      <c r="Z50" s="22">
        <f t="shared" si="4"/>
        <v>90</v>
      </c>
      <c r="AA50" s="22">
        <f t="shared" si="5"/>
        <v>15</v>
      </c>
      <c r="AB50" s="22"/>
      <c r="AC50" s="22">
        <v>1</v>
      </c>
      <c r="AD50" s="23"/>
      <c r="AE50" s="21"/>
      <c r="AF50" s="21"/>
      <c r="AG50" s="21"/>
      <c r="AH50" s="21"/>
      <c r="AI50" s="21"/>
      <c r="AJ50" s="21"/>
    </row>
    <row r="51" spans="1:36" ht="31.5" x14ac:dyDescent="0.25">
      <c r="A51" s="22">
        <v>50</v>
      </c>
      <c r="B51" s="19" t="s">
        <v>263</v>
      </c>
      <c r="C51" s="20" t="s">
        <v>264</v>
      </c>
      <c r="D51" s="20" t="s">
        <v>265</v>
      </c>
      <c r="E51" s="20" t="s">
        <v>74</v>
      </c>
      <c r="F51" s="19"/>
      <c r="G51" s="19" t="s">
        <v>270</v>
      </c>
      <c r="H51" s="14" t="s">
        <v>271</v>
      </c>
      <c r="I51" s="23"/>
      <c r="J51" s="20">
        <v>0</v>
      </c>
      <c r="K51" s="24">
        <v>3</v>
      </c>
      <c r="L51" s="25">
        <v>3</v>
      </c>
      <c r="M51" s="26"/>
      <c r="N51" s="27"/>
      <c r="O51" s="28"/>
      <c r="P51" s="22"/>
      <c r="Q51" s="22"/>
      <c r="R51" s="20">
        <v>1</v>
      </c>
      <c r="S51" s="20">
        <v>0</v>
      </c>
      <c r="T51" s="22"/>
      <c r="U51" s="22"/>
      <c r="V51" s="25">
        <f t="shared" si="0"/>
        <v>45</v>
      </c>
      <c r="W51" s="26">
        <f t="shared" si="1"/>
        <v>0</v>
      </c>
      <c r="X51" s="27">
        <f t="shared" si="2"/>
        <v>0</v>
      </c>
      <c r="Y51" s="28">
        <f t="shared" si="6"/>
        <v>0</v>
      </c>
      <c r="Z51" s="22">
        <f t="shared" si="4"/>
        <v>90</v>
      </c>
      <c r="AA51" s="22">
        <f t="shared" si="5"/>
        <v>15</v>
      </c>
      <c r="AB51" s="22"/>
      <c r="AC51" s="22">
        <v>1</v>
      </c>
      <c r="AD51" s="23"/>
      <c r="AE51" s="21"/>
      <c r="AF51" s="21"/>
      <c r="AG51" s="21"/>
      <c r="AH51" s="21"/>
      <c r="AI51" s="21"/>
      <c r="AJ51" s="21"/>
    </row>
    <row r="52" spans="1:36" ht="31.5" x14ac:dyDescent="0.25">
      <c r="A52" s="22">
        <v>51</v>
      </c>
      <c r="B52" s="19" t="s">
        <v>263</v>
      </c>
      <c r="C52" s="20" t="s">
        <v>264</v>
      </c>
      <c r="D52" s="20" t="s">
        <v>265</v>
      </c>
      <c r="E52" s="20" t="s">
        <v>74</v>
      </c>
      <c r="F52" s="19"/>
      <c r="G52" s="19" t="s">
        <v>174</v>
      </c>
      <c r="H52" s="14" t="s">
        <v>300</v>
      </c>
      <c r="I52" s="23"/>
      <c r="J52" s="20">
        <v>7</v>
      </c>
      <c r="K52" s="24">
        <v>3</v>
      </c>
      <c r="L52" s="25">
        <v>1</v>
      </c>
      <c r="M52" s="26">
        <v>2</v>
      </c>
      <c r="N52" s="27"/>
      <c r="O52" s="28"/>
      <c r="P52" s="22" t="s">
        <v>11</v>
      </c>
      <c r="Q52" s="22"/>
      <c r="R52" s="20">
        <v>1</v>
      </c>
      <c r="S52" s="20">
        <v>0</v>
      </c>
      <c r="T52" s="22" t="s">
        <v>87</v>
      </c>
      <c r="U52" s="22" t="s">
        <v>124</v>
      </c>
      <c r="V52" s="25">
        <f t="shared" si="0"/>
        <v>15</v>
      </c>
      <c r="W52" s="26">
        <f t="shared" si="1"/>
        <v>60</v>
      </c>
      <c r="X52" s="27">
        <f t="shared" si="2"/>
        <v>0</v>
      </c>
      <c r="Y52" s="28">
        <f t="shared" si="6"/>
        <v>0</v>
      </c>
      <c r="Z52" s="22">
        <f t="shared" si="4"/>
        <v>60</v>
      </c>
      <c r="AA52" s="22">
        <f t="shared" si="5"/>
        <v>15</v>
      </c>
      <c r="AB52" s="22"/>
      <c r="AC52" s="22">
        <v>1</v>
      </c>
      <c r="AD52" s="23"/>
      <c r="AE52" s="21"/>
      <c r="AF52" s="21"/>
      <c r="AG52" s="21"/>
      <c r="AH52" s="21"/>
      <c r="AI52" s="21"/>
      <c r="AJ52" s="21"/>
    </row>
    <row r="53" spans="1:36" ht="31.5" x14ac:dyDescent="0.25">
      <c r="A53" s="22">
        <v>52</v>
      </c>
      <c r="B53" s="19" t="s">
        <v>263</v>
      </c>
      <c r="C53" s="20" t="s">
        <v>264</v>
      </c>
      <c r="D53" s="20" t="s">
        <v>265</v>
      </c>
      <c r="E53" s="20" t="s">
        <v>74</v>
      </c>
      <c r="F53" s="19"/>
      <c r="G53" s="19" t="s">
        <v>196</v>
      </c>
      <c r="H53" s="14" t="s">
        <v>113</v>
      </c>
      <c r="I53" s="23"/>
      <c r="J53" s="20">
        <v>7</v>
      </c>
      <c r="K53" s="24">
        <v>3</v>
      </c>
      <c r="L53" s="25">
        <v>3</v>
      </c>
      <c r="M53" s="26"/>
      <c r="N53" s="27"/>
      <c r="O53" s="28"/>
      <c r="P53" s="22"/>
      <c r="Q53" s="22"/>
      <c r="R53" s="20">
        <v>1</v>
      </c>
      <c r="S53" s="20">
        <v>0</v>
      </c>
      <c r="T53" s="22"/>
      <c r="U53" s="22"/>
      <c r="V53" s="25">
        <f t="shared" si="0"/>
        <v>45</v>
      </c>
      <c r="W53" s="26">
        <f t="shared" si="1"/>
        <v>0</v>
      </c>
      <c r="X53" s="27">
        <f t="shared" si="2"/>
        <v>0</v>
      </c>
      <c r="Y53" s="28">
        <f t="shared" si="6"/>
        <v>0</v>
      </c>
      <c r="Z53" s="22">
        <f t="shared" si="4"/>
        <v>90</v>
      </c>
      <c r="AA53" s="22">
        <f t="shared" si="5"/>
        <v>15</v>
      </c>
      <c r="AB53" s="22"/>
      <c r="AC53" s="22">
        <v>1</v>
      </c>
      <c r="AD53" s="23"/>
      <c r="AE53" s="21"/>
      <c r="AF53" s="21"/>
      <c r="AG53" s="21"/>
      <c r="AH53" s="21"/>
      <c r="AI53" s="21"/>
      <c r="AJ53" s="21"/>
    </row>
    <row r="54" spans="1:36" ht="31.5" x14ac:dyDescent="0.25">
      <c r="A54" s="22">
        <v>53</v>
      </c>
      <c r="B54" s="19" t="s">
        <v>263</v>
      </c>
      <c r="C54" s="20" t="s">
        <v>264</v>
      </c>
      <c r="D54" s="20" t="s">
        <v>265</v>
      </c>
      <c r="E54" s="20" t="s">
        <v>74</v>
      </c>
      <c r="F54" s="19"/>
      <c r="G54" s="19" t="s">
        <v>104</v>
      </c>
      <c r="H54" s="14" t="s">
        <v>105</v>
      </c>
      <c r="I54" s="23"/>
      <c r="J54" s="20">
        <v>7</v>
      </c>
      <c r="K54" s="24">
        <v>3</v>
      </c>
      <c r="L54" s="25">
        <v>3</v>
      </c>
      <c r="M54" s="26"/>
      <c r="N54" s="27"/>
      <c r="O54" s="28"/>
      <c r="P54" s="22"/>
      <c r="Q54" s="22"/>
      <c r="R54" s="20">
        <v>1</v>
      </c>
      <c r="S54" s="20">
        <v>0</v>
      </c>
      <c r="T54" s="22" t="s">
        <v>87</v>
      </c>
      <c r="U54" s="22" t="s">
        <v>124</v>
      </c>
      <c r="V54" s="25">
        <f t="shared" si="0"/>
        <v>45</v>
      </c>
      <c r="W54" s="26">
        <f t="shared" si="1"/>
        <v>0</v>
      </c>
      <c r="X54" s="27">
        <f t="shared" si="2"/>
        <v>0</v>
      </c>
      <c r="Y54" s="28">
        <f t="shared" si="6"/>
        <v>0</v>
      </c>
      <c r="Z54" s="22">
        <f t="shared" si="4"/>
        <v>90</v>
      </c>
      <c r="AA54" s="22">
        <f t="shared" si="5"/>
        <v>15</v>
      </c>
      <c r="AB54" s="22"/>
      <c r="AC54" s="22">
        <v>1</v>
      </c>
      <c r="AD54" s="23"/>
      <c r="AE54" s="21"/>
      <c r="AF54" s="21"/>
      <c r="AG54" s="21"/>
      <c r="AH54" s="21"/>
      <c r="AI54" s="21"/>
      <c r="AJ54" s="21"/>
    </row>
    <row r="55" spans="1:36" ht="31.5" x14ac:dyDescent="0.25">
      <c r="A55" s="22">
        <v>54</v>
      </c>
      <c r="B55" s="19" t="s">
        <v>263</v>
      </c>
      <c r="C55" s="20" t="s">
        <v>264</v>
      </c>
      <c r="D55" s="20" t="s">
        <v>265</v>
      </c>
      <c r="E55" s="20" t="s">
        <v>74</v>
      </c>
      <c r="F55" s="19"/>
      <c r="G55" s="19" t="s">
        <v>101</v>
      </c>
      <c r="H55" s="14" t="s">
        <v>102</v>
      </c>
      <c r="I55" s="23"/>
      <c r="J55" s="20">
        <v>7</v>
      </c>
      <c r="K55" s="24">
        <v>3</v>
      </c>
      <c r="L55" s="25">
        <v>3</v>
      </c>
      <c r="M55" s="26"/>
      <c r="N55" s="27"/>
      <c r="O55" s="28"/>
      <c r="P55" s="22"/>
      <c r="Q55" s="22"/>
      <c r="R55" s="20">
        <v>1</v>
      </c>
      <c r="S55" s="20">
        <v>0</v>
      </c>
      <c r="T55" s="22"/>
      <c r="U55" s="22"/>
      <c r="V55" s="25">
        <f t="shared" si="0"/>
        <v>45</v>
      </c>
      <c r="W55" s="26">
        <f t="shared" si="1"/>
        <v>0</v>
      </c>
      <c r="X55" s="27">
        <f t="shared" si="2"/>
        <v>0</v>
      </c>
      <c r="Y55" s="28">
        <f t="shared" si="6"/>
        <v>0</v>
      </c>
      <c r="Z55" s="22">
        <f t="shared" si="4"/>
        <v>90</v>
      </c>
      <c r="AA55" s="22">
        <f t="shared" si="5"/>
        <v>15</v>
      </c>
      <c r="AB55" s="22"/>
      <c r="AC55" s="22">
        <v>1</v>
      </c>
      <c r="AD55" s="23"/>
      <c r="AE55" s="21"/>
      <c r="AF55" s="21"/>
      <c r="AG55" s="21"/>
      <c r="AH55" s="21"/>
      <c r="AI55" s="21"/>
      <c r="AJ55" s="21"/>
    </row>
    <row r="56" spans="1:36" ht="31.5" x14ac:dyDescent="0.25">
      <c r="A56" s="22">
        <v>55</v>
      </c>
      <c r="B56" s="19" t="s">
        <v>272</v>
      </c>
      <c r="C56" s="20" t="s">
        <v>273</v>
      </c>
      <c r="D56" s="20" t="s">
        <v>274</v>
      </c>
      <c r="E56" s="20" t="s">
        <v>74</v>
      </c>
      <c r="F56" s="19"/>
      <c r="G56" s="19" t="s">
        <v>268</v>
      </c>
      <c r="H56" s="14" t="s">
        <v>269</v>
      </c>
      <c r="I56" s="23"/>
      <c r="J56" s="20">
        <v>0</v>
      </c>
      <c r="K56" s="24">
        <v>3</v>
      </c>
      <c r="L56" s="25">
        <v>3</v>
      </c>
      <c r="M56" s="26"/>
      <c r="N56" s="27"/>
      <c r="O56" s="28"/>
      <c r="P56" s="22"/>
      <c r="Q56" s="22"/>
      <c r="R56" s="20">
        <v>1</v>
      </c>
      <c r="S56" s="20">
        <v>0</v>
      </c>
      <c r="T56" s="22"/>
      <c r="U56" s="22"/>
      <c r="V56" s="25">
        <f t="shared" si="0"/>
        <v>45</v>
      </c>
      <c r="W56" s="26">
        <f t="shared" si="1"/>
        <v>0</v>
      </c>
      <c r="X56" s="27">
        <f t="shared" si="2"/>
        <v>0</v>
      </c>
      <c r="Y56" s="28">
        <f t="shared" si="6"/>
        <v>0</v>
      </c>
      <c r="Z56" s="22">
        <f t="shared" si="4"/>
        <v>90</v>
      </c>
      <c r="AA56" s="22">
        <f t="shared" si="5"/>
        <v>15</v>
      </c>
      <c r="AB56" s="22"/>
      <c r="AC56" s="22">
        <v>1</v>
      </c>
      <c r="AD56" s="23"/>
      <c r="AE56" s="21"/>
      <c r="AF56" s="21"/>
      <c r="AG56" s="21"/>
      <c r="AH56" s="21"/>
      <c r="AI56" s="21"/>
      <c r="AJ56" s="21"/>
    </row>
    <row r="57" spans="1:36" ht="31.5" x14ac:dyDescent="0.25">
      <c r="A57" s="22">
        <v>56</v>
      </c>
      <c r="B57" s="19" t="s">
        <v>272</v>
      </c>
      <c r="C57" s="20" t="s">
        <v>273</v>
      </c>
      <c r="D57" s="20" t="s">
        <v>274</v>
      </c>
      <c r="E57" s="20" t="s">
        <v>74</v>
      </c>
      <c r="F57" s="19"/>
      <c r="G57" s="19" t="s">
        <v>196</v>
      </c>
      <c r="H57" s="14" t="s">
        <v>113</v>
      </c>
      <c r="I57" s="23"/>
      <c r="J57" s="20">
        <v>7</v>
      </c>
      <c r="K57" s="24">
        <v>3</v>
      </c>
      <c r="L57" s="25">
        <v>3</v>
      </c>
      <c r="M57" s="26"/>
      <c r="N57" s="27"/>
      <c r="O57" s="28"/>
      <c r="P57" s="22"/>
      <c r="Q57" s="22"/>
      <c r="R57" s="20">
        <v>1</v>
      </c>
      <c r="S57" s="20">
        <v>0</v>
      </c>
      <c r="T57" s="22"/>
      <c r="U57" s="22"/>
      <c r="V57" s="25">
        <f t="shared" si="0"/>
        <v>45</v>
      </c>
      <c r="W57" s="26">
        <f t="shared" si="1"/>
        <v>0</v>
      </c>
      <c r="X57" s="27">
        <f t="shared" si="2"/>
        <v>0</v>
      </c>
      <c r="Y57" s="28">
        <f t="shared" si="6"/>
        <v>0</v>
      </c>
      <c r="Z57" s="22">
        <f t="shared" si="4"/>
        <v>90</v>
      </c>
      <c r="AA57" s="22">
        <f t="shared" si="5"/>
        <v>15</v>
      </c>
      <c r="AB57" s="22"/>
      <c r="AC57" s="22">
        <v>1</v>
      </c>
      <c r="AD57" s="23"/>
      <c r="AE57" s="21"/>
      <c r="AF57" s="21"/>
      <c r="AG57" s="21"/>
      <c r="AH57" s="21"/>
      <c r="AI57" s="21"/>
      <c r="AJ57" s="21"/>
    </row>
    <row r="58" spans="1:36" ht="31.5" x14ac:dyDescent="0.25">
      <c r="A58" s="22">
        <v>57</v>
      </c>
      <c r="B58" s="19" t="s">
        <v>272</v>
      </c>
      <c r="C58" s="20" t="s">
        <v>273</v>
      </c>
      <c r="D58" s="20" t="s">
        <v>274</v>
      </c>
      <c r="E58" s="20" t="s">
        <v>74</v>
      </c>
      <c r="F58" s="19"/>
      <c r="G58" s="19" t="s">
        <v>101</v>
      </c>
      <c r="H58" s="14" t="s">
        <v>102</v>
      </c>
      <c r="I58" s="23"/>
      <c r="J58" s="20">
        <v>7</v>
      </c>
      <c r="K58" s="24">
        <v>3</v>
      </c>
      <c r="L58" s="25">
        <v>3</v>
      </c>
      <c r="M58" s="26"/>
      <c r="N58" s="27"/>
      <c r="O58" s="28"/>
      <c r="P58" s="22"/>
      <c r="Q58" s="22"/>
      <c r="R58" s="20">
        <v>1</v>
      </c>
      <c r="S58" s="20">
        <v>0</v>
      </c>
      <c r="T58" s="22"/>
      <c r="U58" s="22"/>
      <c r="V58" s="25">
        <f t="shared" si="0"/>
        <v>45</v>
      </c>
      <c r="W58" s="26">
        <f t="shared" si="1"/>
        <v>0</v>
      </c>
      <c r="X58" s="27">
        <f t="shared" si="2"/>
        <v>0</v>
      </c>
      <c r="Y58" s="28">
        <f t="shared" si="6"/>
        <v>0</v>
      </c>
      <c r="Z58" s="22">
        <f t="shared" si="4"/>
        <v>90</v>
      </c>
      <c r="AA58" s="22">
        <f t="shared" si="5"/>
        <v>15</v>
      </c>
      <c r="AB58" s="22"/>
      <c r="AC58" s="22">
        <v>1</v>
      </c>
      <c r="AD58" s="23"/>
      <c r="AE58" s="21"/>
      <c r="AF58" s="21"/>
      <c r="AG58" s="21"/>
      <c r="AH58" s="21"/>
      <c r="AI58" s="21"/>
      <c r="AJ58" s="21"/>
    </row>
    <row r="59" spans="1:36" ht="31.5" x14ac:dyDescent="0.25">
      <c r="A59" s="22">
        <v>58</v>
      </c>
      <c r="B59" s="19" t="s">
        <v>272</v>
      </c>
      <c r="C59" s="20" t="s">
        <v>273</v>
      </c>
      <c r="D59" s="20" t="s">
        <v>274</v>
      </c>
      <c r="E59" s="20" t="s">
        <v>74</v>
      </c>
      <c r="F59" s="19"/>
      <c r="G59" s="19" t="s">
        <v>275</v>
      </c>
      <c r="H59" s="14" t="s">
        <v>276</v>
      </c>
      <c r="I59" s="23"/>
      <c r="J59" s="20">
        <v>7</v>
      </c>
      <c r="K59" s="24">
        <v>3</v>
      </c>
      <c r="L59" s="25">
        <v>1</v>
      </c>
      <c r="M59" s="26">
        <v>2</v>
      </c>
      <c r="N59" s="27"/>
      <c r="O59" s="28"/>
      <c r="P59" s="22" t="s">
        <v>11</v>
      </c>
      <c r="Q59" s="22"/>
      <c r="R59" s="20">
        <v>1</v>
      </c>
      <c r="S59" s="20">
        <v>0</v>
      </c>
      <c r="T59" s="22" t="s">
        <v>95</v>
      </c>
      <c r="U59" s="22" t="s">
        <v>124</v>
      </c>
      <c r="V59" s="25">
        <f t="shared" si="0"/>
        <v>15</v>
      </c>
      <c r="W59" s="26">
        <f t="shared" si="1"/>
        <v>60</v>
      </c>
      <c r="X59" s="27">
        <f t="shared" si="2"/>
        <v>0</v>
      </c>
      <c r="Y59" s="28">
        <f t="shared" si="6"/>
        <v>0</v>
      </c>
      <c r="Z59" s="22">
        <f t="shared" si="4"/>
        <v>60</v>
      </c>
      <c r="AA59" s="22">
        <f t="shared" si="5"/>
        <v>15</v>
      </c>
      <c r="AB59" s="22"/>
      <c r="AC59" s="22">
        <v>1</v>
      </c>
      <c r="AD59" s="23"/>
      <c r="AE59" s="21"/>
      <c r="AF59" s="21"/>
      <c r="AG59" s="21"/>
      <c r="AH59" s="21"/>
      <c r="AI59" s="21"/>
      <c r="AJ59" s="21"/>
    </row>
    <row r="60" spans="1:36" ht="31.5" x14ac:dyDescent="0.25">
      <c r="A60" s="22">
        <v>59</v>
      </c>
      <c r="B60" s="19" t="s">
        <v>272</v>
      </c>
      <c r="C60" s="20" t="s">
        <v>273</v>
      </c>
      <c r="D60" s="20" t="s">
        <v>274</v>
      </c>
      <c r="E60" s="20" t="s">
        <v>74</v>
      </c>
      <c r="F60" s="19"/>
      <c r="G60" s="19" t="s">
        <v>301</v>
      </c>
      <c r="H60" s="14" t="s">
        <v>280</v>
      </c>
      <c r="I60" s="23"/>
      <c r="J60" s="20">
        <v>7</v>
      </c>
      <c r="K60" s="24">
        <v>3</v>
      </c>
      <c r="L60" s="25">
        <v>3</v>
      </c>
      <c r="M60" s="26"/>
      <c r="N60" s="27"/>
      <c r="O60" s="28"/>
      <c r="P60" s="22"/>
      <c r="Q60" s="22"/>
      <c r="R60" s="20">
        <v>1</v>
      </c>
      <c r="S60" s="20">
        <v>0</v>
      </c>
      <c r="T60" s="22"/>
      <c r="U60" s="22"/>
      <c r="V60" s="25">
        <f t="shared" si="0"/>
        <v>45</v>
      </c>
      <c r="W60" s="26">
        <f t="shared" si="1"/>
        <v>0</v>
      </c>
      <c r="X60" s="27">
        <f t="shared" si="2"/>
        <v>0</v>
      </c>
      <c r="Y60" s="28">
        <f t="shared" si="6"/>
        <v>0</v>
      </c>
      <c r="Z60" s="22">
        <f t="shared" si="4"/>
        <v>90</v>
      </c>
      <c r="AA60" s="22">
        <f t="shared" si="5"/>
        <v>15</v>
      </c>
      <c r="AB60" s="22"/>
      <c r="AC60" s="22">
        <v>1</v>
      </c>
      <c r="AD60" s="23"/>
      <c r="AE60" s="21"/>
      <c r="AF60" s="21"/>
      <c r="AG60" s="21"/>
      <c r="AH60" s="21"/>
      <c r="AI60" s="21"/>
      <c r="AJ60" s="21"/>
    </row>
    <row r="61" spans="1:36" ht="31.5" x14ac:dyDescent="0.25">
      <c r="A61" s="22">
        <v>60</v>
      </c>
      <c r="B61" s="19" t="s">
        <v>272</v>
      </c>
      <c r="C61" s="20" t="s">
        <v>273</v>
      </c>
      <c r="D61" s="20" t="s">
        <v>274</v>
      </c>
      <c r="E61" s="20" t="s">
        <v>74</v>
      </c>
      <c r="F61" s="19"/>
      <c r="G61" s="19" t="s">
        <v>277</v>
      </c>
      <c r="H61" s="14" t="s">
        <v>278</v>
      </c>
      <c r="I61" s="23"/>
      <c r="J61" s="20">
        <v>7</v>
      </c>
      <c r="K61" s="24">
        <v>3</v>
      </c>
      <c r="L61" s="25">
        <v>3</v>
      </c>
      <c r="M61" s="26"/>
      <c r="N61" s="27"/>
      <c r="O61" s="28"/>
      <c r="P61" s="22"/>
      <c r="Q61" s="22"/>
      <c r="R61" s="20">
        <v>1</v>
      </c>
      <c r="S61" s="20">
        <v>0</v>
      </c>
      <c r="T61" s="22" t="s">
        <v>214</v>
      </c>
      <c r="U61" s="22" t="s">
        <v>124</v>
      </c>
      <c r="V61" s="25">
        <f t="shared" si="0"/>
        <v>45</v>
      </c>
      <c r="W61" s="26">
        <f t="shared" si="1"/>
        <v>0</v>
      </c>
      <c r="X61" s="27">
        <f t="shared" si="2"/>
        <v>0</v>
      </c>
      <c r="Y61" s="28">
        <f t="shared" si="6"/>
        <v>0</v>
      </c>
      <c r="Z61" s="22">
        <f t="shared" si="4"/>
        <v>90</v>
      </c>
      <c r="AA61" s="22">
        <f t="shared" si="5"/>
        <v>15</v>
      </c>
      <c r="AB61" s="22"/>
      <c r="AC61" s="22">
        <v>1</v>
      </c>
      <c r="AD61" s="23"/>
      <c r="AE61" s="21"/>
      <c r="AF61" s="21"/>
      <c r="AG61" s="21"/>
      <c r="AH61" s="21"/>
      <c r="AI61" s="21"/>
      <c r="AJ61" s="21"/>
    </row>
    <row r="62" spans="1:36" ht="31.5" x14ac:dyDescent="0.25">
      <c r="A62" s="22">
        <v>61</v>
      </c>
      <c r="B62" s="19" t="s">
        <v>272</v>
      </c>
      <c r="C62" s="20" t="s">
        <v>273</v>
      </c>
      <c r="D62" s="20" t="s">
        <v>274</v>
      </c>
      <c r="E62" s="20" t="s">
        <v>74</v>
      </c>
      <c r="F62" s="19"/>
      <c r="G62" s="19" t="s">
        <v>281</v>
      </c>
      <c r="H62" s="14" t="s">
        <v>189</v>
      </c>
      <c r="I62" s="23"/>
      <c r="J62" s="20">
        <v>0</v>
      </c>
      <c r="K62" s="24">
        <v>3</v>
      </c>
      <c r="L62" s="25">
        <v>3</v>
      </c>
      <c r="M62" s="26"/>
      <c r="N62" s="27"/>
      <c r="O62" s="28"/>
      <c r="P62" s="22"/>
      <c r="Q62" s="22"/>
      <c r="R62" s="20">
        <v>1</v>
      </c>
      <c r="S62" s="20">
        <v>0</v>
      </c>
      <c r="T62" s="22" t="s">
        <v>165</v>
      </c>
      <c r="U62" s="22" t="s">
        <v>124</v>
      </c>
      <c r="V62" s="25">
        <f t="shared" si="0"/>
        <v>45</v>
      </c>
      <c r="W62" s="26">
        <f t="shared" si="1"/>
        <v>0</v>
      </c>
      <c r="X62" s="27">
        <f t="shared" si="2"/>
        <v>0</v>
      </c>
      <c r="Y62" s="28">
        <f t="shared" si="6"/>
        <v>0</v>
      </c>
      <c r="Z62" s="22">
        <f t="shared" si="4"/>
        <v>90</v>
      </c>
      <c r="AA62" s="22">
        <f t="shared" si="5"/>
        <v>15</v>
      </c>
      <c r="AB62" s="22"/>
      <c r="AC62" s="22">
        <v>1</v>
      </c>
      <c r="AD62" s="23"/>
      <c r="AE62" s="21"/>
      <c r="AF62" s="21"/>
      <c r="AG62" s="21"/>
      <c r="AH62" s="21"/>
      <c r="AI62" s="21"/>
      <c r="AJ62" s="21"/>
    </row>
    <row r="63" spans="1:36" ht="28.5" customHeight="1" x14ac:dyDescent="0.25">
      <c r="A63" s="22">
        <v>62</v>
      </c>
      <c r="B63" s="20" t="s">
        <v>118</v>
      </c>
      <c r="C63" s="20"/>
      <c r="D63" s="20"/>
      <c r="E63" s="20" t="s">
        <v>228</v>
      </c>
      <c r="F63" s="19"/>
      <c r="G63" s="19" t="s">
        <v>120</v>
      </c>
      <c r="H63" s="14" t="s">
        <v>121</v>
      </c>
      <c r="I63" s="23"/>
      <c r="J63" s="20">
        <v>8</v>
      </c>
      <c r="K63" s="24">
        <v>4</v>
      </c>
      <c r="L63" s="25"/>
      <c r="M63" s="26"/>
      <c r="N63" s="27"/>
      <c r="O63" s="28">
        <v>4</v>
      </c>
      <c r="P63" s="22"/>
      <c r="Q63" s="22"/>
      <c r="R63" s="20">
        <v>0</v>
      </c>
      <c r="S63" s="20">
        <v>0</v>
      </c>
      <c r="T63" s="22"/>
      <c r="U63" s="22"/>
      <c r="V63" s="25">
        <f t="shared" si="0"/>
        <v>0</v>
      </c>
      <c r="W63" s="26">
        <f t="shared" si="1"/>
        <v>0</v>
      </c>
      <c r="X63" s="27">
        <f t="shared" si="2"/>
        <v>0</v>
      </c>
      <c r="Y63" s="28">
        <f t="shared" si="6"/>
        <v>180</v>
      </c>
      <c r="Z63" s="22">
        <f t="shared" si="4"/>
        <v>180</v>
      </c>
      <c r="AA63" s="22">
        <f t="shared" si="5"/>
        <v>20</v>
      </c>
      <c r="AB63" s="22"/>
      <c r="AC63" s="22">
        <v>1</v>
      </c>
      <c r="AD63" s="23"/>
      <c r="AE63" s="21"/>
      <c r="AF63" s="21"/>
      <c r="AG63" s="21"/>
      <c r="AH63" s="21"/>
      <c r="AI63" s="21"/>
      <c r="AJ63" s="21"/>
    </row>
    <row r="64" spans="1:36" ht="31.5" x14ac:dyDescent="0.25">
      <c r="A64" s="22">
        <v>63</v>
      </c>
      <c r="B64" s="20" t="s">
        <v>289</v>
      </c>
      <c r="C64" s="20"/>
      <c r="D64" s="20"/>
      <c r="E64" s="20" t="s">
        <v>119</v>
      </c>
      <c r="F64" s="19" t="s">
        <v>283</v>
      </c>
      <c r="G64" s="19" t="s">
        <v>302</v>
      </c>
      <c r="H64" s="14" t="s">
        <v>293</v>
      </c>
      <c r="I64" s="23"/>
      <c r="J64" s="20">
        <v>8</v>
      </c>
      <c r="K64" s="24">
        <v>3</v>
      </c>
      <c r="L64" s="25">
        <v>3</v>
      </c>
      <c r="M64" s="26"/>
      <c r="N64" s="27"/>
      <c r="O64" s="28"/>
      <c r="P64" s="22"/>
      <c r="Q64" s="22"/>
      <c r="R64" s="20">
        <v>1</v>
      </c>
      <c r="S64" s="20">
        <v>1</v>
      </c>
      <c r="T64" s="22" t="s">
        <v>214</v>
      </c>
      <c r="U64" s="22" t="s">
        <v>124</v>
      </c>
      <c r="V64" s="25">
        <f t="shared" si="0"/>
        <v>45</v>
      </c>
      <c r="W64" s="26">
        <f t="shared" si="1"/>
        <v>0</v>
      </c>
      <c r="X64" s="27">
        <f t="shared" si="2"/>
        <v>0</v>
      </c>
      <c r="Y64" s="28">
        <f t="shared" si="6"/>
        <v>0</v>
      </c>
      <c r="Z64" s="22">
        <f t="shared" si="4"/>
        <v>90</v>
      </c>
      <c r="AA64" s="22">
        <f t="shared" si="5"/>
        <v>15</v>
      </c>
      <c r="AB64" s="22"/>
      <c r="AC64" s="22">
        <v>1</v>
      </c>
      <c r="AD64" s="23"/>
      <c r="AE64" s="21"/>
      <c r="AF64" s="21"/>
      <c r="AG64" s="21"/>
      <c r="AH64" s="21"/>
      <c r="AI64" s="21"/>
      <c r="AJ64" s="21"/>
    </row>
    <row r="65" spans="1:36" ht="31.5" x14ac:dyDescent="0.25">
      <c r="A65" s="22">
        <v>64</v>
      </c>
      <c r="B65" s="20" t="s">
        <v>289</v>
      </c>
      <c r="C65" s="20"/>
      <c r="D65" s="20"/>
      <c r="E65" s="20" t="s">
        <v>119</v>
      </c>
      <c r="F65" s="19" t="s">
        <v>283</v>
      </c>
      <c r="G65" s="19" t="s">
        <v>290</v>
      </c>
      <c r="H65" s="14" t="s">
        <v>291</v>
      </c>
      <c r="I65" s="23"/>
      <c r="J65" s="20">
        <v>8</v>
      </c>
      <c r="K65" s="24">
        <v>3</v>
      </c>
      <c r="L65" s="25">
        <v>3</v>
      </c>
      <c r="M65" s="26"/>
      <c r="N65" s="27"/>
      <c r="O65" s="28"/>
      <c r="P65" s="22"/>
      <c r="Q65" s="22"/>
      <c r="R65" s="20">
        <v>1</v>
      </c>
      <c r="S65" s="20">
        <v>1</v>
      </c>
      <c r="T65" s="22"/>
      <c r="U65" s="22"/>
      <c r="V65" s="25">
        <f t="shared" si="0"/>
        <v>45</v>
      </c>
      <c r="W65" s="26">
        <f t="shared" si="1"/>
        <v>0</v>
      </c>
      <c r="X65" s="27">
        <f t="shared" si="2"/>
        <v>0</v>
      </c>
      <c r="Y65" s="28">
        <f t="shared" si="6"/>
        <v>0</v>
      </c>
      <c r="Z65" s="22">
        <f t="shared" si="4"/>
        <v>90</v>
      </c>
      <c r="AA65" s="22">
        <f t="shared" si="5"/>
        <v>15</v>
      </c>
      <c r="AB65" s="22"/>
      <c r="AC65" s="22">
        <v>1</v>
      </c>
      <c r="AD65" s="23"/>
      <c r="AE65" s="21"/>
      <c r="AF65" s="21"/>
      <c r="AG65" s="21"/>
      <c r="AH65" s="21"/>
      <c r="AI65" s="21"/>
      <c r="AJ65" s="21"/>
    </row>
    <row r="66" spans="1:36" ht="31.5" x14ac:dyDescent="0.25">
      <c r="A66" s="22">
        <v>65</v>
      </c>
      <c r="B66" s="20" t="s">
        <v>284</v>
      </c>
      <c r="C66" s="20"/>
      <c r="D66" s="20"/>
      <c r="E66" s="20" t="s">
        <v>119</v>
      </c>
      <c r="F66" s="19" t="s">
        <v>283</v>
      </c>
      <c r="G66" s="19" t="s">
        <v>285</v>
      </c>
      <c r="H66" s="14" t="s">
        <v>286</v>
      </c>
      <c r="I66" s="23"/>
      <c r="J66" s="20">
        <v>8</v>
      </c>
      <c r="K66" s="24">
        <v>3</v>
      </c>
      <c r="L66" s="25">
        <v>3</v>
      </c>
      <c r="M66" s="26"/>
      <c r="N66" s="27"/>
      <c r="O66" s="28"/>
      <c r="P66" s="22"/>
      <c r="Q66" s="22"/>
      <c r="R66" s="20">
        <v>1</v>
      </c>
      <c r="S66" s="20">
        <v>1</v>
      </c>
      <c r="T66" s="22" t="s">
        <v>87</v>
      </c>
      <c r="U66" s="22" t="s">
        <v>124</v>
      </c>
      <c r="V66" s="25">
        <f t="shared" si="0"/>
        <v>45</v>
      </c>
      <c r="W66" s="26">
        <f t="shared" si="1"/>
        <v>0</v>
      </c>
      <c r="X66" s="27">
        <f t="shared" si="2"/>
        <v>0</v>
      </c>
      <c r="Y66" s="28">
        <f t="shared" si="6"/>
        <v>0</v>
      </c>
      <c r="Z66" s="22">
        <f t="shared" si="4"/>
        <v>90</v>
      </c>
      <c r="AA66" s="22">
        <f t="shared" si="5"/>
        <v>15</v>
      </c>
      <c r="AB66" s="22"/>
      <c r="AC66" s="22">
        <v>1</v>
      </c>
      <c r="AD66" s="23"/>
      <c r="AE66" s="21"/>
      <c r="AF66" s="21"/>
      <c r="AG66" s="21"/>
      <c r="AH66" s="21"/>
      <c r="AI66" s="21"/>
      <c r="AJ66" s="21"/>
    </row>
    <row r="67" spans="1:36" ht="31.5" x14ac:dyDescent="0.25">
      <c r="A67" s="22">
        <v>66</v>
      </c>
      <c r="B67" s="20" t="s">
        <v>284</v>
      </c>
      <c r="C67" s="20"/>
      <c r="D67" s="20"/>
      <c r="E67" s="20" t="s">
        <v>119</v>
      </c>
      <c r="F67" s="19" t="s">
        <v>283</v>
      </c>
      <c r="G67" s="19" t="s">
        <v>287</v>
      </c>
      <c r="H67" s="14" t="s">
        <v>288</v>
      </c>
      <c r="I67" s="23"/>
      <c r="J67" s="20">
        <v>8</v>
      </c>
      <c r="K67" s="24">
        <v>3</v>
      </c>
      <c r="L67" s="25">
        <v>3</v>
      </c>
      <c r="M67" s="26"/>
      <c r="N67" s="27"/>
      <c r="O67" s="28"/>
      <c r="P67" s="22"/>
      <c r="Q67" s="22"/>
      <c r="R67" s="20">
        <v>1</v>
      </c>
      <c r="S67" s="20">
        <v>1</v>
      </c>
      <c r="T67" s="22"/>
      <c r="U67" s="22"/>
      <c r="V67" s="25">
        <f t="shared" si="0"/>
        <v>45</v>
      </c>
      <c r="W67" s="26">
        <f t="shared" si="1"/>
        <v>0</v>
      </c>
      <c r="X67" s="27">
        <f t="shared" si="2"/>
        <v>0</v>
      </c>
      <c r="Y67" s="28">
        <f t="shared" si="6"/>
        <v>0</v>
      </c>
      <c r="Z67" s="22">
        <f t="shared" si="4"/>
        <v>90</v>
      </c>
      <c r="AA67" s="22">
        <f t="shared" si="5"/>
        <v>15</v>
      </c>
      <c r="AB67" s="22"/>
      <c r="AC67" s="22">
        <v>1</v>
      </c>
      <c r="AD67" s="23"/>
      <c r="AE67" s="21"/>
      <c r="AF67" s="21"/>
      <c r="AG67" s="21"/>
      <c r="AH67" s="21"/>
      <c r="AI67" s="21"/>
      <c r="AJ67" s="21"/>
    </row>
    <row r="68" spans="1:36" ht="31.5" x14ac:dyDescent="0.25">
      <c r="A68" s="22">
        <v>67</v>
      </c>
      <c r="B68" s="20" t="s">
        <v>282</v>
      </c>
      <c r="C68" s="20"/>
      <c r="D68" s="20"/>
      <c r="E68" s="20" t="s">
        <v>119</v>
      </c>
      <c r="F68" s="19" t="s">
        <v>283</v>
      </c>
      <c r="G68" s="19" t="s">
        <v>122</v>
      </c>
      <c r="H68" s="14" t="s">
        <v>123</v>
      </c>
      <c r="I68" s="23"/>
      <c r="J68" s="20">
        <v>8</v>
      </c>
      <c r="K68" s="24">
        <v>6</v>
      </c>
      <c r="L68" s="25"/>
      <c r="M68" s="26"/>
      <c r="N68" s="27"/>
      <c r="O68" s="28">
        <v>6</v>
      </c>
      <c r="P68" s="22"/>
      <c r="Q68" s="22"/>
      <c r="R68" s="20">
        <v>0</v>
      </c>
      <c r="S68" s="20">
        <v>1</v>
      </c>
      <c r="T68" s="22"/>
      <c r="U68" s="22"/>
      <c r="V68" s="25">
        <f t="shared" si="0"/>
        <v>0</v>
      </c>
      <c r="W68" s="26">
        <f t="shared" si="1"/>
        <v>0</v>
      </c>
      <c r="X68" s="27">
        <f t="shared" si="2"/>
        <v>0</v>
      </c>
      <c r="Y68" s="28">
        <f t="shared" si="6"/>
        <v>270</v>
      </c>
      <c r="Z68" s="22">
        <f t="shared" si="4"/>
        <v>270</v>
      </c>
      <c r="AA68" s="22">
        <f t="shared" si="5"/>
        <v>30</v>
      </c>
      <c r="AB68" s="22"/>
      <c r="AC68" s="22">
        <v>1</v>
      </c>
      <c r="AD68" s="23"/>
      <c r="AE68" s="21"/>
      <c r="AF68" s="21"/>
      <c r="AG68" s="21"/>
      <c r="AH68" s="21"/>
      <c r="AI68" s="21"/>
      <c r="AJ68" s="21"/>
    </row>
  </sheetData>
  <dataValidations count="5">
    <dataValidation type="list" allowBlank="1" showErrorMessage="1" sqref="AB2:AB68" xr:uid="{00000000-0002-0000-0500-000000000000}">
      <formula1>#REF!</formula1>
    </dataValidation>
    <dataValidation type="list" allowBlank="1" showErrorMessage="1" sqref="AC2:AC68" xr:uid="{00000000-0002-0000-0500-000001000000}">
      <formula1>"1,0"</formula1>
    </dataValidation>
    <dataValidation type="list" allowBlank="1" showErrorMessage="1" sqref="U2:U68" xr:uid="{00000000-0002-0000-0500-000002000000}">
      <formula1>"Tiên quyết (c),Học trước (d),Song hành (e)"</formula1>
    </dataValidation>
    <dataValidation type="list" allowBlank="1" showErrorMessage="1" sqref="Q2:Q68" xr:uid="{00000000-0002-0000-0500-000003000000}">
      <formula1>"Nhóm 1,Nhóm 2,Nhóm 3,Nhóm 4"</formula1>
    </dataValidation>
    <dataValidation type="list" allowBlank="1" showErrorMessage="1" sqref="P2:P68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K69"/>
  <sheetViews>
    <sheetView tabSelected="1" workbookViewId="0">
      <selection activeCell="E19" sqref="E19"/>
    </sheetView>
  </sheetViews>
  <sheetFormatPr defaultColWidth="14.42578125" defaultRowHeight="15" customHeight="1" x14ac:dyDescent="0.25"/>
  <cols>
    <col min="1" max="1" width="8.42578125" customWidth="1"/>
    <col min="2" max="2" width="18.5703125" customWidth="1"/>
    <col min="3" max="3" width="13.7109375" bestFit="1" customWidth="1"/>
    <col min="4" max="5" width="21.85546875" customWidth="1"/>
    <col min="9" max="9" width="29" customWidth="1"/>
    <col min="10" max="10" width="12.42578125" customWidth="1"/>
    <col min="11" max="12" width="11" customWidth="1"/>
    <col min="13" max="16" width="9.7109375" customWidth="1"/>
    <col min="17" max="17" width="19.28515625" customWidth="1"/>
    <col min="19" max="19" width="14.42578125" style="40"/>
    <col min="29" max="29" width="25.140625" style="40" bestFit="1" customWidth="1"/>
    <col min="30" max="30" width="25.42578125" customWidth="1"/>
    <col min="31" max="31" width="22.7109375" customWidth="1"/>
  </cols>
  <sheetData>
    <row r="1" spans="1:37" ht="15" customHeight="1" x14ac:dyDescent="0.25">
      <c r="A1" t="s">
        <v>338</v>
      </c>
      <c r="B1" t="s">
        <v>339</v>
      </c>
      <c r="C1" t="s">
        <v>365</v>
      </c>
      <c r="D1" t="s">
        <v>366</v>
      </c>
      <c r="E1" t="s">
        <v>340</v>
      </c>
      <c r="F1" t="s">
        <v>367</v>
      </c>
      <c r="G1" t="s">
        <v>370</v>
      </c>
      <c r="H1" t="s">
        <v>368</v>
      </c>
      <c r="I1" t="s">
        <v>369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</row>
    <row r="2" spans="1:37" x14ac:dyDescent="0.25">
      <c r="A2" s="2">
        <v>1</v>
      </c>
      <c r="B2" s="29" t="s">
        <v>7</v>
      </c>
      <c r="C2" s="3"/>
      <c r="D2" s="3"/>
      <c r="E2" s="3" t="s">
        <v>8</v>
      </c>
      <c r="F2" s="4"/>
      <c r="G2" s="4"/>
      <c r="H2" s="4" t="s">
        <v>9</v>
      </c>
      <c r="I2" s="5" t="s">
        <v>10</v>
      </c>
      <c r="J2" s="6"/>
      <c r="K2" s="3">
        <v>1</v>
      </c>
      <c r="L2" s="7">
        <v>3</v>
      </c>
      <c r="M2" s="12">
        <v>3</v>
      </c>
      <c r="N2" s="13"/>
      <c r="O2" s="10"/>
      <c r="P2" s="11"/>
      <c r="Q2" s="2"/>
      <c r="R2" s="2"/>
      <c r="S2" s="39">
        <v>0</v>
      </c>
      <c r="T2" s="3">
        <v>0</v>
      </c>
      <c r="U2" s="2"/>
      <c r="V2" s="2"/>
      <c r="W2" s="12">
        <f t="shared" ref="W2:W69" si="0">M2*15</f>
        <v>45</v>
      </c>
      <c r="X2" s="13">
        <f t="shared" ref="X2:X69" si="1">IF(N2="",0,IF(Q2="T",N2*15*2,IF(Q2="N",N2*15*3,"fail")))</f>
        <v>0</v>
      </c>
      <c r="Y2" s="10">
        <f t="shared" ref="Y2:Y69" si="2">O2*15</f>
        <v>0</v>
      </c>
      <c r="Z2" s="11">
        <f t="shared" ref="Z2:Z4" si="3">IF(P2="",0,IF(Q2="T",P2*15*2,IF(Q2="N",P2*15*3,"fail")))</f>
        <v>0</v>
      </c>
      <c r="AA2" s="2">
        <f t="shared" ref="AA2:AA69" si="4">(M2*2+N2+O2*3+P2*3)*15</f>
        <v>90</v>
      </c>
      <c r="AB2" s="2">
        <f t="shared" ref="AB2:AB69" si="5">L2*5</f>
        <v>15</v>
      </c>
      <c r="AC2" s="41"/>
      <c r="AD2" s="2">
        <v>1</v>
      </c>
      <c r="AE2" s="6"/>
      <c r="AF2" s="1"/>
      <c r="AG2" s="1"/>
      <c r="AH2" s="1"/>
      <c r="AI2" s="1"/>
      <c r="AJ2" s="1"/>
      <c r="AK2" s="1"/>
    </row>
    <row r="3" spans="1:37" x14ac:dyDescent="0.25">
      <c r="A3" s="2">
        <v>2</v>
      </c>
      <c r="B3" s="29" t="s">
        <v>7</v>
      </c>
      <c r="C3" s="3"/>
      <c r="D3" s="3"/>
      <c r="E3" s="3" t="s">
        <v>8</v>
      </c>
      <c r="F3" s="4"/>
      <c r="G3" s="4"/>
      <c r="H3" s="4" t="s">
        <v>140</v>
      </c>
      <c r="I3" s="5" t="s">
        <v>197</v>
      </c>
      <c r="J3" s="6"/>
      <c r="K3" s="3">
        <v>2</v>
      </c>
      <c r="L3" s="7">
        <v>2</v>
      </c>
      <c r="M3" s="12">
        <v>2</v>
      </c>
      <c r="N3" s="13"/>
      <c r="O3" s="10"/>
      <c r="P3" s="11"/>
      <c r="Q3" s="2"/>
      <c r="R3" s="2"/>
      <c r="S3" s="39">
        <v>0</v>
      </c>
      <c r="T3" s="3">
        <v>0</v>
      </c>
      <c r="U3" s="2" t="s">
        <v>9</v>
      </c>
      <c r="V3" s="2" t="s">
        <v>303</v>
      </c>
      <c r="W3" s="12">
        <f t="shared" si="0"/>
        <v>30</v>
      </c>
      <c r="X3" s="13">
        <f t="shared" si="1"/>
        <v>0</v>
      </c>
      <c r="Y3" s="10">
        <f t="shared" si="2"/>
        <v>0</v>
      </c>
      <c r="Z3" s="11">
        <f t="shared" si="3"/>
        <v>0</v>
      </c>
      <c r="AA3" s="2">
        <f t="shared" si="4"/>
        <v>60</v>
      </c>
      <c r="AB3" s="2">
        <f t="shared" si="5"/>
        <v>10</v>
      </c>
      <c r="AC3" s="41"/>
      <c r="AD3" s="2">
        <v>1</v>
      </c>
      <c r="AE3" s="6"/>
      <c r="AF3" s="1"/>
      <c r="AG3" s="1"/>
      <c r="AH3" s="1"/>
      <c r="AI3" s="1"/>
      <c r="AJ3" s="1"/>
      <c r="AK3" s="1"/>
    </row>
    <row r="4" spans="1:37" x14ac:dyDescent="0.25">
      <c r="A4" s="2">
        <v>3</v>
      </c>
      <c r="B4" s="29" t="s">
        <v>7</v>
      </c>
      <c r="C4" s="3"/>
      <c r="D4" s="3"/>
      <c r="E4" s="3" t="s">
        <v>8</v>
      </c>
      <c r="F4" s="4"/>
      <c r="G4" s="4"/>
      <c r="H4" s="4" t="s">
        <v>125</v>
      </c>
      <c r="I4" s="5" t="s">
        <v>13</v>
      </c>
      <c r="J4" s="6"/>
      <c r="K4" s="3">
        <v>3</v>
      </c>
      <c r="L4" s="7">
        <v>2</v>
      </c>
      <c r="M4" s="12">
        <v>2</v>
      </c>
      <c r="N4" s="13"/>
      <c r="O4" s="10"/>
      <c r="P4" s="11"/>
      <c r="Q4" s="2"/>
      <c r="R4" s="2"/>
      <c r="S4" s="39">
        <v>0</v>
      </c>
      <c r="T4" s="3">
        <v>0</v>
      </c>
      <c r="U4" s="2" t="s">
        <v>140</v>
      </c>
      <c r="V4" s="2" t="s">
        <v>303</v>
      </c>
      <c r="W4" s="12">
        <f t="shared" si="0"/>
        <v>30</v>
      </c>
      <c r="X4" s="13">
        <f t="shared" si="1"/>
        <v>0</v>
      </c>
      <c r="Y4" s="10">
        <f t="shared" si="2"/>
        <v>0</v>
      </c>
      <c r="Z4" s="11">
        <f t="shared" si="3"/>
        <v>0</v>
      </c>
      <c r="AA4" s="2">
        <f t="shared" si="4"/>
        <v>60</v>
      </c>
      <c r="AB4" s="2">
        <f t="shared" si="5"/>
        <v>10</v>
      </c>
      <c r="AC4" s="41"/>
      <c r="AD4" s="2">
        <v>1</v>
      </c>
      <c r="AE4" s="6"/>
      <c r="AF4" s="1"/>
      <c r="AG4" s="1"/>
      <c r="AH4" s="1"/>
      <c r="AI4" s="1"/>
      <c r="AJ4" s="1"/>
      <c r="AK4" s="1"/>
    </row>
    <row r="5" spans="1:37" x14ac:dyDescent="0.25">
      <c r="A5" s="2">
        <v>4</v>
      </c>
      <c r="B5" s="29" t="s">
        <v>7</v>
      </c>
      <c r="C5" s="3"/>
      <c r="D5" s="3"/>
      <c r="E5" s="3" t="s">
        <v>8</v>
      </c>
      <c r="F5" s="4"/>
      <c r="G5" s="4"/>
      <c r="H5" s="4" t="s">
        <v>26</v>
      </c>
      <c r="I5" s="5" t="s">
        <v>27</v>
      </c>
      <c r="J5" s="6"/>
      <c r="K5" s="3">
        <v>4</v>
      </c>
      <c r="L5" s="7">
        <v>2</v>
      </c>
      <c r="M5" s="12">
        <v>2</v>
      </c>
      <c r="N5" s="13"/>
      <c r="O5" s="10"/>
      <c r="P5" s="11"/>
      <c r="Q5" s="2"/>
      <c r="R5" s="2"/>
      <c r="S5" s="39">
        <v>0</v>
      </c>
      <c r="T5" s="3">
        <v>0</v>
      </c>
      <c r="U5" s="2"/>
      <c r="V5" s="2"/>
      <c r="W5" s="12">
        <f t="shared" si="0"/>
        <v>30</v>
      </c>
      <c r="X5" s="13">
        <f t="shared" si="1"/>
        <v>0</v>
      </c>
      <c r="Y5" s="10">
        <f t="shared" si="2"/>
        <v>0</v>
      </c>
      <c r="Z5" s="11">
        <f t="shared" ref="Z5:Z69" si="6">IF(P5="",0,IF(Q5="T",P5*15*2,P5*15*3))</f>
        <v>0</v>
      </c>
      <c r="AA5" s="2">
        <f t="shared" si="4"/>
        <v>60</v>
      </c>
      <c r="AB5" s="2">
        <f t="shared" si="5"/>
        <v>10</v>
      </c>
      <c r="AC5" s="41"/>
      <c r="AD5" s="2">
        <v>1</v>
      </c>
      <c r="AE5" s="6"/>
      <c r="AF5" s="1"/>
      <c r="AG5" s="1"/>
      <c r="AH5" s="1"/>
      <c r="AI5" s="1"/>
      <c r="AJ5" s="1"/>
      <c r="AK5" s="1"/>
    </row>
    <row r="6" spans="1:37" x14ac:dyDescent="0.25">
      <c r="A6" s="2">
        <v>5</v>
      </c>
      <c r="B6" s="29" t="s">
        <v>7</v>
      </c>
      <c r="C6" s="3"/>
      <c r="D6" s="3"/>
      <c r="E6" s="3" t="s">
        <v>8</v>
      </c>
      <c r="F6" s="4"/>
      <c r="G6" s="4"/>
      <c r="H6" s="4" t="s">
        <v>126</v>
      </c>
      <c r="I6" s="5" t="s">
        <v>127</v>
      </c>
      <c r="J6" s="6"/>
      <c r="K6" s="3">
        <v>5</v>
      </c>
      <c r="L6" s="7">
        <v>2</v>
      </c>
      <c r="M6" s="12">
        <v>2</v>
      </c>
      <c r="N6" s="13"/>
      <c r="O6" s="10"/>
      <c r="P6" s="11"/>
      <c r="Q6" s="2"/>
      <c r="R6" s="2"/>
      <c r="S6" s="39">
        <v>0</v>
      </c>
      <c r="T6" s="3">
        <v>0</v>
      </c>
      <c r="U6" s="2"/>
      <c r="V6" s="2"/>
      <c r="W6" s="12">
        <f t="shared" si="0"/>
        <v>30</v>
      </c>
      <c r="X6" s="13">
        <f t="shared" si="1"/>
        <v>0</v>
      </c>
      <c r="Y6" s="10">
        <f t="shared" si="2"/>
        <v>0</v>
      </c>
      <c r="Z6" s="11">
        <f t="shared" si="6"/>
        <v>0</v>
      </c>
      <c r="AA6" s="2">
        <f t="shared" si="4"/>
        <v>60</v>
      </c>
      <c r="AB6" s="2">
        <f t="shared" si="5"/>
        <v>10</v>
      </c>
      <c r="AC6" s="41"/>
      <c r="AD6" s="2">
        <v>1</v>
      </c>
      <c r="AE6" s="6"/>
      <c r="AF6" s="1"/>
      <c r="AG6" s="1"/>
      <c r="AH6" s="1"/>
      <c r="AI6" s="1"/>
      <c r="AJ6" s="1"/>
      <c r="AK6" s="1"/>
    </row>
    <row r="7" spans="1:37" x14ac:dyDescent="0.25">
      <c r="A7" s="2">
        <v>6</v>
      </c>
      <c r="B7" s="29" t="s">
        <v>7</v>
      </c>
      <c r="C7" s="3"/>
      <c r="D7" s="3"/>
      <c r="E7" s="3" t="s">
        <v>8</v>
      </c>
      <c r="F7" s="4"/>
      <c r="G7" s="4"/>
      <c r="H7" s="4" t="s">
        <v>141</v>
      </c>
      <c r="I7" s="5" t="s">
        <v>21</v>
      </c>
      <c r="J7" s="6"/>
      <c r="K7" s="3">
        <v>1</v>
      </c>
      <c r="L7" s="7">
        <v>2</v>
      </c>
      <c r="M7" s="12">
        <v>2</v>
      </c>
      <c r="N7" s="13"/>
      <c r="O7" s="10"/>
      <c r="P7" s="11"/>
      <c r="Q7" s="2"/>
      <c r="R7" s="2"/>
      <c r="S7" s="39">
        <v>0</v>
      </c>
      <c r="T7" s="3">
        <v>0</v>
      </c>
      <c r="U7" s="2"/>
      <c r="V7" s="2"/>
      <c r="W7" s="12">
        <f t="shared" si="0"/>
        <v>30</v>
      </c>
      <c r="X7" s="13">
        <f t="shared" si="1"/>
        <v>0</v>
      </c>
      <c r="Y7" s="10">
        <f t="shared" si="2"/>
        <v>0</v>
      </c>
      <c r="Z7" s="11">
        <f t="shared" si="6"/>
        <v>0</v>
      </c>
      <c r="AA7" s="2">
        <f t="shared" si="4"/>
        <v>60</v>
      </c>
      <c r="AB7" s="2">
        <f t="shared" si="5"/>
        <v>10</v>
      </c>
      <c r="AC7" s="41"/>
      <c r="AD7" s="2">
        <v>1</v>
      </c>
      <c r="AE7" s="6"/>
      <c r="AF7" s="1"/>
      <c r="AG7" s="1"/>
      <c r="AH7" s="1"/>
      <c r="AI7" s="1"/>
      <c r="AJ7" s="1"/>
      <c r="AK7" s="1"/>
    </row>
    <row r="8" spans="1:37" x14ac:dyDescent="0.25">
      <c r="A8" s="2">
        <v>7</v>
      </c>
      <c r="B8" s="29" t="s">
        <v>7</v>
      </c>
      <c r="C8" s="3"/>
      <c r="D8" s="3"/>
      <c r="E8" s="3" t="s">
        <v>8</v>
      </c>
      <c r="F8" s="4"/>
      <c r="G8" s="4"/>
      <c r="H8" s="4" t="s">
        <v>198</v>
      </c>
      <c r="I8" s="5" t="s">
        <v>131</v>
      </c>
      <c r="J8" s="6"/>
      <c r="K8" s="3">
        <v>1</v>
      </c>
      <c r="L8" s="7">
        <v>3</v>
      </c>
      <c r="M8" s="12">
        <v>3</v>
      </c>
      <c r="N8" s="13"/>
      <c r="O8" s="10"/>
      <c r="P8" s="11"/>
      <c r="Q8" s="2"/>
      <c r="R8" s="2"/>
      <c r="S8" s="39">
        <v>0</v>
      </c>
      <c r="T8" s="3">
        <v>0</v>
      </c>
      <c r="U8" s="2"/>
      <c r="V8" s="2"/>
      <c r="W8" s="12">
        <f t="shared" si="0"/>
        <v>45</v>
      </c>
      <c r="X8" s="13">
        <f t="shared" si="1"/>
        <v>0</v>
      </c>
      <c r="Y8" s="10">
        <f t="shared" si="2"/>
        <v>0</v>
      </c>
      <c r="Z8" s="11">
        <f t="shared" si="6"/>
        <v>0</v>
      </c>
      <c r="AA8" s="2">
        <f t="shared" si="4"/>
        <v>90</v>
      </c>
      <c r="AB8" s="2">
        <f t="shared" si="5"/>
        <v>15</v>
      </c>
      <c r="AC8" s="41"/>
      <c r="AD8" s="2">
        <v>1</v>
      </c>
      <c r="AE8" s="6"/>
      <c r="AF8" s="1"/>
      <c r="AG8" s="1"/>
      <c r="AH8" s="1"/>
      <c r="AI8" s="1"/>
      <c r="AJ8" s="1"/>
      <c r="AK8" s="1"/>
    </row>
    <row r="9" spans="1:37" x14ac:dyDescent="0.25">
      <c r="A9" s="2">
        <v>8</v>
      </c>
      <c r="B9" s="29" t="s">
        <v>7</v>
      </c>
      <c r="C9" s="3"/>
      <c r="D9" s="3"/>
      <c r="E9" s="3" t="s">
        <v>8</v>
      </c>
      <c r="F9" s="4"/>
      <c r="G9" s="4"/>
      <c r="H9" s="4" t="s">
        <v>199</v>
      </c>
      <c r="I9" s="5" t="s">
        <v>23</v>
      </c>
      <c r="J9" s="6"/>
      <c r="K9" s="3">
        <v>1</v>
      </c>
      <c r="L9" s="7">
        <v>3</v>
      </c>
      <c r="M9" s="12">
        <v>2</v>
      </c>
      <c r="N9" s="13">
        <v>1</v>
      </c>
      <c r="O9" s="10"/>
      <c r="P9" s="11"/>
      <c r="Q9" s="2" t="s">
        <v>11</v>
      </c>
      <c r="R9" s="2"/>
      <c r="S9" s="39">
        <v>0</v>
      </c>
      <c r="T9" s="3">
        <v>0</v>
      </c>
      <c r="U9" s="2"/>
      <c r="V9" s="2"/>
      <c r="W9" s="12">
        <f t="shared" si="0"/>
        <v>30</v>
      </c>
      <c r="X9" s="13">
        <f t="shared" si="1"/>
        <v>30</v>
      </c>
      <c r="Y9" s="10">
        <f t="shared" si="2"/>
        <v>0</v>
      </c>
      <c r="Z9" s="11">
        <f t="shared" si="6"/>
        <v>0</v>
      </c>
      <c r="AA9" s="2">
        <f t="shared" si="4"/>
        <v>75</v>
      </c>
      <c r="AB9" s="2">
        <f t="shared" si="5"/>
        <v>15</v>
      </c>
      <c r="AC9" s="41"/>
      <c r="AD9" s="2">
        <v>1</v>
      </c>
      <c r="AE9" s="6"/>
      <c r="AF9" s="1"/>
      <c r="AG9" s="1"/>
      <c r="AH9" s="1"/>
      <c r="AI9" s="1"/>
      <c r="AJ9" s="1"/>
      <c r="AK9" s="1"/>
    </row>
    <row r="10" spans="1:37" x14ac:dyDescent="0.25">
      <c r="A10" s="2">
        <v>9</v>
      </c>
      <c r="B10" s="29" t="s">
        <v>7</v>
      </c>
      <c r="C10" s="3"/>
      <c r="D10" s="3"/>
      <c r="E10" s="3" t="s">
        <v>8</v>
      </c>
      <c r="F10" s="4"/>
      <c r="G10" s="4"/>
      <c r="H10" s="4" t="s">
        <v>294</v>
      </c>
      <c r="I10" s="5" t="s">
        <v>295</v>
      </c>
      <c r="J10" s="6"/>
      <c r="K10" s="3">
        <v>1</v>
      </c>
      <c r="L10" s="7">
        <v>2</v>
      </c>
      <c r="M10" s="12">
        <v>2</v>
      </c>
      <c r="N10" s="13"/>
      <c r="O10" s="10"/>
      <c r="P10" s="11"/>
      <c r="Q10" s="2"/>
      <c r="R10" s="2"/>
      <c r="S10" s="39">
        <v>0</v>
      </c>
      <c r="T10" s="3">
        <v>0</v>
      </c>
      <c r="U10" s="2"/>
      <c r="V10" s="2"/>
      <c r="W10" s="12">
        <f t="shared" si="0"/>
        <v>30</v>
      </c>
      <c r="X10" s="13">
        <f t="shared" si="1"/>
        <v>0</v>
      </c>
      <c r="Y10" s="10">
        <f t="shared" si="2"/>
        <v>0</v>
      </c>
      <c r="Z10" s="11">
        <f t="shared" si="6"/>
        <v>0</v>
      </c>
      <c r="AA10" s="2">
        <f t="shared" si="4"/>
        <v>60</v>
      </c>
      <c r="AB10" s="2">
        <f t="shared" si="5"/>
        <v>10</v>
      </c>
      <c r="AC10" s="41"/>
      <c r="AD10" s="2">
        <v>1</v>
      </c>
      <c r="AE10" s="6"/>
      <c r="AF10" s="1"/>
      <c r="AG10" s="1"/>
      <c r="AH10" s="1"/>
      <c r="AI10" s="1"/>
      <c r="AJ10" s="1"/>
      <c r="AK10" s="1"/>
    </row>
    <row r="11" spans="1:37" x14ac:dyDescent="0.25">
      <c r="A11" s="2">
        <v>10</v>
      </c>
      <c r="B11" s="29" t="s">
        <v>7</v>
      </c>
      <c r="C11" s="3"/>
      <c r="D11" s="3"/>
      <c r="E11" s="3" t="s">
        <v>8</v>
      </c>
      <c r="F11" s="4"/>
      <c r="G11" s="4"/>
      <c r="H11" s="4" t="s">
        <v>203</v>
      </c>
      <c r="I11" s="5" t="s">
        <v>31</v>
      </c>
      <c r="J11" s="6"/>
      <c r="K11" s="3">
        <v>1</v>
      </c>
      <c r="L11" s="7">
        <v>3</v>
      </c>
      <c r="M11" s="12">
        <v>3</v>
      </c>
      <c r="N11" s="13"/>
      <c r="O11" s="10"/>
      <c r="P11" s="11"/>
      <c r="Q11" s="2"/>
      <c r="R11" s="2"/>
      <c r="S11" s="39">
        <v>0</v>
      </c>
      <c r="T11" s="3">
        <v>0</v>
      </c>
      <c r="U11" s="2"/>
      <c r="V11" s="2"/>
      <c r="W11" s="12">
        <f t="shared" si="0"/>
        <v>45</v>
      </c>
      <c r="X11" s="13">
        <f t="shared" si="1"/>
        <v>0</v>
      </c>
      <c r="Y11" s="10">
        <f t="shared" si="2"/>
        <v>0</v>
      </c>
      <c r="Z11" s="11">
        <f t="shared" si="6"/>
        <v>0</v>
      </c>
      <c r="AA11" s="2">
        <f t="shared" si="4"/>
        <v>90</v>
      </c>
      <c r="AB11" s="2">
        <f t="shared" si="5"/>
        <v>15</v>
      </c>
      <c r="AC11" s="41"/>
      <c r="AD11" s="2">
        <v>1</v>
      </c>
      <c r="AE11" s="6"/>
      <c r="AF11" s="1"/>
      <c r="AG11" s="1"/>
      <c r="AH11" s="1"/>
      <c r="AI11" s="1"/>
      <c r="AJ11" s="1"/>
      <c r="AK11" s="1"/>
    </row>
    <row r="12" spans="1:37" x14ac:dyDescent="0.25">
      <c r="A12" s="2">
        <v>11</v>
      </c>
      <c r="B12" s="29" t="s">
        <v>7</v>
      </c>
      <c r="C12" s="3"/>
      <c r="D12" s="3"/>
      <c r="E12" s="3" t="s">
        <v>8</v>
      </c>
      <c r="F12" s="4"/>
      <c r="G12" s="4"/>
      <c r="H12" s="4" t="s">
        <v>204</v>
      </c>
      <c r="I12" s="5" t="s">
        <v>33</v>
      </c>
      <c r="J12" s="6"/>
      <c r="K12" s="3">
        <v>2</v>
      </c>
      <c r="L12" s="7">
        <v>3</v>
      </c>
      <c r="M12" s="12">
        <v>3</v>
      </c>
      <c r="N12" s="13"/>
      <c r="O12" s="10"/>
      <c r="P12" s="11"/>
      <c r="Q12" s="2"/>
      <c r="R12" s="2"/>
      <c r="S12" s="39">
        <v>0</v>
      </c>
      <c r="T12" s="3">
        <v>0</v>
      </c>
      <c r="U12" s="2" t="s">
        <v>203</v>
      </c>
      <c r="V12" s="2" t="s">
        <v>303</v>
      </c>
      <c r="W12" s="12">
        <f t="shared" si="0"/>
        <v>45</v>
      </c>
      <c r="X12" s="13">
        <f t="shared" si="1"/>
        <v>0</v>
      </c>
      <c r="Y12" s="10">
        <f t="shared" si="2"/>
        <v>0</v>
      </c>
      <c r="Z12" s="11">
        <f t="shared" si="6"/>
        <v>0</v>
      </c>
      <c r="AA12" s="2">
        <f t="shared" si="4"/>
        <v>90</v>
      </c>
      <c r="AB12" s="2">
        <f t="shared" si="5"/>
        <v>15</v>
      </c>
      <c r="AC12" s="41"/>
      <c r="AD12" s="2">
        <v>1</v>
      </c>
      <c r="AE12" s="6"/>
      <c r="AF12" s="1"/>
      <c r="AG12" s="1"/>
      <c r="AH12" s="1"/>
      <c r="AI12" s="1"/>
      <c r="AJ12" s="1"/>
      <c r="AK12" s="1"/>
    </row>
    <row r="13" spans="1:37" x14ac:dyDescent="0.25">
      <c r="A13" s="2">
        <v>12</v>
      </c>
      <c r="B13" s="29" t="s">
        <v>7</v>
      </c>
      <c r="C13" s="3"/>
      <c r="D13" s="3"/>
      <c r="E13" s="3" t="s">
        <v>8</v>
      </c>
      <c r="F13" s="4"/>
      <c r="G13" s="4"/>
      <c r="H13" s="4" t="s">
        <v>205</v>
      </c>
      <c r="I13" s="5" t="s">
        <v>35</v>
      </c>
      <c r="J13" s="6"/>
      <c r="K13" s="3">
        <v>3</v>
      </c>
      <c r="L13" s="7">
        <v>3</v>
      </c>
      <c r="M13" s="12">
        <v>3</v>
      </c>
      <c r="N13" s="13"/>
      <c r="O13" s="10"/>
      <c r="P13" s="11"/>
      <c r="Q13" s="2"/>
      <c r="R13" s="2"/>
      <c r="S13" s="39">
        <v>0</v>
      </c>
      <c r="T13" s="3">
        <v>0</v>
      </c>
      <c r="U13" s="2" t="s">
        <v>204</v>
      </c>
      <c r="V13" s="2" t="s">
        <v>303</v>
      </c>
      <c r="W13" s="12">
        <f t="shared" si="0"/>
        <v>45</v>
      </c>
      <c r="X13" s="13">
        <f t="shared" si="1"/>
        <v>0</v>
      </c>
      <c r="Y13" s="10">
        <f t="shared" si="2"/>
        <v>0</v>
      </c>
      <c r="Z13" s="11">
        <f t="shared" si="6"/>
        <v>0</v>
      </c>
      <c r="AA13" s="2">
        <f t="shared" si="4"/>
        <v>90</v>
      </c>
      <c r="AB13" s="2">
        <f t="shared" si="5"/>
        <v>15</v>
      </c>
      <c r="AC13" s="41"/>
      <c r="AD13" s="2">
        <v>1</v>
      </c>
      <c r="AE13" s="6"/>
      <c r="AF13" s="1"/>
      <c r="AG13" s="1"/>
      <c r="AH13" s="1"/>
      <c r="AI13" s="1"/>
      <c r="AJ13" s="1"/>
      <c r="AK13" s="1"/>
    </row>
    <row r="14" spans="1:37" x14ac:dyDescent="0.25">
      <c r="A14" s="2">
        <v>13</v>
      </c>
      <c r="B14" s="29" t="s">
        <v>7</v>
      </c>
      <c r="C14" s="3"/>
      <c r="D14" s="3"/>
      <c r="E14" s="3" t="s">
        <v>8</v>
      </c>
      <c r="F14" s="4"/>
      <c r="G14" s="4"/>
      <c r="H14" s="4" t="s">
        <v>18</v>
      </c>
      <c r="I14" s="5" t="s">
        <v>19</v>
      </c>
      <c r="J14" s="6"/>
      <c r="K14" s="3">
        <v>2</v>
      </c>
      <c r="L14" s="7">
        <v>8</v>
      </c>
      <c r="M14" s="12"/>
      <c r="N14" s="13"/>
      <c r="O14" s="10"/>
      <c r="P14" s="11"/>
      <c r="Q14" s="2"/>
      <c r="R14" s="2"/>
      <c r="S14" s="39">
        <v>0</v>
      </c>
      <c r="T14" s="3">
        <v>0</v>
      </c>
      <c r="U14" s="2"/>
      <c r="V14" s="2"/>
      <c r="W14" s="12">
        <f t="shared" si="0"/>
        <v>0</v>
      </c>
      <c r="X14" s="13">
        <f t="shared" si="1"/>
        <v>0</v>
      </c>
      <c r="Y14" s="10">
        <f t="shared" si="2"/>
        <v>0</v>
      </c>
      <c r="Z14" s="11">
        <f t="shared" si="6"/>
        <v>0</v>
      </c>
      <c r="AA14" s="2">
        <f t="shared" si="4"/>
        <v>0</v>
      </c>
      <c r="AB14" s="2">
        <f t="shared" si="5"/>
        <v>40</v>
      </c>
      <c r="AC14" s="41"/>
      <c r="AD14" s="2">
        <v>0</v>
      </c>
      <c r="AE14" s="6"/>
      <c r="AF14" s="1"/>
      <c r="AG14" s="1"/>
      <c r="AH14" s="1"/>
      <c r="AI14" s="1"/>
      <c r="AJ14" s="1"/>
      <c r="AK14" s="1"/>
    </row>
    <row r="15" spans="1:37" x14ac:dyDescent="0.25">
      <c r="A15" s="2">
        <v>14</v>
      </c>
      <c r="B15" s="29" t="s">
        <v>7</v>
      </c>
      <c r="C15" s="3"/>
      <c r="D15" s="3"/>
      <c r="E15" s="3" t="s">
        <v>8</v>
      </c>
      <c r="F15" s="4"/>
      <c r="G15" s="4"/>
      <c r="H15" s="4" t="s">
        <v>16</v>
      </c>
      <c r="I15" s="5" t="s">
        <v>17</v>
      </c>
      <c r="J15" s="6"/>
      <c r="K15" s="3">
        <v>3</v>
      </c>
      <c r="L15" s="7">
        <v>3</v>
      </c>
      <c r="M15" s="12">
        <v>1</v>
      </c>
      <c r="N15" s="13">
        <v>2</v>
      </c>
      <c r="O15" s="10"/>
      <c r="P15" s="11"/>
      <c r="Q15" s="2" t="s">
        <v>11</v>
      </c>
      <c r="R15" s="2"/>
      <c r="S15" s="39">
        <v>0</v>
      </c>
      <c r="T15" s="3">
        <v>0</v>
      </c>
      <c r="U15" s="2"/>
      <c r="V15" s="2"/>
      <c r="W15" s="12">
        <f t="shared" si="0"/>
        <v>15</v>
      </c>
      <c r="X15" s="13">
        <f t="shared" si="1"/>
        <v>60</v>
      </c>
      <c r="Y15" s="10">
        <f t="shared" si="2"/>
        <v>0</v>
      </c>
      <c r="Z15" s="11">
        <f t="shared" si="6"/>
        <v>0</v>
      </c>
      <c r="AA15" s="2">
        <f t="shared" si="4"/>
        <v>60</v>
      </c>
      <c r="AB15" s="2">
        <f t="shared" si="5"/>
        <v>15</v>
      </c>
      <c r="AC15" s="41"/>
      <c r="AD15" s="2">
        <v>0</v>
      </c>
      <c r="AE15" s="6"/>
      <c r="AF15" s="1"/>
      <c r="AG15" s="1"/>
      <c r="AH15" s="1"/>
      <c r="AI15" s="1"/>
      <c r="AJ15" s="1"/>
      <c r="AK15" s="1"/>
    </row>
    <row r="16" spans="1:37" x14ac:dyDescent="0.25">
      <c r="A16" s="2">
        <v>15</v>
      </c>
      <c r="B16" s="29" t="s">
        <v>45</v>
      </c>
      <c r="C16" s="3"/>
      <c r="D16" s="3"/>
      <c r="E16" s="3" t="s">
        <v>46</v>
      </c>
      <c r="F16" s="4"/>
      <c r="G16" s="4"/>
      <c r="H16" s="4" t="s">
        <v>213</v>
      </c>
      <c r="I16" s="5" t="s">
        <v>296</v>
      </c>
      <c r="J16" s="6"/>
      <c r="K16" s="3">
        <v>1</v>
      </c>
      <c r="L16" s="7">
        <v>1</v>
      </c>
      <c r="M16" s="12">
        <v>1</v>
      </c>
      <c r="N16" s="13"/>
      <c r="O16" s="10"/>
      <c r="P16" s="11"/>
      <c r="Q16" s="2"/>
      <c r="R16" s="2"/>
      <c r="S16" s="39">
        <v>0</v>
      </c>
      <c r="T16" s="3">
        <v>0</v>
      </c>
      <c r="U16" s="2"/>
      <c r="V16" s="2"/>
      <c r="W16" s="12">
        <f t="shared" si="0"/>
        <v>15</v>
      </c>
      <c r="X16" s="13">
        <f t="shared" si="1"/>
        <v>0</v>
      </c>
      <c r="Y16" s="10">
        <f t="shared" si="2"/>
        <v>0</v>
      </c>
      <c r="Z16" s="11">
        <f t="shared" si="6"/>
        <v>0</v>
      </c>
      <c r="AA16" s="2">
        <f t="shared" si="4"/>
        <v>30</v>
      </c>
      <c r="AB16" s="2">
        <f t="shared" si="5"/>
        <v>5</v>
      </c>
      <c r="AC16" s="41"/>
      <c r="AD16" s="2">
        <v>1</v>
      </c>
      <c r="AE16" s="6"/>
      <c r="AF16" s="1"/>
      <c r="AG16" s="1"/>
      <c r="AH16" s="1"/>
      <c r="AI16" s="1"/>
      <c r="AJ16" s="1"/>
      <c r="AK16" s="1"/>
    </row>
    <row r="17" spans="1:37" x14ac:dyDescent="0.25">
      <c r="A17" s="2">
        <v>16</v>
      </c>
      <c r="B17" s="29" t="s">
        <v>45</v>
      </c>
      <c r="C17" s="3"/>
      <c r="D17" s="3"/>
      <c r="E17" s="3" t="s">
        <v>46</v>
      </c>
      <c r="F17" s="4"/>
      <c r="G17" s="4"/>
      <c r="H17" s="4" t="s">
        <v>297</v>
      </c>
      <c r="I17" s="5" t="s">
        <v>235</v>
      </c>
      <c r="J17" s="6"/>
      <c r="K17" s="3">
        <v>1</v>
      </c>
      <c r="L17" s="7">
        <v>3</v>
      </c>
      <c r="M17" s="12">
        <v>3</v>
      </c>
      <c r="N17" s="13"/>
      <c r="O17" s="10"/>
      <c r="P17" s="11"/>
      <c r="Q17" s="2"/>
      <c r="R17" s="2"/>
      <c r="S17" s="39">
        <v>0</v>
      </c>
      <c r="T17" s="3">
        <v>0</v>
      </c>
      <c r="U17" s="2"/>
      <c r="V17" s="2"/>
      <c r="W17" s="12">
        <f t="shared" si="0"/>
        <v>45</v>
      </c>
      <c r="X17" s="13">
        <f t="shared" si="1"/>
        <v>0</v>
      </c>
      <c r="Y17" s="10">
        <f t="shared" si="2"/>
        <v>0</v>
      </c>
      <c r="Z17" s="11">
        <f t="shared" si="6"/>
        <v>0</v>
      </c>
      <c r="AA17" s="2">
        <f t="shared" si="4"/>
        <v>90</v>
      </c>
      <c r="AB17" s="2">
        <f t="shared" si="5"/>
        <v>15</v>
      </c>
      <c r="AC17" s="41"/>
      <c r="AD17" s="2">
        <v>1</v>
      </c>
      <c r="AE17" s="6"/>
      <c r="AF17" s="1"/>
      <c r="AG17" s="1"/>
      <c r="AH17" s="1"/>
      <c r="AI17" s="1"/>
      <c r="AJ17" s="1"/>
      <c r="AK17" s="1"/>
    </row>
    <row r="18" spans="1:37" x14ac:dyDescent="0.25">
      <c r="A18" s="2">
        <v>17</v>
      </c>
      <c r="B18" s="29" t="s">
        <v>45</v>
      </c>
      <c r="C18" s="3"/>
      <c r="D18" s="3"/>
      <c r="E18" s="3" t="s">
        <v>46</v>
      </c>
      <c r="F18" s="4"/>
      <c r="G18" s="4"/>
      <c r="H18" s="4" t="s">
        <v>207</v>
      </c>
      <c r="I18" s="5" t="s">
        <v>208</v>
      </c>
      <c r="J18" s="6"/>
      <c r="K18" s="3">
        <v>2</v>
      </c>
      <c r="L18" s="7">
        <v>3</v>
      </c>
      <c r="M18" s="12">
        <v>3</v>
      </c>
      <c r="N18" s="13"/>
      <c r="O18" s="10"/>
      <c r="P18" s="11"/>
      <c r="Q18" s="2"/>
      <c r="R18" s="2"/>
      <c r="S18" s="39">
        <v>0</v>
      </c>
      <c r="T18" s="3">
        <v>0</v>
      </c>
      <c r="U18" s="2"/>
      <c r="V18" s="2"/>
      <c r="W18" s="12">
        <f t="shared" si="0"/>
        <v>45</v>
      </c>
      <c r="X18" s="13">
        <f t="shared" si="1"/>
        <v>0</v>
      </c>
      <c r="Y18" s="10">
        <f t="shared" si="2"/>
        <v>0</v>
      </c>
      <c r="Z18" s="11">
        <f t="shared" si="6"/>
        <v>0</v>
      </c>
      <c r="AA18" s="2">
        <f t="shared" si="4"/>
        <v>90</v>
      </c>
      <c r="AB18" s="2">
        <f t="shared" si="5"/>
        <v>15</v>
      </c>
      <c r="AC18" s="41"/>
      <c r="AD18" s="2">
        <v>1</v>
      </c>
      <c r="AE18" s="6"/>
      <c r="AF18" s="1"/>
      <c r="AG18" s="1"/>
      <c r="AH18" s="1"/>
      <c r="AI18" s="1"/>
      <c r="AJ18" s="1"/>
      <c r="AK18" s="1"/>
    </row>
    <row r="19" spans="1:37" x14ac:dyDescent="0.25">
      <c r="A19" s="2">
        <v>18</v>
      </c>
      <c r="B19" s="29" t="s">
        <v>45</v>
      </c>
      <c r="C19" s="3"/>
      <c r="D19" s="3"/>
      <c r="E19" s="3" t="s">
        <v>46</v>
      </c>
      <c r="F19" s="4"/>
      <c r="G19" s="4"/>
      <c r="H19" s="4" t="s">
        <v>209</v>
      </c>
      <c r="I19" s="5" t="s">
        <v>62</v>
      </c>
      <c r="J19" s="6"/>
      <c r="K19" s="3">
        <v>2</v>
      </c>
      <c r="L19" s="7">
        <v>2</v>
      </c>
      <c r="M19" s="12">
        <v>2</v>
      </c>
      <c r="N19" s="13"/>
      <c r="O19" s="10"/>
      <c r="P19" s="11"/>
      <c r="Q19" s="2"/>
      <c r="R19" s="2"/>
      <c r="S19" s="39">
        <v>0</v>
      </c>
      <c r="T19" s="3">
        <v>0</v>
      </c>
      <c r="U19" s="2" t="s">
        <v>294</v>
      </c>
      <c r="V19" s="2" t="s">
        <v>303</v>
      </c>
      <c r="W19" s="12">
        <f t="shared" si="0"/>
        <v>30</v>
      </c>
      <c r="X19" s="13">
        <f t="shared" si="1"/>
        <v>0</v>
      </c>
      <c r="Y19" s="10">
        <f t="shared" si="2"/>
        <v>0</v>
      </c>
      <c r="Z19" s="11">
        <f t="shared" si="6"/>
        <v>0</v>
      </c>
      <c r="AA19" s="2">
        <f t="shared" si="4"/>
        <v>60</v>
      </c>
      <c r="AB19" s="2">
        <f t="shared" si="5"/>
        <v>10</v>
      </c>
      <c r="AC19" s="41"/>
      <c r="AD19" s="2">
        <v>1</v>
      </c>
      <c r="AE19" s="6"/>
      <c r="AF19" s="1"/>
      <c r="AG19" s="1"/>
      <c r="AH19" s="1"/>
      <c r="AI19" s="1"/>
      <c r="AJ19" s="1"/>
      <c r="AK19" s="1"/>
    </row>
    <row r="20" spans="1:37" x14ac:dyDescent="0.25">
      <c r="A20" s="2">
        <v>19</v>
      </c>
      <c r="B20" s="29" t="s">
        <v>45</v>
      </c>
      <c r="C20" s="3"/>
      <c r="D20" s="3"/>
      <c r="E20" s="3" t="s">
        <v>46</v>
      </c>
      <c r="F20" s="4"/>
      <c r="G20" s="4"/>
      <c r="H20" s="4" t="s">
        <v>210</v>
      </c>
      <c r="I20" s="5" t="s">
        <v>48</v>
      </c>
      <c r="J20" s="6"/>
      <c r="K20" s="3">
        <v>2</v>
      </c>
      <c r="L20" s="7">
        <v>3</v>
      </c>
      <c r="M20" s="12">
        <v>3</v>
      </c>
      <c r="N20" s="13"/>
      <c r="O20" s="10"/>
      <c r="P20" s="11"/>
      <c r="Q20" s="2"/>
      <c r="R20" s="2"/>
      <c r="S20" s="39">
        <v>0</v>
      </c>
      <c r="T20" s="3">
        <v>0</v>
      </c>
      <c r="U20" s="2"/>
      <c r="V20" s="2"/>
      <c r="W20" s="12">
        <f t="shared" si="0"/>
        <v>45</v>
      </c>
      <c r="X20" s="13">
        <f t="shared" si="1"/>
        <v>0</v>
      </c>
      <c r="Y20" s="10">
        <f t="shared" si="2"/>
        <v>0</v>
      </c>
      <c r="Z20" s="11">
        <f t="shared" si="6"/>
        <v>0</v>
      </c>
      <c r="AA20" s="2">
        <f t="shared" si="4"/>
        <v>90</v>
      </c>
      <c r="AB20" s="2">
        <f t="shared" si="5"/>
        <v>15</v>
      </c>
      <c r="AC20" s="41"/>
      <c r="AD20" s="2">
        <v>1</v>
      </c>
      <c r="AE20" s="6"/>
      <c r="AF20" s="1"/>
      <c r="AG20" s="1"/>
      <c r="AH20" s="1"/>
      <c r="AI20" s="1"/>
      <c r="AJ20" s="1"/>
      <c r="AK20" s="1"/>
    </row>
    <row r="21" spans="1:37" x14ac:dyDescent="0.25">
      <c r="A21" s="2">
        <v>20</v>
      </c>
      <c r="B21" s="29" t="s">
        <v>45</v>
      </c>
      <c r="C21" s="3"/>
      <c r="D21" s="3"/>
      <c r="E21" s="3" t="s">
        <v>46</v>
      </c>
      <c r="F21" s="4"/>
      <c r="G21" s="4"/>
      <c r="H21" s="4" t="s">
        <v>212</v>
      </c>
      <c r="I21" s="5" t="s">
        <v>52</v>
      </c>
      <c r="J21" s="6"/>
      <c r="K21" s="3">
        <v>3</v>
      </c>
      <c r="L21" s="7">
        <v>3</v>
      </c>
      <c r="M21" s="12">
        <v>3</v>
      </c>
      <c r="N21" s="13"/>
      <c r="O21" s="10"/>
      <c r="P21" s="11"/>
      <c r="Q21" s="2"/>
      <c r="R21" s="2"/>
      <c r="S21" s="39">
        <v>0</v>
      </c>
      <c r="T21" s="3">
        <v>0</v>
      </c>
      <c r="U21" s="2" t="s">
        <v>207</v>
      </c>
      <c r="V21" s="2" t="s">
        <v>303</v>
      </c>
      <c r="W21" s="12">
        <f t="shared" si="0"/>
        <v>45</v>
      </c>
      <c r="X21" s="13">
        <f t="shared" si="1"/>
        <v>0</v>
      </c>
      <c r="Y21" s="10">
        <f t="shared" si="2"/>
        <v>0</v>
      </c>
      <c r="Z21" s="11">
        <f t="shared" si="6"/>
        <v>0</v>
      </c>
      <c r="AA21" s="2">
        <f t="shared" si="4"/>
        <v>90</v>
      </c>
      <c r="AB21" s="2">
        <f t="shared" si="5"/>
        <v>15</v>
      </c>
      <c r="AC21" s="41"/>
      <c r="AD21" s="2">
        <v>1</v>
      </c>
      <c r="AE21" s="6"/>
      <c r="AF21" s="1"/>
      <c r="AG21" s="1"/>
      <c r="AH21" s="1"/>
      <c r="AI21" s="1"/>
      <c r="AJ21" s="1"/>
      <c r="AK21" s="1"/>
    </row>
    <row r="22" spans="1:37" x14ac:dyDescent="0.25">
      <c r="A22" s="2">
        <v>21</v>
      </c>
      <c r="B22" s="29" t="s">
        <v>45</v>
      </c>
      <c r="C22" s="3"/>
      <c r="D22" s="3"/>
      <c r="E22" s="3" t="s">
        <v>46</v>
      </c>
      <c r="F22" s="4"/>
      <c r="G22" s="4"/>
      <c r="H22" s="4" t="s">
        <v>143</v>
      </c>
      <c r="I22" s="5" t="s">
        <v>60</v>
      </c>
      <c r="J22" s="6"/>
      <c r="K22" s="3">
        <v>3</v>
      </c>
      <c r="L22" s="7">
        <v>3</v>
      </c>
      <c r="M22" s="12">
        <v>3</v>
      </c>
      <c r="N22" s="13"/>
      <c r="O22" s="10"/>
      <c r="P22" s="11"/>
      <c r="Q22" s="2"/>
      <c r="R22" s="2"/>
      <c r="S22" s="39">
        <v>0</v>
      </c>
      <c r="T22" s="3">
        <v>0</v>
      </c>
      <c r="U22" s="2"/>
      <c r="V22" s="2"/>
      <c r="W22" s="12">
        <f t="shared" si="0"/>
        <v>45</v>
      </c>
      <c r="X22" s="13">
        <f t="shared" si="1"/>
        <v>0</v>
      </c>
      <c r="Y22" s="10">
        <f t="shared" si="2"/>
        <v>0</v>
      </c>
      <c r="Z22" s="11">
        <f t="shared" si="6"/>
        <v>0</v>
      </c>
      <c r="AA22" s="2">
        <f t="shared" si="4"/>
        <v>90</v>
      </c>
      <c r="AB22" s="2">
        <f t="shared" si="5"/>
        <v>15</v>
      </c>
      <c r="AC22" s="41"/>
      <c r="AD22" s="2">
        <v>1</v>
      </c>
      <c r="AE22" s="6"/>
      <c r="AF22" s="1"/>
      <c r="AG22" s="1"/>
      <c r="AH22" s="1"/>
      <c r="AI22" s="1"/>
      <c r="AJ22" s="1"/>
      <c r="AK22" s="1"/>
    </row>
    <row r="23" spans="1:37" x14ac:dyDescent="0.25">
      <c r="A23" s="2">
        <v>22</v>
      </c>
      <c r="B23" s="29" t="s">
        <v>45</v>
      </c>
      <c r="C23" s="3"/>
      <c r="D23" s="3"/>
      <c r="E23" s="3" t="s">
        <v>46</v>
      </c>
      <c r="F23" s="4"/>
      <c r="G23" s="4"/>
      <c r="H23" s="4" t="s">
        <v>146</v>
      </c>
      <c r="I23" s="5" t="s">
        <v>147</v>
      </c>
      <c r="J23" s="6"/>
      <c r="K23" s="3">
        <v>3</v>
      </c>
      <c r="L23" s="7">
        <v>3</v>
      </c>
      <c r="M23" s="12">
        <v>3</v>
      </c>
      <c r="N23" s="13"/>
      <c r="O23" s="10"/>
      <c r="P23" s="11"/>
      <c r="Q23" s="2"/>
      <c r="R23" s="2"/>
      <c r="S23" s="39">
        <v>0</v>
      </c>
      <c r="T23" s="3">
        <v>0</v>
      </c>
      <c r="U23" s="2"/>
      <c r="V23" s="2"/>
      <c r="W23" s="12">
        <f t="shared" si="0"/>
        <v>45</v>
      </c>
      <c r="X23" s="13">
        <f t="shared" si="1"/>
        <v>0</v>
      </c>
      <c r="Y23" s="10">
        <f t="shared" si="2"/>
        <v>0</v>
      </c>
      <c r="Z23" s="11">
        <f t="shared" si="6"/>
        <v>0</v>
      </c>
      <c r="AA23" s="2">
        <f t="shared" si="4"/>
        <v>90</v>
      </c>
      <c r="AB23" s="2">
        <f t="shared" si="5"/>
        <v>15</v>
      </c>
      <c r="AC23" s="41"/>
      <c r="AD23" s="2">
        <v>1</v>
      </c>
      <c r="AE23" s="6"/>
      <c r="AF23" s="1"/>
      <c r="AG23" s="1"/>
      <c r="AH23" s="1"/>
      <c r="AI23" s="1"/>
      <c r="AJ23" s="1"/>
      <c r="AK23" s="1"/>
    </row>
    <row r="24" spans="1:37" x14ac:dyDescent="0.25">
      <c r="A24" s="2">
        <v>23</v>
      </c>
      <c r="B24" s="29" t="s">
        <v>45</v>
      </c>
      <c r="C24" s="3"/>
      <c r="D24" s="3"/>
      <c r="E24" s="3" t="s">
        <v>46</v>
      </c>
      <c r="F24" s="4"/>
      <c r="G24" s="4"/>
      <c r="H24" s="4" t="s">
        <v>236</v>
      </c>
      <c r="I24" s="5" t="s">
        <v>237</v>
      </c>
      <c r="J24" s="6"/>
      <c r="K24" s="3">
        <v>3</v>
      </c>
      <c r="L24" s="7">
        <v>2</v>
      </c>
      <c r="M24" s="12">
        <v>2</v>
      </c>
      <c r="N24" s="13"/>
      <c r="O24" s="10"/>
      <c r="P24" s="11"/>
      <c r="Q24" s="2"/>
      <c r="R24" s="2"/>
      <c r="S24" s="39">
        <v>0</v>
      </c>
      <c r="T24" s="3">
        <v>0</v>
      </c>
      <c r="U24" s="2"/>
      <c r="V24" s="2"/>
      <c r="W24" s="12">
        <f t="shared" si="0"/>
        <v>30</v>
      </c>
      <c r="X24" s="13">
        <f t="shared" si="1"/>
        <v>0</v>
      </c>
      <c r="Y24" s="10">
        <f t="shared" si="2"/>
        <v>0</v>
      </c>
      <c r="Z24" s="11">
        <f t="shared" si="6"/>
        <v>0</v>
      </c>
      <c r="AA24" s="2">
        <f t="shared" si="4"/>
        <v>60</v>
      </c>
      <c r="AB24" s="2">
        <f t="shared" si="5"/>
        <v>10</v>
      </c>
      <c r="AC24" s="41"/>
      <c r="AD24" s="2">
        <v>1</v>
      </c>
      <c r="AE24" s="6"/>
      <c r="AF24" s="1"/>
      <c r="AG24" s="1"/>
      <c r="AH24" s="1"/>
      <c r="AI24" s="1"/>
      <c r="AJ24" s="1"/>
      <c r="AK24" s="1"/>
    </row>
    <row r="25" spans="1:37" x14ac:dyDescent="0.25">
      <c r="A25" s="2">
        <v>24</v>
      </c>
      <c r="B25" s="29" t="s">
        <v>45</v>
      </c>
      <c r="C25" s="3"/>
      <c r="D25" s="3"/>
      <c r="E25" s="3" t="s">
        <v>46</v>
      </c>
      <c r="F25" s="4"/>
      <c r="G25" s="4"/>
      <c r="H25" s="4" t="s">
        <v>214</v>
      </c>
      <c r="I25" s="5" t="s">
        <v>64</v>
      </c>
      <c r="J25" s="6"/>
      <c r="K25" s="3">
        <v>4</v>
      </c>
      <c r="L25" s="7">
        <v>3</v>
      </c>
      <c r="M25" s="12">
        <v>3</v>
      </c>
      <c r="N25" s="13"/>
      <c r="O25" s="10"/>
      <c r="P25" s="11"/>
      <c r="Q25" s="2"/>
      <c r="R25" s="2"/>
      <c r="S25" s="39">
        <v>0</v>
      </c>
      <c r="T25" s="3">
        <v>0</v>
      </c>
      <c r="U25" s="2" t="s">
        <v>143</v>
      </c>
      <c r="V25" s="2" t="s">
        <v>124</v>
      </c>
      <c r="W25" s="12">
        <f t="shared" si="0"/>
        <v>45</v>
      </c>
      <c r="X25" s="13">
        <f t="shared" si="1"/>
        <v>0</v>
      </c>
      <c r="Y25" s="10">
        <f t="shared" si="2"/>
        <v>0</v>
      </c>
      <c r="Z25" s="11">
        <f t="shared" si="6"/>
        <v>0</v>
      </c>
      <c r="AA25" s="2">
        <f t="shared" si="4"/>
        <v>90</v>
      </c>
      <c r="AB25" s="2">
        <f t="shared" si="5"/>
        <v>15</v>
      </c>
      <c r="AC25" s="41"/>
      <c r="AD25" s="2">
        <v>1</v>
      </c>
      <c r="AE25" s="6"/>
      <c r="AF25" s="1"/>
      <c r="AG25" s="1"/>
      <c r="AH25" s="1"/>
      <c r="AI25" s="1"/>
      <c r="AJ25" s="1"/>
      <c r="AK25" s="1"/>
    </row>
    <row r="26" spans="1:37" x14ac:dyDescent="0.25">
      <c r="A26" s="2">
        <v>25</v>
      </c>
      <c r="B26" s="29" t="s">
        <v>239</v>
      </c>
      <c r="C26" s="3"/>
      <c r="D26" s="3"/>
      <c r="E26" s="3" t="s">
        <v>46</v>
      </c>
      <c r="F26" s="4"/>
      <c r="G26" s="4"/>
      <c r="H26" s="4" t="s">
        <v>240</v>
      </c>
      <c r="I26" s="5" t="s">
        <v>241</v>
      </c>
      <c r="J26" s="6"/>
      <c r="K26" s="3">
        <v>1</v>
      </c>
      <c r="L26" s="7">
        <v>2</v>
      </c>
      <c r="M26" s="12">
        <v>2</v>
      </c>
      <c r="N26" s="13"/>
      <c r="O26" s="10"/>
      <c r="P26" s="11"/>
      <c r="Q26" s="2"/>
      <c r="R26" s="2"/>
      <c r="S26" s="39">
        <v>1</v>
      </c>
      <c r="T26" s="3">
        <v>0</v>
      </c>
      <c r="U26" s="2"/>
      <c r="V26" s="2"/>
      <c r="W26" s="12">
        <f t="shared" si="0"/>
        <v>30</v>
      </c>
      <c r="X26" s="13">
        <f t="shared" si="1"/>
        <v>0</v>
      </c>
      <c r="Y26" s="10">
        <f t="shared" si="2"/>
        <v>0</v>
      </c>
      <c r="Z26" s="11">
        <f t="shared" si="6"/>
        <v>0</v>
      </c>
      <c r="AA26" s="2">
        <f t="shared" si="4"/>
        <v>60</v>
      </c>
      <c r="AB26" s="2">
        <f t="shared" si="5"/>
        <v>10</v>
      </c>
      <c r="AC26" s="41"/>
      <c r="AD26" s="2">
        <v>1</v>
      </c>
      <c r="AE26" s="6"/>
      <c r="AF26" s="1"/>
      <c r="AG26" s="1"/>
      <c r="AH26" s="1"/>
      <c r="AI26" s="1"/>
      <c r="AJ26" s="1"/>
      <c r="AK26" s="1"/>
    </row>
    <row r="27" spans="1:37" x14ac:dyDescent="0.25">
      <c r="A27" s="2">
        <v>26</v>
      </c>
      <c r="B27" s="29" t="s">
        <v>239</v>
      </c>
      <c r="C27" s="3"/>
      <c r="D27" s="3"/>
      <c r="E27" s="3" t="s">
        <v>46</v>
      </c>
      <c r="F27" s="4"/>
      <c r="G27" s="4"/>
      <c r="H27" s="4" t="s">
        <v>251</v>
      </c>
      <c r="I27" s="5" t="s">
        <v>252</v>
      </c>
      <c r="J27" s="6"/>
      <c r="K27" s="3">
        <v>1</v>
      </c>
      <c r="L27" s="7">
        <v>2</v>
      </c>
      <c r="M27" s="12">
        <v>1</v>
      </c>
      <c r="N27" s="13">
        <v>1</v>
      </c>
      <c r="O27" s="10"/>
      <c r="P27" s="11"/>
      <c r="Q27" s="2" t="s">
        <v>11</v>
      </c>
      <c r="R27" s="2"/>
      <c r="S27" s="39">
        <v>1</v>
      </c>
      <c r="T27" s="3">
        <v>0</v>
      </c>
      <c r="U27" s="2"/>
      <c r="V27" s="2"/>
      <c r="W27" s="12">
        <f t="shared" si="0"/>
        <v>15</v>
      </c>
      <c r="X27" s="13">
        <f t="shared" si="1"/>
        <v>30</v>
      </c>
      <c r="Y27" s="10">
        <f t="shared" si="2"/>
        <v>0</v>
      </c>
      <c r="Z27" s="11">
        <f t="shared" si="6"/>
        <v>0</v>
      </c>
      <c r="AA27" s="2">
        <f t="shared" si="4"/>
        <v>45</v>
      </c>
      <c r="AB27" s="2">
        <f t="shared" si="5"/>
        <v>10</v>
      </c>
      <c r="AC27" s="41"/>
      <c r="AD27" s="2">
        <v>1</v>
      </c>
      <c r="AE27" s="6"/>
      <c r="AF27" s="1"/>
      <c r="AG27" s="1"/>
      <c r="AH27" s="1"/>
      <c r="AI27" s="1"/>
      <c r="AJ27" s="1"/>
      <c r="AK27" s="1"/>
    </row>
    <row r="28" spans="1:37" x14ac:dyDescent="0.25">
      <c r="A28" s="2">
        <v>27</v>
      </c>
      <c r="B28" s="29" t="s">
        <v>239</v>
      </c>
      <c r="C28" s="3"/>
      <c r="D28" s="3"/>
      <c r="E28" s="3" t="s">
        <v>46</v>
      </c>
      <c r="F28" s="4"/>
      <c r="G28" s="4"/>
      <c r="H28" s="4" t="s">
        <v>242</v>
      </c>
      <c r="I28" s="5" t="s">
        <v>243</v>
      </c>
      <c r="J28" s="6"/>
      <c r="K28" s="3">
        <v>2</v>
      </c>
      <c r="L28" s="7">
        <v>3</v>
      </c>
      <c r="M28" s="12">
        <v>3</v>
      </c>
      <c r="N28" s="13"/>
      <c r="O28" s="10"/>
      <c r="P28" s="11"/>
      <c r="Q28" s="2"/>
      <c r="R28" s="2"/>
      <c r="S28" s="39">
        <v>1</v>
      </c>
      <c r="T28" s="3">
        <v>0</v>
      </c>
      <c r="U28" s="2"/>
      <c r="V28" s="2"/>
      <c r="W28" s="12">
        <f t="shared" si="0"/>
        <v>45</v>
      </c>
      <c r="X28" s="13">
        <f t="shared" si="1"/>
        <v>0</v>
      </c>
      <c r="Y28" s="10">
        <f t="shared" si="2"/>
        <v>0</v>
      </c>
      <c r="Z28" s="11">
        <f t="shared" si="6"/>
        <v>0</v>
      </c>
      <c r="AA28" s="2">
        <f t="shared" si="4"/>
        <v>90</v>
      </c>
      <c r="AB28" s="2">
        <f t="shared" si="5"/>
        <v>15</v>
      </c>
      <c r="AC28" s="41"/>
      <c r="AD28" s="2">
        <v>1</v>
      </c>
      <c r="AE28" s="6"/>
      <c r="AF28" s="1"/>
      <c r="AG28" s="1"/>
      <c r="AH28" s="1"/>
      <c r="AI28" s="1"/>
      <c r="AJ28" s="1"/>
      <c r="AK28" s="1"/>
    </row>
    <row r="29" spans="1:37" x14ac:dyDescent="0.25">
      <c r="A29" s="2">
        <v>28</v>
      </c>
      <c r="B29" s="29" t="s">
        <v>239</v>
      </c>
      <c r="C29" s="3"/>
      <c r="D29" s="3"/>
      <c r="E29" s="3" t="s">
        <v>46</v>
      </c>
      <c r="F29" s="4"/>
      <c r="G29" s="4"/>
      <c r="H29" s="4" t="s">
        <v>160</v>
      </c>
      <c r="I29" s="5" t="s">
        <v>66</v>
      </c>
      <c r="J29" s="6"/>
      <c r="K29" s="3">
        <v>2</v>
      </c>
      <c r="L29" s="7">
        <v>3</v>
      </c>
      <c r="M29" s="12">
        <v>1</v>
      </c>
      <c r="N29" s="13">
        <v>2</v>
      </c>
      <c r="O29" s="10"/>
      <c r="P29" s="11"/>
      <c r="Q29" s="2" t="s">
        <v>11</v>
      </c>
      <c r="R29" s="2"/>
      <c r="S29" s="39">
        <v>1</v>
      </c>
      <c r="T29" s="3">
        <v>0</v>
      </c>
      <c r="U29" s="2" t="s">
        <v>199</v>
      </c>
      <c r="V29" s="2" t="s">
        <v>303</v>
      </c>
      <c r="W29" s="12">
        <f t="shared" si="0"/>
        <v>15</v>
      </c>
      <c r="X29" s="13">
        <f t="shared" si="1"/>
        <v>60</v>
      </c>
      <c r="Y29" s="10">
        <f t="shared" si="2"/>
        <v>0</v>
      </c>
      <c r="Z29" s="11">
        <f t="shared" si="6"/>
        <v>0</v>
      </c>
      <c r="AA29" s="2">
        <f t="shared" si="4"/>
        <v>60</v>
      </c>
      <c r="AB29" s="2">
        <f t="shared" si="5"/>
        <v>15</v>
      </c>
      <c r="AC29" s="41"/>
      <c r="AD29" s="2">
        <v>1</v>
      </c>
      <c r="AE29" s="6"/>
      <c r="AF29" s="1"/>
      <c r="AG29" s="1"/>
      <c r="AH29" s="1"/>
      <c r="AI29" s="1"/>
      <c r="AJ29" s="1"/>
      <c r="AK29" s="1"/>
    </row>
    <row r="30" spans="1:37" x14ac:dyDescent="0.25">
      <c r="A30" s="2">
        <v>29</v>
      </c>
      <c r="B30" s="29" t="s">
        <v>239</v>
      </c>
      <c r="C30" s="3"/>
      <c r="D30" s="3"/>
      <c r="E30" s="3" t="s">
        <v>46</v>
      </c>
      <c r="F30" s="4"/>
      <c r="G30" s="4"/>
      <c r="H30" s="4" t="s">
        <v>216</v>
      </c>
      <c r="I30" s="5" t="s">
        <v>42</v>
      </c>
      <c r="J30" s="6"/>
      <c r="K30" s="3">
        <v>2</v>
      </c>
      <c r="L30" s="7">
        <v>3</v>
      </c>
      <c r="M30" s="12">
        <v>3</v>
      </c>
      <c r="N30" s="13"/>
      <c r="O30" s="10"/>
      <c r="P30" s="11"/>
      <c r="Q30" s="2"/>
      <c r="R30" s="2"/>
      <c r="S30" s="39">
        <v>1</v>
      </c>
      <c r="T30" s="3">
        <v>0</v>
      </c>
      <c r="U30" s="2"/>
      <c r="V30" s="2"/>
      <c r="W30" s="12">
        <f t="shared" si="0"/>
        <v>45</v>
      </c>
      <c r="X30" s="13">
        <f t="shared" si="1"/>
        <v>0</v>
      </c>
      <c r="Y30" s="10">
        <f t="shared" si="2"/>
        <v>0</v>
      </c>
      <c r="Z30" s="11">
        <f t="shared" si="6"/>
        <v>0</v>
      </c>
      <c r="AA30" s="2">
        <f t="shared" si="4"/>
        <v>90</v>
      </c>
      <c r="AB30" s="2">
        <f t="shared" si="5"/>
        <v>15</v>
      </c>
      <c r="AC30" s="41"/>
      <c r="AD30" s="2">
        <v>1</v>
      </c>
      <c r="AE30" s="6"/>
      <c r="AF30" s="1"/>
      <c r="AG30" s="1"/>
      <c r="AH30" s="1"/>
      <c r="AI30" s="1"/>
      <c r="AJ30" s="1"/>
      <c r="AK30" s="1"/>
    </row>
    <row r="31" spans="1:37" x14ac:dyDescent="0.25">
      <c r="A31" s="2">
        <v>30</v>
      </c>
      <c r="B31" s="29" t="s">
        <v>239</v>
      </c>
      <c r="C31" s="3"/>
      <c r="D31" s="3"/>
      <c r="E31" s="3" t="s">
        <v>46</v>
      </c>
      <c r="F31" s="4"/>
      <c r="G31" s="4"/>
      <c r="H31" s="4" t="s">
        <v>206</v>
      </c>
      <c r="I31" s="5" t="s">
        <v>56</v>
      </c>
      <c r="J31" s="6"/>
      <c r="K31" s="3">
        <v>3</v>
      </c>
      <c r="L31" s="7">
        <v>2</v>
      </c>
      <c r="M31" s="12">
        <v>2</v>
      </c>
      <c r="N31" s="13"/>
      <c r="O31" s="10"/>
      <c r="P31" s="11"/>
      <c r="Q31" s="2"/>
      <c r="R31" s="2"/>
      <c r="S31" s="39">
        <v>1</v>
      </c>
      <c r="T31" s="3">
        <v>0</v>
      </c>
      <c r="U31" s="2" t="s">
        <v>212</v>
      </c>
      <c r="V31" s="2" t="s">
        <v>304</v>
      </c>
      <c r="W31" s="12">
        <f t="shared" si="0"/>
        <v>30</v>
      </c>
      <c r="X31" s="13">
        <f t="shared" si="1"/>
        <v>0</v>
      </c>
      <c r="Y31" s="10">
        <f t="shared" si="2"/>
        <v>0</v>
      </c>
      <c r="Z31" s="11">
        <f t="shared" si="6"/>
        <v>0</v>
      </c>
      <c r="AA31" s="2">
        <f t="shared" si="4"/>
        <v>60</v>
      </c>
      <c r="AB31" s="2">
        <f t="shared" si="5"/>
        <v>10</v>
      </c>
      <c r="AC31" s="41"/>
      <c r="AD31" s="2">
        <v>1</v>
      </c>
      <c r="AE31" s="6"/>
      <c r="AF31" s="1"/>
      <c r="AG31" s="1"/>
      <c r="AH31" s="1"/>
      <c r="AI31" s="1"/>
      <c r="AJ31" s="1"/>
      <c r="AK31" s="1"/>
    </row>
    <row r="32" spans="1:37" x14ac:dyDescent="0.25">
      <c r="A32" s="2">
        <v>31</v>
      </c>
      <c r="B32" s="29" t="s">
        <v>239</v>
      </c>
      <c r="C32" s="3"/>
      <c r="D32" s="3"/>
      <c r="E32" s="3" t="s">
        <v>46</v>
      </c>
      <c r="F32" s="4"/>
      <c r="G32" s="4"/>
      <c r="H32" s="4" t="s">
        <v>164</v>
      </c>
      <c r="I32" s="5" t="s">
        <v>76</v>
      </c>
      <c r="J32" s="6"/>
      <c r="K32" s="3">
        <v>3</v>
      </c>
      <c r="L32" s="7">
        <v>2</v>
      </c>
      <c r="M32" s="12">
        <v>1</v>
      </c>
      <c r="N32" s="13">
        <v>1</v>
      </c>
      <c r="O32" s="10"/>
      <c r="P32" s="11"/>
      <c r="Q32" s="2" t="s">
        <v>11</v>
      </c>
      <c r="R32" s="2"/>
      <c r="S32" s="39">
        <v>1</v>
      </c>
      <c r="T32" s="3">
        <v>0</v>
      </c>
      <c r="U32" s="2" t="s">
        <v>209</v>
      </c>
      <c r="V32" s="2" t="s">
        <v>303</v>
      </c>
      <c r="W32" s="12">
        <f t="shared" si="0"/>
        <v>15</v>
      </c>
      <c r="X32" s="13">
        <f t="shared" si="1"/>
        <v>30</v>
      </c>
      <c r="Y32" s="10">
        <f t="shared" si="2"/>
        <v>0</v>
      </c>
      <c r="Z32" s="11">
        <f t="shared" si="6"/>
        <v>0</v>
      </c>
      <c r="AA32" s="2">
        <f t="shared" si="4"/>
        <v>45</v>
      </c>
      <c r="AB32" s="2">
        <f t="shared" si="5"/>
        <v>10</v>
      </c>
      <c r="AC32" s="41"/>
      <c r="AD32" s="2">
        <v>1</v>
      </c>
      <c r="AE32" s="6"/>
      <c r="AF32" s="1"/>
      <c r="AG32" s="1"/>
      <c r="AH32" s="1"/>
      <c r="AI32" s="1"/>
      <c r="AJ32" s="1"/>
      <c r="AK32" s="1"/>
    </row>
    <row r="33" spans="1:37" x14ac:dyDescent="0.25">
      <c r="A33" s="2">
        <v>32</v>
      </c>
      <c r="B33" s="29" t="s">
        <v>239</v>
      </c>
      <c r="C33" s="3"/>
      <c r="D33" s="3"/>
      <c r="E33" s="3" t="s">
        <v>46</v>
      </c>
      <c r="F33" s="4"/>
      <c r="G33" s="4"/>
      <c r="H33" s="4" t="s">
        <v>249</v>
      </c>
      <c r="I33" s="5" t="s">
        <v>250</v>
      </c>
      <c r="J33" s="6"/>
      <c r="K33" s="3">
        <v>3</v>
      </c>
      <c r="L33" s="7">
        <v>2</v>
      </c>
      <c r="M33" s="12">
        <v>1</v>
      </c>
      <c r="N33" s="13">
        <v>1</v>
      </c>
      <c r="O33" s="10"/>
      <c r="P33" s="11"/>
      <c r="Q33" s="2" t="s">
        <v>11</v>
      </c>
      <c r="R33" s="2"/>
      <c r="S33" s="39">
        <v>1</v>
      </c>
      <c r="T33" s="3">
        <v>0</v>
      </c>
      <c r="U33" s="2"/>
      <c r="V33" s="2"/>
      <c r="W33" s="12">
        <f t="shared" si="0"/>
        <v>15</v>
      </c>
      <c r="X33" s="13">
        <f t="shared" si="1"/>
        <v>30</v>
      </c>
      <c r="Y33" s="10">
        <f t="shared" si="2"/>
        <v>0</v>
      </c>
      <c r="Z33" s="11">
        <f t="shared" si="6"/>
        <v>0</v>
      </c>
      <c r="AA33" s="2">
        <f t="shared" si="4"/>
        <v>45</v>
      </c>
      <c r="AB33" s="2">
        <f t="shared" si="5"/>
        <v>10</v>
      </c>
      <c r="AC33" s="41"/>
      <c r="AD33" s="2">
        <v>1</v>
      </c>
      <c r="AE33" s="6"/>
      <c r="AF33" s="1"/>
      <c r="AG33" s="1"/>
      <c r="AH33" s="1"/>
      <c r="AI33" s="1"/>
      <c r="AJ33" s="1"/>
      <c r="AK33" s="1"/>
    </row>
    <row r="34" spans="1:37" x14ac:dyDescent="0.25">
      <c r="A34" s="2">
        <v>33</v>
      </c>
      <c r="B34" s="29" t="s">
        <v>239</v>
      </c>
      <c r="C34" s="3"/>
      <c r="D34" s="3"/>
      <c r="E34" s="3" t="s">
        <v>46</v>
      </c>
      <c r="F34" s="4"/>
      <c r="G34" s="4"/>
      <c r="H34" s="4" t="s">
        <v>246</v>
      </c>
      <c r="I34" s="5" t="s">
        <v>247</v>
      </c>
      <c r="J34" s="6"/>
      <c r="K34" s="3">
        <v>4</v>
      </c>
      <c r="L34" s="7">
        <v>3</v>
      </c>
      <c r="M34" s="12">
        <v>2</v>
      </c>
      <c r="N34" s="13">
        <v>1</v>
      </c>
      <c r="O34" s="10"/>
      <c r="P34" s="11"/>
      <c r="Q34" s="2" t="s">
        <v>11</v>
      </c>
      <c r="R34" s="2"/>
      <c r="S34" s="39">
        <v>1</v>
      </c>
      <c r="T34" s="3">
        <v>0</v>
      </c>
      <c r="U34" s="2" t="s">
        <v>210</v>
      </c>
      <c r="V34" s="2" t="s">
        <v>303</v>
      </c>
      <c r="W34" s="12">
        <f t="shared" si="0"/>
        <v>30</v>
      </c>
      <c r="X34" s="13">
        <f t="shared" si="1"/>
        <v>30</v>
      </c>
      <c r="Y34" s="10">
        <f t="shared" si="2"/>
        <v>0</v>
      </c>
      <c r="Z34" s="11">
        <f t="shared" si="6"/>
        <v>0</v>
      </c>
      <c r="AA34" s="2">
        <f t="shared" si="4"/>
        <v>75</v>
      </c>
      <c r="AB34" s="2">
        <f t="shared" si="5"/>
        <v>15</v>
      </c>
      <c r="AC34" s="41"/>
      <c r="AD34" s="2">
        <v>1</v>
      </c>
      <c r="AE34" s="6"/>
      <c r="AF34" s="1"/>
      <c r="AG34" s="1"/>
      <c r="AH34" s="1"/>
      <c r="AI34" s="1"/>
      <c r="AJ34" s="1"/>
      <c r="AK34" s="1"/>
    </row>
    <row r="35" spans="1:37" x14ac:dyDescent="0.25">
      <c r="A35" s="2">
        <v>34</v>
      </c>
      <c r="B35" s="29" t="s">
        <v>239</v>
      </c>
      <c r="C35" s="3"/>
      <c r="D35" s="3"/>
      <c r="E35" s="3" t="s">
        <v>46</v>
      </c>
      <c r="F35" s="4"/>
      <c r="G35" s="4"/>
      <c r="H35" s="4" t="s">
        <v>253</v>
      </c>
      <c r="I35" s="5" t="s">
        <v>254</v>
      </c>
      <c r="J35" s="6"/>
      <c r="K35" s="3">
        <v>4</v>
      </c>
      <c r="L35" s="7">
        <v>3</v>
      </c>
      <c r="M35" s="12">
        <v>3</v>
      </c>
      <c r="N35" s="13"/>
      <c r="O35" s="10"/>
      <c r="P35" s="11"/>
      <c r="Q35" s="2"/>
      <c r="R35" s="2"/>
      <c r="S35" s="39">
        <v>1</v>
      </c>
      <c r="T35" s="3">
        <v>0</v>
      </c>
      <c r="U35" s="2" t="s">
        <v>146</v>
      </c>
      <c r="V35" s="2" t="s">
        <v>303</v>
      </c>
      <c r="W35" s="12">
        <f t="shared" si="0"/>
        <v>45</v>
      </c>
      <c r="X35" s="13">
        <f t="shared" si="1"/>
        <v>0</v>
      </c>
      <c r="Y35" s="10">
        <f t="shared" si="2"/>
        <v>0</v>
      </c>
      <c r="Z35" s="11">
        <f t="shared" si="6"/>
        <v>0</v>
      </c>
      <c r="AA35" s="2">
        <f t="shared" si="4"/>
        <v>90</v>
      </c>
      <c r="AB35" s="2">
        <f t="shared" si="5"/>
        <v>15</v>
      </c>
      <c r="AC35" s="41"/>
      <c r="AD35" s="2">
        <v>1</v>
      </c>
      <c r="AE35" s="6"/>
      <c r="AF35" s="1"/>
      <c r="AG35" s="1"/>
      <c r="AH35" s="1"/>
      <c r="AI35" s="1"/>
      <c r="AJ35" s="1"/>
      <c r="AK35" s="1"/>
    </row>
    <row r="36" spans="1:37" x14ac:dyDescent="0.25">
      <c r="A36" s="2">
        <v>35</v>
      </c>
      <c r="B36" s="29" t="s">
        <v>73</v>
      </c>
      <c r="C36" s="3"/>
      <c r="D36" s="3"/>
      <c r="E36" s="3" t="s">
        <v>74</v>
      </c>
      <c r="F36" s="4"/>
      <c r="G36" s="4"/>
      <c r="H36" s="4" t="s">
        <v>162</v>
      </c>
      <c r="I36" s="5" t="s">
        <v>163</v>
      </c>
      <c r="J36" s="6"/>
      <c r="K36" s="3">
        <v>3</v>
      </c>
      <c r="L36" s="7">
        <v>2</v>
      </c>
      <c r="M36" s="12"/>
      <c r="N36" s="13"/>
      <c r="O36" s="10"/>
      <c r="P36" s="11">
        <v>2</v>
      </c>
      <c r="Q36" s="2"/>
      <c r="R36" s="2"/>
      <c r="S36" s="39">
        <v>0</v>
      </c>
      <c r="T36" s="3">
        <v>0</v>
      </c>
      <c r="U36" s="2"/>
      <c r="V36" s="2"/>
      <c r="W36" s="12">
        <f t="shared" si="0"/>
        <v>0</v>
      </c>
      <c r="X36" s="13">
        <f t="shared" si="1"/>
        <v>0</v>
      </c>
      <c r="Y36" s="10">
        <f t="shared" si="2"/>
        <v>0</v>
      </c>
      <c r="Z36" s="11">
        <f t="shared" si="6"/>
        <v>90</v>
      </c>
      <c r="AA36" s="2">
        <f t="shared" si="4"/>
        <v>90</v>
      </c>
      <c r="AB36" s="2">
        <f t="shared" si="5"/>
        <v>10</v>
      </c>
      <c r="AC36" s="41"/>
      <c r="AD36" s="2">
        <v>1</v>
      </c>
      <c r="AE36" s="6"/>
      <c r="AF36" s="1"/>
      <c r="AG36" s="1"/>
      <c r="AH36" s="1"/>
      <c r="AI36" s="1"/>
      <c r="AJ36" s="1"/>
      <c r="AK36" s="1"/>
    </row>
    <row r="37" spans="1:37" x14ac:dyDescent="0.25">
      <c r="A37" s="2">
        <v>36</v>
      </c>
      <c r="B37" s="29" t="s">
        <v>73</v>
      </c>
      <c r="C37" s="3"/>
      <c r="D37" s="3"/>
      <c r="E37" s="3" t="s">
        <v>74</v>
      </c>
      <c r="F37" s="4"/>
      <c r="G37" s="4"/>
      <c r="H37" s="4" t="s">
        <v>305</v>
      </c>
      <c r="I37" s="5" t="s">
        <v>306</v>
      </c>
      <c r="J37" s="6"/>
      <c r="K37" s="3">
        <v>4</v>
      </c>
      <c r="L37" s="7">
        <v>3</v>
      </c>
      <c r="M37" s="12">
        <v>3</v>
      </c>
      <c r="N37" s="13"/>
      <c r="O37" s="10"/>
      <c r="P37" s="11"/>
      <c r="Q37" s="2"/>
      <c r="R37" s="2"/>
      <c r="S37" s="39">
        <v>0</v>
      </c>
      <c r="T37" s="3">
        <v>0</v>
      </c>
      <c r="U37" s="2" t="s">
        <v>205</v>
      </c>
      <c r="V37" s="2" t="s">
        <v>303</v>
      </c>
      <c r="W37" s="12">
        <f t="shared" si="0"/>
        <v>45</v>
      </c>
      <c r="X37" s="13">
        <f t="shared" si="1"/>
        <v>0</v>
      </c>
      <c r="Y37" s="10">
        <f t="shared" si="2"/>
        <v>0</v>
      </c>
      <c r="Z37" s="11">
        <f t="shared" si="6"/>
        <v>0</v>
      </c>
      <c r="AA37" s="2">
        <f t="shared" si="4"/>
        <v>90</v>
      </c>
      <c r="AB37" s="2">
        <f t="shared" si="5"/>
        <v>15</v>
      </c>
      <c r="AC37" s="41"/>
      <c r="AD37" s="2">
        <v>1</v>
      </c>
      <c r="AE37" s="6"/>
      <c r="AF37" s="1"/>
      <c r="AG37" s="1"/>
      <c r="AH37" s="1"/>
      <c r="AI37" s="1"/>
      <c r="AJ37" s="1"/>
      <c r="AK37" s="1"/>
    </row>
    <row r="38" spans="1:37" x14ac:dyDescent="0.25">
      <c r="A38" s="2">
        <v>37</v>
      </c>
      <c r="B38" s="29" t="s">
        <v>73</v>
      </c>
      <c r="C38" s="3"/>
      <c r="D38" s="3"/>
      <c r="E38" s="3" t="s">
        <v>74</v>
      </c>
      <c r="F38" s="4"/>
      <c r="G38" s="4"/>
      <c r="H38" s="4" t="s">
        <v>167</v>
      </c>
      <c r="I38" s="5" t="s">
        <v>86</v>
      </c>
      <c r="J38" s="6"/>
      <c r="K38" s="3">
        <v>4</v>
      </c>
      <c r="L38" s="7">
        <v>4</v>
      </c>
      <c r="M38" s="12">
        <v>4</v>
      </c>
      <c r="N38" s="13"/>
      <c r="O38" s="10"/>
      <c r="P38" s="11"/>
      <c r="Q38" s="2"/>
      <c r="R38" s="2"/>
      <c r="S38" s="39">
        <v>0</v>
      </c>
      <c r="T38" s="3">
        <v>0</v>
      </c>
      <c r="U38" s="2" t="s">
        <v>143</v>
      </c>
      <c r="V38" s="2" t="s">
        <v>124</v>
      </c>
      <c r="W38" s="12">
        <f t="shared" si="0"/>
        <v>60</v>
      </c>
      <c r="X38" s="13">
        <f t="shared" si="1"/>
        <v>0</v>
      </c>
      <c r="Y38" s="10">
        <f t="shared" si="2"/>
        <v>0</v>
      </c>
      <c r="Z38" s="11">
        <f t="shared" si="6"/>
        <v>0</v>
      </c>
      <c r="AA38" s="2">
        <f t="shared" si="4"/>
        <v>120</v>
      </c>
      <c r="AB38" s="2">
        <f t="shared" si="5"/>
        <v>20</v>
      </c>
      <c r="AC38" s="41"/>
      <c r="AD38" s="2">
        <v>1</v>
      </c>
      <c r="AE38" s="6"/>
      <c r="AF38" s="1"/>
      <c r="AG38" s="1"/>
      <c r="AH38" s="1"/>
      <c r="AI38" s="1"/>
      <c r="AJ38" s="1"/>
      <c r="AK38" s="1"/>
    </row>
    <row r="39" spans="1:37" x14ac:dyDescent="0.25">
      <c r="A39" s="2">
        <v>38</v>
      </c>
      <c r="B39" s="29" t="s">
        <v>73</v>
      </c>
      <c r="C39" s="3"/>
      <c r="D39" s="3"/>
      <c r="E39" s="3" t="s">
        <v>74</v>
      </c>
      <c r="F39" s="4"/>
      <c r="G39" s="4"/>
      <c r="H39" s="4" t="s">
        <v>165</v>
      </c>
      <c r="I39" s="5" t="s">
        <v>78</v>
      </c>
      <c r="J39" s="6"/>
      <c r="K39" s="3">
        <v>4</v>
      </c>
      <c r="L39" s="7">
        <v>3</v>
      </c>
      <c r="M39" s="12">
        <v>3</v>
      </c>
      <c r="N39" s="13"/>
      <c r="O39" s="10"/>
      <c r="P39" s="11"/>
      <c r="Q39" s="2"/>
      <c r="R39" s="2"/>
      <c r="S39" s="39">
        <v>0</v>
      </c>
      <c r="T39" s="3">
        <v>0</v>
      </c>
      <c r="U39" s="2" t="s">
        <v>146</v>
      </c>
      <c r="V39" s="2" t="s">
        <v>303</v>
      </c>
      <c r="W39" s="12">
        <f t="shared" si="0"/>
        <v>45</v>
      </c>
      <c r="X39" s="13">
        <f t="shared" si="1"/>
        <v>0</v>
      </c>
      <c r="Y39" s="10">
        <f t="shared" si="2"/>
        <v>0</v>
      </c>
      <c r="Z39" s="11">
        <f t="shared" si="6"/>
        <v>0</v>
      </c>
      <c r="AA39" s="2">
        <f t="shared" si="4"/>
        <v>90</v>
      </c>
      <c r="AB39" s="2">
        <f t="shared" si="5"/>
        <v>15</v>
      </c>
      <c r="AC39" s="41"/>
      <c r="AD39" s="2">
        <v>1</v>
      </c>
      <c r="AE39" s="6"/>
      <c r="AF39" s="1"/>
      <c r="AG39" s="1"/>
      <c r="AH39" s="1"/>
      <c r="AI39" s="1"/>
      <c r="AJ39" s="1"/>
      <c r="AK39" s="1"/>
    </row>
    <row r="40" spans="1:37" x14ac:dyDescent="0.25">
      <c r="A40" s="2">
        <v>39</v>
      </c>
      <c r="B40" s="29" t="s">
        <v>73</v>
      </c>
      <c r="C40" s="3"/>
      <c r="D40" s="3"/>
      <c r="E40" s="3" t="s">
        <v>74</v>
      </c>
      <c r="F40" s="4"/>
      <c r="G40" s="4"/>
      <c r="H40" s="4" t="s">
        <v>106</v>
      </c>
      <c r="I40" s="5" t="s">
        <v>107</v>
      </c>
      <c r="J40" s="6"/>
      <c r="K40" s="3">
        <v>4</v>
      </c>
      <c r="L40" s="7">
        <v>3</v>
      </c>
      <c r="M40" s="12">
        <v>3</v>
      </c>
      <c r="N40" s="13"/>
      <c r="O40" s="10"/>
      <c r="P40" s="11"/>
      <c r="Q40" s="2"/>
      <c r="R40" s="2"/>
      <c r="S40" s="39">
        <v>0</v>
      </c>
      <c r="T40" s="3">
        <v>0</v>
      </c>
      <c r="U40" s="2"/>
      <c r="V40" s="2"/>
      <c r="W40" s="12">
        <f t="shared" si="0"/>
        <v>45</v>
      </c>
      <c r="X40" s="13">
        <f t="shared" si="1"/>
        <v>0</v>
      </c>
      <c r="Y40" s="10">
        <f t="shared" si="2"/>
        <v>0</v>
      </c>
      <c r="Z40" s="11">
        <f t="shared" si="6"/>
        <v>0</v>
      </c>
      <c r="AA40" s="2">
        <f t="shared" si="4"/>
        <v>90</v>
      </c>
      <c r="AB40" s="2">
        <f t="shared" si="5"/>
        <v>15</v>
      </c>
      <c r="AC40" s="41"/>
      <c r="AD40" s="2">
        <v>1</v>
      </c>
      <c r="AE40" s="6"/>
      <c r="AF40" s="1"/>
      <c r="AG40" s="1"/>
      <c r="AH40" s="1"/>
      <c r="AI40" s="1"/>
      <c r="AJ40" s="1"/>
      <c r="AK40" s="1"/>
    </row>
    <row r="41" spans="1:37" x14ac:dyDescent="0.25">
      <c r="A41" s="2">
        <v>40</v>
      </c>
      <c r="B41" s="29" t="s">
        <v>73</v>
      </c>
      <c r="C41" s="3"/>
      <c r="D41" s="3"/>
      <c r="E41" s="3" t="s">
        <v>74</v>
      </c>
      <c r="F41" s="4"/>
      <c r="G41" s="4"/>
      <c r="H41" s="4" t="s">
        <v>87</v>
      </c>
      <c r="I41" s="5" t="s">
        <v>88</v>
      </c>
      <c r="J41" s="6"/>
      <c r="K41" s="3">
        <v>5</v>
      </c>
      <c r="L41" s="7">
        <v>4</v>
      </c>
      <c r="M41" s="12">
        <v>4</v>
      </c>
      <c r="N41" s="13"/>
      <c r="O41" s="10"/>
      <c r="P41" s="11"/>
      <c r="Q41" s="2"/>
      <c r="R41" s="2"/>
      <c r="S41" s="39">
        <v>0</v>
      </c>
      <c r="T41" s="3">
        <v>0</v>
      </c>
      <c r="U41" s="2" t="s">
        <v>167</v>
      </c>
      <c r="V41" s="2" t="s">
        <v>124</v>
      </c>
      <c r="W41" s="12">
        <f t="shared" si="0"/>
        <v>60</v>
      </c>
      <c r="X41" s="13">
        <f t="shared" si="1"/>
        <v>0</v>
      </c>
      <c r="Y41" s="10">
        <f t="shared" si="2"/>
        <v>0</v>
      </c>
      <c r="Z41" s="11">
        <f t="shared" si="6"/>
        <v>0</v>
      </c>
      <c r="AA41" s="2">
        <f t="shared" si="4"/>
        <v>120</v>
      </c>
      <c r="AB41" s="2">
        <f t="shared" si="5"/>
        <v>20</v>
      </c>
      <c r="AC41" s="41"/>
      <c r="AD41" s="2">
        <v>1</v>
      </c>
      <c r="AE41" s="6"/>
      <c r="AF41" s="1"/>
      <c r="AG41" s="1"/>
      <c r="AH41" s="1"/>
      <c r="AI41" s="1"/>
      <c r="AJ41" s="1"/>
      <c r="AK41" s="1"/>
    </row>
    <row r="42" spans="1:37" x14ac:dyDescent="0.25">
      <c r="A42" s="2">
        <v>41</v>
      </c>
      <c r="B42" s="29" t="s">
        <v>73</v>
      </c>
      <c r="C42" s="3"/>
      <c r="D42" s="3"/>
      <c r="E42" s="3" t="s">
        <v>74</v>
      </c>
      <c r="F42" s="4"/>
      <c r="G42" s="4"/>
      <c r="H42" s="4" t="s">
        <v>97</v>
      </c>
      <c r="I42" s="5" t="s">
        <v>98</v>
      </c>
      <c r="J42" s="6"/>
      <c r="K42" s="3">
        <v>5</v>
      </c>
      <c r="L42" s="7">
        <v>4</v>
      </c>
      <c r="M42" s="12">
        <v>4</v>
      </c>
      <c r="N42" s="13"/>
      <c r="O42" s="10"/>
      <c r="P42" s="11"/>
      <c r="Q42" s="2"/>
      <c r="R42" s="2"/>
      <c r="S42" s="39">
        <v>0</v>
      </c>
      <c r="T42" s="3">
        <v>0</v>
      </c>
      <c r="U42" s="2" t="s">
        <v>143</v>
      </c>
      <c r="V42" s="2" t="s">
        <v>303</v>
      </c>
      <c r="W42" s="12">
        <f t="shared" si="0"/>
        <v>60</v>
      </c>
      <c r="X42" s="13">
        <f t="shared" si="1"/>
        <v>0</v>
      </c>
      <c r="Y42" s="10">
        <f t="shared" si="2"/>
        <v>0</v>
      </c>
      <c r="Z42" s="11">
        <f t="shared" si="6"/>
        <v>0</v>
      </c>
      <c r="AA42" s="2">
        <f t="shared" si="4"/>
        <v>120</v>
      </c>
      <c r="AB42" s="2">
        <f t="shared" si="5"/>
        <v>20</v>
      </c>
      <c r="AC42" s="41"/>
      <c r="AD42" s="2">
        <v>1</v>
      </c>
      <c r="AE42" s="6"/>
      <c r="AF42" s="1"/>
      <c r="AG42" s="1"/>
      <c r="AH42" s="1"/>
      <c r="AI42" s="1"/>
      <c r="AJ42" s="1"/>
      <c r="AK42" s="1"/>
    </row>
    <row r="43" spans="1:37" x14ac:dyDescent="0.25">
      <c r="A43" s="2">
        <v>42</v>
      </c>
      <c r="B43" s="29" t="s">
        <v>73</v>
      </c>
      <c r="C43" s="3"/>
      <c r="D43" s="3"/>
      <c r="E43" s="3" t="s">
        <v>74</v>
      </c>
      <c r="F43" s="4"/>
      <c r="G43" s="4"/>
      <c r="H43" s="4" t="s">
        <v>171</v>
      </c>
      <c r="I43" s="5" t="s">
        <v>172</v>
      </c>
      <c r="J43" s="6"/>
      <c r="K43" s="3">
        <v>5</v>
      </c>
      <c r="L43" s="7">
        <v>3</v>
      </c>
      <c r="M43" s="12">
        <v>2</v>
      </c>
      <c r="N43" s="13">
        <v>1</v>
      </c>
      <c r="O43" s="10"/>
      <c r="P43" s="11"/>
      <c r="Q43" s="2" t="s">
        <v>11</v>
      </c>
      <c r="R43" s="2"/>
      <c r="S43" s="39">
        <v>0</v>
      </c>
      <c r="T43" s="3">
        <v>0</v>
      </c>
      <c r="U43" s="2"/>
      <c r="V43" s="2"/>
      <c r="W43" s="12">
        <f t="shared" si="0"/>
        <v>30</v>
      </c>
      <c r="X43" s="13">
        <f t="shared" si="1"/>
        <v>30</v>
      </c>
      <c r="Y43" s="10">
        <f t="shared" si="2"/>
        <v>0</v>
      </c>
      <c r="Z43" s="11">
        <f t="shared" si="6"/>
        <v>0</v>
      </c>
      <c r="AA43" s="2">
        <f t="shared" si="4"/>
        <v>75</v>
      </c>
      <c r="AB43" s="2">
        <f t="shared" si="5"/>
        <v>15</v>
      </c>
      <c r="AC43" s="41"/>
      <c r="AD43" s="2">
        <v>1</v>
      </c>
      <c r="AE43" s="6"/>
      <c r="AF43" s="1"/>
      <c r="AG43" s="1"/>
      <c r="AH43" s="1"/>
      <c r="AI43" s="1"/>
      <c r="AJ43" s="1"/>
      <c r="AK43" s="1"/>
    </row>
    <row r="44" spans="1:37" x14ac:dyDescent="0.25">
      <c r="A44" s="2">
        <v>43</v>
      </c>
      <c r="B44" s="29" t="s">
        <v>73</v>
      </c>
      <c r="C44" s="3"/>
      <c r="D44" s="3"/>
      <c r="E44" s="3" t="s">
        <v>74</v>
      </c>
      <c r="F44" s="4"/>
      <c r="G44" s="4"/>
      <c r="H44" s="4" t="s">
        <v>307</v>
      </c>
      <c r="I44" s="5" t="s">
        <v>181</v>
      </c>
      <c r="J44" s="6"/>
      <c r="K44" s="3">
        <v>5</v>
      </c>
      <c r="L44" s="7">
        <v>3</v>
      </c>
      <c r="M44" s="12"/>
      <c r="N44" s="13"/>
      <c r="O44" s="10"/>
      <c r="P44" s="11">
        <v>3</v>
      </c>
      <c r="Q44" s="2"/>
      <c r="R44" s="2"/>
      <c r="S44" s="39">
        <v>0</v>
      </c>
      <c r="T44" s="3">
        <v>0</v>
      </c>
      <c r="U44" s="2"/>
      <c r="V44" s="2"/>
      <c r="W44" s="12">
        <f t="shared" si="0"/>
        <v>0</v>
      </c>
      <c r="X44" s="13">
        <f t="shared" si="1"/>
        <v>0</v>
      </c>
      <c r="Y44" s="10">
        <f t="shared" si="2"/>
        <v>0</v>
      </c>
      <c r="Z44" s="11">
        <f t="shared" si="6"/>
        <v>135</v>
      </c>
      <c r="AA44" s="2">
        <f t="shared" si="4"/>
        <v>135</v>
      </c>
      <c r="AB44" s="2">
        <f t="shared" si="5"/>
        <v>15</v>
      </c>
      <c r="AC44" s="41"/>
      <c r="AD44" s="2">
        <v>1</v>
      </c>
      <c r="AE44" s="6"/>
      <c r="AF44" s="1"/>
      <c r="AG44" s="1"/>
      <c r="AH44" s="1"/>
      <c r="AI44" s="1"/>
      <c r="AJ44" s="1"/>
      <c r="AK44" s="1"/>
    </row>
    <row r="45" spans="1:37" x14ac:dyDescent="0.25">
      <c r="A45" s="2">
        <v>44</v>
      </c>
      <c r="B45" s="29" t="s">
        <v>73</v>
      </c>
      <c r="C45" s="3"/>
      <c r="D45" s="3"/>
      <c r="E45" s="3" t="s">
        <v>74</v>
      </c>
      <c r="F45" s="4"/>
      <c r="G45" s="4"/>
      <c r="H45" s="4" t="s">
        <v>308</v>
      </c>
      <c r="I45" s="5" t="s">
        <v>309</v>
      </c>
      <c r="J45" s="6"/>
      <c r="K45" s="3">
        <v>5</v>
      </c>
      <c r="L45" s="7">
        <v>3</v>
      </c>
      <c r="M45" s="12">
        <v>3</v>
      </c>
      <c r="N45" s="13"/>
      <c r="O45" s="10"/>
      <c r="P45" s="11"/>
      <c r="Q45" s="2"/>
      <c r="R45" s="2"/>
      <c r="S45" s="39">
        <v>0</v>
      </c>
      <c r="T45" s="3">
        <v>0</v>
      </c>
      <c r="U45" s="2" t="s">
        <v>305</v>
      </c>
      <c r="V45" s="2" t="s">
        <v>303</v>
      </c>
      <c r="W45" s="12">
        <f t="shared" si="0"/>
        <v>45</v>
      </c>
      <c r="X45" s="13">
        <f t="shared" si="1"/>
        <v>0</v>
      </c>
      <c r="Y45" s="10">
        <f t="shared" si="2"/>
        <v>0</v>
      </c>
      <c r="Z45" s="11">
        <f t="shared" si="6"/>
        <v>0</v>
      </c>
      <c r="AA45" s="2">
        <f t="shared" si="4"/>
        <v>90</v>
      </c>
      <c r="AB45" s="2">
        <f t="shared" si="5"/>
        <v>15</v>
      </c>
      <c r="AC45" s="41"/>
      <c r="AD45" s="2">
        <v>1</v>
      </c>
      <c r="AE45" s="6"/>
      <c r="AF45" s="1"/>
      <c r="AG45" s="1"/>
      <c r="AH45" s="1"/>
      <c r="AI45" s="1"/>
      <c r="AJ45" s="1"/>
      <c r="AK45" s="1"/>
    </row>
    <row r="46" spans="1:37" x14ac:dyDescent="0.25">
      <c r="A46" s="2">
        <v>45</v>
      </c>
      <c r="B46" s="29" t="s">
        <v>73</v>
      </c>
      <c r="C46" s="3"/>
      <c r="D46" s="3"/>
      <c r="E46" s="3" t="s">
        <v>74</v>
      </c>
      <c r="F46" s="4"/>
      <c r="G46" s="4"/>
      <c r="H46" s="4" t="s">
        <v>258</v>
      </c>
      <c r="I46" s="5" t="s">
        <v>259</v>
      </c>
      <c r="J46" s="6"/>
      <c r="K46" s="3">
        <v>6</v>
      </c>
      <c r="L46" s="7">
        <v>3</v>
      </c>
      <c r="M46" s="12">
        <v>3</v>
      </c>
      <c r="N46" s="13"/>
      <c r="O46" s="10"/>
      <c r="P46" s="11"/>
      <c r="Q46" s="2"/>
      <c r="R46" s="2"/>
      <c r="S46" s="39">
        <v>0</v>
      </c>
      <c r="T46" s="3">
        <v>0</v>
      </c>
      <c r="U46" s="2" t="s">
        <v>87</v>
      </c>
      <c r="V46" s="2" t="s">
        <v>303</v>
      </c>
      <c r="W46" s="12">
        <f t="shared" si="0"/>
        <v>45</v>
      </c>
      <c r="X46" s="13">
        <f t="shared" si="1"/>
        <v>0</v>
      </c>
      <c r="Y46" s="10">
        <f t="shared" si="2"/>
        <v>0</v>
      </c>
      <c r="Z46" s="11">
        <f t="shared" si="6"/>
        <v>0</v>
      </c>
      <c r="AA46" s="2">
        <f t="shared" si="4"/>
        <v>90</v>
      </c>
      <c r="AB46" s="2">
        <f t="shared" si="5"/>
        <v>15</v>
      </c>
      <c r="AC46" s="41"/>
      <c r="AD46" s="2">
        <v>1</v>
      </c>
      <c r="AE46" s="6"/>
      <c r="AF46" s="1"/>
      <c r="AG46" s="1"/>
      <c r="AH46" s="1"/>
      <c r="AI46" s="1"/>
      <c r="AJ46" s="1"/>
      <c r="AK46" s="1"/>
    </row>
    <row r="47" spans="1:37" x14ac:dyDescent="0.25">
      <c r="A47" s="2">
        <v>46</v>
      </c>
      <c r="B47" s="29" t="s">
        <v>73</v>
      </c>
      <c r="C47" s="3"/>
      <c r="D47" s="3"/>
      <c r="E47" s="3" t="s">
        <v>74</v>
      </c>
      <c r="F47" s="4"/>
      <c r="G47" s="4"/>
      <c r="H47" s="4" t="s">
        <v>95</v>
      </c>
      <c r="I47" s="5" t="s">
        <v>96</v>
      </c>
      <c r="J47" s="6"/>
      <c r="K47" s="3">
        <v>6</v>
      </c>
      <c r="L47" s="7">
        <v>3</v>
      </c>
      <c r="M47" s="12">
        <v>3</v>
      </c>
      <c r="N47" s="13"/>
      <c r="O47" s="10"/>
      <c r="P47" s="11"/>
      <c r="Q47" s="2"/>
      <c r="R47" s="2"/>
      <c r="S47" s="39">
        <v>0</v>
      </c>
      <c r="T47" s="3">
        <v>0</v>
      </c>
      <c r="U47" s="2" t="s">
        <v>214</v>
      </c>
      <c r="V47" s="2" t="s">
        <v>124</v>
      </c>
      <c r="W47" s="12">
        <f t="shared" si="0"/>
        <v>45</v>
      </c>
      <c r="X47" s="13">
        <f t="shared" si="1"/>
        <v>0</v>
      </c>
      <c r="Y47" s="10">
        <f t="shared" si="2"/>
        <v>0</v>
      </c>
      <c r="Z47" s="11">
        <f t="shared" si="6"/>
        <v>0</v>
      </c>
      <c r="AA47" s="2">
        <f t="shared" si="4"/>
        <v>90</v>
      </c>
      <c r="AB47" s="2">
        <f t="shared" si="5"/>
        <v>15</v>
      </c>
      <c r="AC47" s="41"/>
      <c r="AD47" s="2">
        <v>1</v>
      </c>
      <c r="AE47" s="6"/>
      <c r="AF47" s="1"/>
      <c r="AG47" s="1"/>
      <c r="AH47" s="1"/>
      <c r="AI47" s="1"/>
      <c r="AJ47" s="1"/>
      <c r="AK47" s="1"/>
    </row>
    <row r="48" spans="1:37" x14ac:dyDescent="0.25">
      <c r="A48" s="2">
        <v>47</v>
      </c>
      <c r="B48" s="29" t="s">
        <v>73</v>
      </c>
      <c r="C48" s="3"/>
      <c r="D48" s="3"/>
      <c r="E48" s="3" t="s">
        <v>74</v>
      </c>
      <c r="F48" s="4"/>
      <c r="G48" s="4"/>
      <c r="H48" s="4" t="s">
        <v>177</v>
      </c>
      <c r="I48" s="5" t="s">
        <v>178</v>
      </c>
      <c r="J48" s="6"/>
      <c r="K48" s="3">
        <v>6</v>
      </c>
      <c r="L48" s="7">
        <v>3</v>
      </c>
      <c r="M48" s="12">
        <v>1</v>
      </c>
      <c r="N48" s="13">
        <v>2</v>
      </c>
      <c r="O48" s="10"/>
      <c r="P48" s="11"/>
      <c r="Q48" s="2" t="s">
        <v>11</v>
      </c>
      <c r="R48" s="2"/>
      <c r="S48" s="39">
        <v>0</v>
      </c>
      <c r="T48" s="3">
        <v>0</v>
      </c>
      <c r="U48" s="2" t="s">
        <v>87</v>
      </c>
      <c r="V48" s="2" t="s">
        <v>303</v>
      </c>
      <c r="W48" s="12">
        <f t="shared" si="0"/>
        <v>15</v>
      </c>
      <c r="X48" s="13">
        <f t="shared" si="1"/>
        <v>60</v>
      </c>
      <c r="Y48" s="10">
        <f t="shared" si="2"/>
        <v>0</v>
      </c>
      <c r="Z48" s="11">
        <f t="shared" si="6"/>
        <v>0</v>
      </c>
      <c r="AA48" s="2">
        <f t="shared" si="4"/>
        <v>60</v>
      </c>
      <c r="AB48" s="2">
        <f t="shared" si="5"/>
        <v>15</v>
      </c>
      <c r="AC48" s="41"/>
      <c r="AD48" s="2">
        <v>1</v>
      </c>
      <c r="AE48" s="6"/>
      <c r="AF48" s="1"/>
      <c r="AG48" s="1"/>
      <c r="AH48" s="1"/>
      <c r="AI48" s="1"/>
      <c r="AJ48" s="1"/>
      <c r="AK48" s="1"/>
    </row>
    <row r="49" spans="1:37" s="40" customFormat="1" x14ac:dyDescent="0.25">
      <c r="A49" s="2">
        <v>48</v>
      </c>
      <c r="B49" s="42" t="s">
        <v>263</v>
      </c>
      <c r="C49" s="39" t="s">
        <v>264</v>
      </c>
      <c r="D49" s="39" t="s">
        <v>265</v>
      </c>
      <c r="E49" s="39" t="s">
        <v>74</v>
      </c>
      <c r="F49" s="43"/>
      <c r="G49" s="43"/>
      <c r="H49" s="43" t="s">
        <v>168</v>
      </c>
      <c r="I49" s="44" t="s">
        <v>169</v>
      </c>
      <c r="J49" s="45"/>
      <c r="K49" s="39">
        <v>4</v>
      </c>
      <c r="L49" s="46">
        <v>3</v>
      </c>
      <c r="M49" s="47">
        <v>3</v>
      </c>
      <c r="N49" s="48"/>
      <c r="O49" s="49"/>
      <c r="P49" s="50"/>
      <c r="Q49" s="41"/>
      <c r="R49" s="41"/>
      <c r="S49" s="39">
        <v>1</v>
      </c>
      <c r="T49" s="39">
        <v>0</v>
      </c>
      <c r="U49" s="41" t="s">
        <v>143</v>
      </c>
      <c r="V49" s="41" t="s">
        <v>303</v>
      </c>
      <c r="W49" s="47">
        <f t="shared" si="0"/>
        <v>45</v>
      </c>
      <c r="X49" s="48">
        <f t="shared" si="1"/>
        <v>0</v>
      </c>
      <c r="Y49" s="49">
        <f t="shared" si="2"/>
        <v>0</v>
      </c>
      <c r="Z49" s="50">
        <f t="shared" si="6"/>
        <v>0</v>
      </c>
      <c r="AA49" s="41">
        <f t="shared" si="4"/>
        <v>90</v>
      </c>
      <c r="AB49" s="41">
        <f t="shared" si="5"/>
        <v>15</v>
      </c>
      <c r="AC49" s="41"/>
      <c r="AD49" s="41">
        <v>1</v>
      </c>
      <c r="AE49" s="45"/>
      <c r="AF49" s="51"/>
      <c r="AG49" s="51"/>
      <c r="AH49" s="51"/>
      <c r="AI49" s="51"/>
      <c r="AJ49" s="51"/>
      <c r="AK49" s="51"/>
    </row>
    <row r="50" spans="1:37" s="40" customFormat="1" x14ac:dyDescent="0.25">
      <c r="A50" s="2">
        <v>49</v>
      </c>
      <c r="B50" s="42" t="s">
        <v>263</v>
      </c>
      <c r="C50" s="39" t="s">
        <v>264</v>
      </c>
      <c r="D50" s="39" t="s">
        <v>265</v>
      </c>
      <c r="E50" s="39" t="s">
        <v>74</v>
      </c>
      <c r="F50" s="43"/>
      <c r="G50" s="43"/>
      <c r="H50" s="43" t="s">
        <v>196</v>
      </c>
      <c r="I50" s="44" t="s">
        <v>113</v>
      </c>
      <c r="J50" s="45"/>
      <c r="K50" s="39">
        <v>6</v>
      </c>
      <c r="L50" s="46">
        <v>3</v>
      </c>
      <c r="M50" s="47">
        <v>3</v>
      </c>
      <c r="N50" s="48"/>
      <c r="O50" s="49"/>
      <c r="P50" s="50"/>
      <c r="Q50" s="41"/>
      <c r="R50" s="41"/>
      <c r="S50" s="39">
        <v>1</v>
      </c>
      <c r="T50" s="39">
        <v>0</v>
      </c>
      <c r="U50" s="41"/>
      <c r="V50" s="41"/>
      <c r="W50" s="47">
        <f t="shared" si="0"/>
        <v>45</v>
      </c>
      <c r="X50" s="48">
        <f t="shared" si="1"/>
        <v>0</v>
      </c>
      <c r="Y50" s="49">
        <f t="shared" si="2"/>
        <v>0</v>
      </c>
      <c r="Z50" s="50">
        <f t="shared" si="6"/>
        <v>0</v>
      </c>
      <c r="AA50" s="41">
        <f t="shared" si="4"/>
        <v>90</v>
      </c>
      <c r="AB50" s="41">
        <f t="shared" si="5"/>
        <v>15</v>
      </c>
      <c r="AC50" s="41"/>
      <c r="AD50" s="41">
        <v>1</v>
      </c>
      <c r="AE50" s="45"/>
      <c r="AF50" s="51"/>
      <c r="AG50" s="51"/>
      <c r="AH50" s="51"/>
      <c r="AI50" s="51"/>
      <c r="AJ50" s="51"/>
      <c r="AK50" s="51"/>
    </row>
    <row r="51" spans="1:37" s="40" customFormat="1" x14ac:dyDescent="0.25">
      <c r="A51" s="2">
        <v>50</v>
      </c>
      <c r="B51" s="42" t="s">
        <v>263</v>
      </c>
      <c r="C51" s="39" t="s">
        <v>264</v>
      </c>
      <c r="D51" s="39" t="s">
        <v>265</v>
      </c>
      <c r="E51" s="39" t="s">
        <v>74</v>
      </c>
      <c r="F51" s="43"/>
      <c r="G51" s="43"/>
      <c r="H51" s="43" t="s">
        <v>101</v>
      </c>
      <c r="I51" s="44" t="s">
        <v>102</v>
      </c>
      <c r="J51" s="45"/>
      <c r="K51" s="39">
        <v>6</v>
      </c>
      <c r="L51" s="46">
        <v>3</v>
      </c>
      <c r="M51" s="47">
        <v>3</v>
      </c>
      <c r="N51" s="48"/>
      <c r="O51" s="49"/>
      <c r="P51" s="50"/>
      <c r="Q51" s="41"/>
      <c r="R51" s="41"/>
      <c r="S51" s="39">
        <v>1</v>
      </c>
      <c r="T51" s="39">
        <v>0</v>
      </c>
      <c r="U51" s="41"/>
      <c r="V51" s="41"/>
      <c r="W51" s="47">
        <f t="shared" si="0"/>
        <v>45</v>
      </c>
      <c r="X51" s="48">
        <f t="shared" si="1"/>
        <v>0</v>
      </c>
      <c r="Y51" s="49">
        <f t="shared" si="2"/>
        <v>0</v>
      </c>
      <c r="Z51" s="50">
        <f t="shared" si="6"/>
        <v>0</v>
      </c>
      <c r="AA51" s="41">
        <f t="shared" si="4"/>
        <v>90</v>
      </c>
      <c r="AB51" s="41">
        <f t="shared" si="5"/>
        <v>15</v>
      </c>
      <c r="AC51" s="41"/>
      <c r="AD51" s="41">
        <v>1</v>
      </c>
      <c r="AE51" s="45"/>
      <c r="AF51" s="51"/>
      <c r="AG51" s="51"/>
      <c r="AH51" s="51"/>
      <c r="AI51" s="51"/>
      <c r="AJ51" s="51"/>
      <c r="AK51" s="51"/>
    </row>
    <row r="52" spans="1:37" s="40" customFormat="1" x14ac:dyDescent="0.25">
      <c r="A52" s="2">
        <v>51</v>
      </c>
      <c r="B52" s="42" t="s">
        <v>263</v>
      </c>
      <c r="C52" s="39" t="s">
        <v>264</v>
      </c>
      <c r="D52" s="39" t="s">
        <v>265</v>
      </c>
      <c r="E52" s="39" t="s">
        <v>74</v>
      </c>
      <c r="F52" s="43"/>
      <c r="G52" s="43"/>
      <c r="H52" s="43" t="s">
        <v>287</v>
      </c>
      <c r="I52" s="44" t="s">
        <v>288</v>
      </c>
      <c r="J52" s="45"/>
      <c r="K52" s="39">
        <v>6</v>
      </c>
      <c r="L52" s="46">
        <v>3</v>
      </c>
      <c r="M52" s="47">
        <v>3</v>
      </c>
      <c r="N52" s="48"/>
      <c r="O52" s="49"/>
      <c r="P52" s="50"/>
      <c r="Q52" s="41"/>
      <c r="R52" s="41"/>
      <c r="S52" s="39">
        <v>1</v>
      </c>
      <c r="T52" s="39">
        <v>0</v>
      </c>
      <c r="U52" s="41"/>
      <c r="V52" s="41"/>
      <c r="W52" s="47">
        <f t="shared" si="0"/>
        <v>45</v>
      </c>
      <c r="X52" s="48">
        <f t="shared" si="1"/>
        <v>0</v>
      </c>
      <c r="Y52" s="49">
        <f t="shared" si="2"/>
        <v>0</v>
      </c>
      <c r="Z52" s="50">
        <f t="shared" si="6"/>
        <v>0</v>
      </c>
      <c r="AA52" s="41">
        <f t="shared" si="4"/>
        <v>90</v>
      </c>
      <c r="AB52" s="41">
        <f t="shared" si="5"/>
        <v>15</v>
      </c>
      <c r="AC52" s="41"/>
      <c r="AD52" s="41">
        <v>1</v>
      </c>
      <c r="AE52" s="45"/>
      <c r="AF52" s="51"/>
      <c r="AG52" s="51"/>
      <c r="AH52" s="51"/>
      <c r="AI52" s="51"/>
      <c r="AJ52" s="51"/>
      <c r="AK52" s="51"/>
    </row>
    <row r="53" spans="1:37" s="40" customFormat="1" x14ac:dyDescent="0.25">
      <c r="A53" s="2">
        <v>52</v>
      </c>
      <c r="B53" s="42" t="s">
        <v>263</v>
      </c>
      <c r="C53" s="39" t="s">
        <v>264</v>
      </c>
      <c r="D53" s="39" t="s">
        <v>265</v>
      </c>
      <c r="E53" s="39" t="s">
        <v>74</v>
      </c>
      <c r="F53" s="43"/>
      <c r="G53" s="43"/>
      <c r="H53" s="43" t="s">
        <v>266</v>
      </c>
      <c r="I53" s="44" t="s">
        <v>267</v>
      </c>
      <c r="J53" s="45"/>
      <c r="K53" s="39">
        <v>6</v>
      </c>
      <c r="L53" s="46">
        <v>3</v>
      </c>
      <c r="M53" s="47">
        <v>3</v>
      </c>
      <c r="N53" s="48"/>
      <c r="O53" s="49"/>
      <c r="P53" s="50"/>
      <c r="Q53" s="41"/>
      <c r="R53" s="41"/>
      <c r="S53" s="39">
        <v>1</v>
      </c>
      <c r="T53" s="39">
        <v>0</v>
      </c>
      <c r="U53" s="41" t="s">
        <v>97</v>
      </c>
      <c r="V53" s="41" t="s">
        <v>303</v>
      </c>
      <c r="W53" s="47">
        <f t="shared" si="0"/>
        <v>45</v>
      </c>
      <c r="X53" s="48">
        <f t="shared" si="1"/>
        <v>0</v>
      </c>
      <c r="Y53" s="49">
        <f t="shared" si="2"/>
        <v>0</v>
      </c>
      <c r="Z53" s="50">
        <f t="shared" si="6"/>
        <v>0</v>
      </c>
      <c r="AA53" s="41">
        <f t="shared" si="4"/>
        <v>90</v>
      </c>
      <c r="AB53" s="41">
        <f t="shared" si="5"/>
        <v>15</v>
      </c>
      <c r="AC53" s="41"/>
      <c r="AD53" s="41">
        <v>1</v>
      </c>
      <c r="AE53" s="45"/>
      <c r="AF53" s="51"/>
      <c r="AG53" s="51"/>
      <c r="AH53" s="51"/>
      <c r="AI53" s="51"/>
      <c r="AJ53" s="51"/>
      <c r="AK53" s="51"/>
    </row>
    <row r="54" spans="1:37" s="40" customFormat="1" x14ac:dyDescent="0.25">
      <c r="A54" s="2">
        <v>53</v>
      </c>
      <c r="B54" s="42" t="s">
        <v>263</v>
      </c>
      <c r="C54" s="39" t="s">
        <v>264</v>
      </c>
      <c r="D54" s="39" t="s">
        <v>265</v>
      </c>
      <c r="E54" s="39" t="s">
        <v>74</v>
      </c>
      <c r="F54" s="43"/>
      <c r="G54" s="43"/>
      <c r="H54" s="43" t="s">
        <v>174</v>
      </c>
      <c r="I54" s="44" t="s">
        <v>300</v>
      </c>
      <c r="J54" s="45"/>
      <c r="K54" s="39">
        <v>6</v>
      </c>
      <c r="L54" s="46">
        <v>3</v>
      </c>
      <c r="M54" s="47">
        <v>1</v>
      </c>
      <c r="N54" s="48">
        <v>2</v>
      </c>
      <c r="O54" s="49"/>
      <c r="P54" s="50"/>
      <c r="Q54" s="41" t="s">
        <v>11</v>
      </c>
      <c r="R54" s="41"/>
      <c r="S54" s="39">
        <v>1</v>
      </c>
      <c r="T54" s="39">
        <v>0</v>
      </c>
      <c r="U54" s="41" t="s">
        <v>87</v>
      </c>
      <c r="V54" s="41" t="s">
        <v>303</v>
      </c>
      <c r="W54" s="47">
        <f t="shared" si="0"/>
        <v>15</v>
      </c>
      <c r="X54" s="48">
        <f t="shared" si="1"/>
        <v>60</v>
      </c>
      <c r="Y54" s="49">
        <f t="shared" si="2"/>
        <v>0</v>
      </c>
      <c r="Z54" s="50">
        <f t="shared" si="6"/>
        <v>0</v>
      </c>
      <c r="AA54" s="41">
        <f t="shared" si="4"/>
        <v>60</v>
      </c>
      <c r="AB54" s="41">
        <f t="shared" si="5"/>
        <v>15</v>
      </c>
      <c r="AC54" s="41"/>
      <c r="AD54" s="41">
        <v>1</v>
      </c>
      <c r="AE54" s="45"/>
      <c r="AF54" s="51"/>
      <c r="AG54" s="51"/>
      <c r="AH54" s="51"/>
      <c r="AI54" s="51"/>
      <c r="AJ54" s="51"/>
      <c r="AK54" s="51"/>
    </row>
    <row r="55" spans="1:37" s="40" customFormat="1" x14ac:dyDescent="0.25">
      <c r="A55" s="2">
        <v>54</v>
      </c>
      <c r="B55" s="42" t="s">
        <v>263</v>
      </c>
      <c r="C55" s="39" t="s">
        <v>264</v>
      </c>
      <c r="D55" s="39" t="s">
        <v>265</v>
      </c>
      <c r="E55" s="39" t="s">
        <v>74</v>
      </c>
      <c r="F55" s="43"/>
      <c r="G55" s="43"/>
      <c r="H55" s="43" t="s">
        <v>285</v>
      </c>
      <c r="I55" s="44" t="s">
        <v>286</v>
      </c>
      <c r="J55" s="45"/>
      <c r="K55" s="39">
        <v>6</v>
      </c>
      <c r="L55" s="46">
        <v>3</v>
      </c>
      <c r="M55" s="47">
        <v>3</v>
      </c>
      <c r="N55" s="48"/>
      <c r="O55" s="49"/>
      <c r="P55" s="50"/>
      <c r="Q55" s="41"/>
      <c r="R55" s="41"/>
      <c r="S55" s="39">
        <v>1</v>
      </c>
      <c r="T55" s="39">
        <v>0</v>
      </c>
      <c r="U55" s="41" t="s">
        <v>87</v>
      </c>
      <c r="V55" s="41" t="s">
        <v>303</v>
      </c>
      <c r="W55" s="47">
        <f t="shared" si="0"/>
        <v>45</v>
      </c>
      <c r="X55" s="48">
        <f t="shared" si="1"/>
        <v>0</v>
      </c>
      <c r="Y55" s="49">
        <f t="shared" si="2"/>
        <v>0</v>
      </c>
      <c r="Z55" s="50">
        <f t="shared" si="6"/>
        <v>0</v>
      </c>
      <c r="AA55" s="41">
        <f t="shared" si="4"/>
        <v>90</v>
      </c>
      <c r="AB55" s="41">
        <f t="shared" si="5"/>
        <v>15</v>
      </c>
      <c r="AC55" s="41"/>
      <c r="AD55" s="41">
        <v>1</v>
      </c>
      <c r="AE55" s="45"/>
      <c r="AF55" s="51"/>
      <c r="AG55" s="51"/>
      <c r="AH55" s="51"/>
      <c r="AI55" s="51"/>
      <c r="AJ55" s="51"/>
      <c r="AK55" s="51"/>
    </row>
    <row r="56" spans="1:37" s="40" customFormat="1" x14ac:dyDescent="0.25">
      <c r="A56" s="2">
        <v>55</v>
      </c>
      <c r="B56" s="42" t="s">
        <v>263</v>
      </c>
      <c r="C56" s="39" t="s">
        <v>264</v>
      </c>
      <c r="D56" s="39" t="s">
        <v>265</v>
      </c>
      <c r="E56" s="39" t="s">
        <v>74</v>
      </c>
      <c r="F56" s="43"/>
      <c r="G56" s="43"/>
      <c r="H56" s="43" t="s">
        <v>104</v>
      </c>
      <c r="I56" s="44" t="s">
        <v>105</v>
      </c>
      <c r="J56" s="45"/>
      <c r="K56" s="39">
        <v>6</v>
      </c>
      <c r="L56" s="46">
        <v>3</v>
      </c>
      <c r="M56" s="47">
        <v>3</v>
      </c>
      <c r="N56" s="48"/>
      <c r="O56" s="49"/>
      <c r="P56" s="50"/>
      <c r="Q56" s="41"/>
      <c r="R56" s="41"/>
      <c r="S56" s="39">
        <v>1</v>
      </c>
      <c r="T56" s="39">
        <v>0</v>
      </c>
      <c r="U56" s="41" t="s">
        <v>87</v>
      </c>
      <c r="V56" s="41" t="s">
        <v>303</v>
      </c>
      <c r="W56" s="47">
        <f t="shared" si="0"/>
        <v>45</v>
      </c>
      <c r="X56" s="48">
        <f t="shared" si="1"/>
        <v>0</v>
      </c>
      <c r="Y56" s="49">
        <f t="shared" si="2"/>
        <v>0</v>
      </c>
      <c r="Z56" s="50">
        <f t="shared" si="6"/>
        <v>0</v>
      </c>
      <c r="AA56" s="41">
        <f t="shared" si="4"/>
        <v>90</v>
      </c>
      <c r="AB56" s="41">
        <f t="shared" si="5"/>
        <v>15</v>
      </c>
      <c r="AC56" s="41"/>
      <c r="AD56" s="41">
        <v>1</v>
      </c>
      <c r="AE56" s="45"/>
      <c r="AF56" s="51"/>
      <c r="AG56" s="51"/>
      <c r="AH56" s="51"/>
      <c r="AI56" s="51"/>
      <c r="AJ56" s="51"/>
      <c r="AK56" s="51"/>
    </row>
    <row r="57" spans="1:37" s="64" customFormat="1" x14ac:dyDescent="0.25">
      <c r="A57" s="2">
        <v>56</v>
      </c>
      <c r="B57" s="53" t="s">
        <v>272</v>
      </c>
      <c r="C57" s="54" t="s">
        <v>273</v>
      </c>
      <c r="D57" s="54" t="s">
        <v>274</v>
      </c>
      <c r="E57" s="54" t="s">
        <v>74</v>
      </c>
      <c r="F57" s="55"/>
      <c r="G57" s="55"/>
      <c r="H57" s="55" t="s">
        <v>168</v>
      </c>
      <c r="I57" s="56" t="s">
        <v>169</v>
      </c>
      <c r="J57" s="57"/>
      <c r="K57" s="54">
        <v>4</v>
      </c>
      <c r="L57" s="58">
        <v>3</v>
      </c>
      <c r="M57" s="59">
        <v>3</v>
      </c>
      <c r="N57" s="60"/>
      <c r="O57" s="61"/>
      <c r="P57" s="62"/>
      <c r="Q57" s="52"/>
      <c r="R57" s="52"/>
      <c r="S57" s="54">
        <v>1</v>
      </c>
      <c r="T57" s="54">
        <v>0</v>
      </c>
      <c r="U57" s="52" t="s">
        <v>143</v>
      </c>
      <c r="V57" s="52" t="s">
        <v>303</v>
      </c>
      <c r="W57" s="59">
        <f t="shared" si="0"/>
        <v>45</v>
      </c>
      <c r="X57" s="60">
        <f t="shared" si="1"/>
        <v>0</v>
      </c>
      <c r="Y57" s="61">
        <f t="shared" si="2"/>
        <v>0</v>
      </c>
      <c r="Z57" s="62">
        <f t="shared" si="6"/>
        <v>0</v>
      </c>
      <c r="AA57" s="52">
        <f t="shared" si="4"/>
        <v>90</v>
      </c>
      <c r="AB57" s="52">
        <f t="shared" si="5"/>
        <v>15</v>
      </c>
      <c r="AC57" s="52"/>
      <c r="AD57" s="52">
        <v>1</v>
      </c>
      <c r="AE57" s="57"/>
      <c r="AF57" s="63"/>
      <c r="AG57" s="63"/>
      <c r="AH57" s="63"/>
      <c r="AI57" s="63"/>
      <c r="AJ57" s="63"/>
      <c r="AK57" s="63"/>
    </row>
    <row r="58" spans="1:37" s="64" customFormat="1" x14ac:dyDescent="0.25">
      <c r="A58" s="2">
        <v>57</v>
      </c>
      <c r="B58" s="53" t="s">
        <v>272</v>
      </c>
      <c r="C58" s="54" t="s">
        <v>273</v>
      </c>
      <c r="D58" s="54" t="s">
        <v>274</v>
      </c>
      <c r="E58" s="54" t="s">
        <v>74</v>
      </c>
      <c r="F58" s="55"/>
      <c r="G58" s="55"/>
      <c r="H58" s="55" t="s">
        <v>196</v>
      </c>
      <c r="I58" s="56" t="s">
        <v>113</v>
      </c>
      <c r="J58" s="57"/>
      <c r="K58" s="54">
        <v>6</v>
      </c>
      <c r="L58" s="58">
        <v>3</v>
      </c>
      <c r="M58" s="59">
        <v>3</v>
      </c>
      <c r="N58" s="60"/>
      <c r="O58" s="61"/>
      <c r="P58" s="62"/>
      <c r="Q58" s="52"/>
      <c r="R58" s="52"/>
      <c r="S58" s="54">
        <v>1</v>
      </c>
      <c r="T58" s="54">
        <v>0</v>
      </c>
      <c r="U58" s="52"/>
      <c r="V58" s="52"/>
      <c r="W58" s="59">
        <f t="shared" si="0"/>
        <v>45</v>
      </c>
      <c r="X58" s="60">
        <f t="shared" si="1"/>
        <v>0</v>
      </c>
      <c r="Y58" s="61">
        <f t="shared" si="2"/>
        <v>0</v>
      </c>
      <c r="Z58" s="62">
        <f t="shared" si="6"/>
        <v>0</v>
      </c>
      <c r="AA58" s="52">
        <f t="shared" si="4"/>
        <v>90</v>
      </c>
      <c r="AB58" s="52">
        <f t="shared" si="5"/>
        <v>15</v>
      </c>
      <c r="AC58" s="52"/>
      <c r="AD58" s="52">
        <v>1</v>
      </c>
      <c r="AE58" s="57"/>
      <c r="AF58" s="63"/>
      <c r="AG58" s="63"/>
      <c r="AH58" s="63"/>
      <c r="AI58" s="63"/>
      <c r="AJ58" s="63"/>
      <c r="AK58" s="63"/>
    </row>
    <row r="59" spans="1:37" s="64" customFormat="1" x14ac:dyDescent="0.25">
      <c r="A59" s="2">
        <v>58</v>
      </c>
      <c r="B59" s="53" t="s">
        <v>272</v>
      </c>
      <c r="C59" s="54" t="s">
        <v>273</v>
      </c>
      <c r="D59" s="54" t="s">
        <v>274</v>
      </c>
      <c r="E59" s="54" t="s">
        <v>74</v>
      </c>
      <c r="F59" s="55"/>
      <c r="G59" s="55"/>
      <c r="H59" s="55" t="s">
        <v>101</v>
      </c>
      <c r="I59" s="56" t="s">
        <v>102</v>
      </c>
      <c r="J59" s="57"/>
      <c r="K59" s="54">
        <v>6</v>
      </c>
      <c r="L59" s="58">
        <v>3</v>
      </c>
      <c r="M59" s="59">
        <v>3</v>
      </c>
      <c r="N59" s="60"/>
      <c r="O59" s="61"/>
      <c r="P59" s="62"/>
      <c r="Q59" s="52"/>
      <c r="R59" s="52"/>
      <c r="S59" s="54">
        <v>1</v>
      </c>
      <c r="T59" s="54">
        <v>0</v>
      </c>
      <c r="U59" s="52"/>
      <c r="V59" s="52"/>
      <c r="W59" s="59">
        <f t="shared" si="0"/>
        <v>45</v>
      </c>
      <c r="X59" s="60">
        <f t="shared" si="1"/>
        <v>0</v>
      </c>
      <c r="Y59" s="61">
        <f t="shared" si="2"/>
        <v>0</v>
      </c>
      <c r="Z59" s="62">
        <f t="shared" si="6"/>
        <v>0</v>
      </c>
      <c r="AA59" s="52">
        <f t="shared" si="4"/>
        <v>90</v>
      </c>
      <c r="AB59" s="52">
        <f t="shared" si="5"/>
        <v>15</v>
      </c>
      <c r="AC59" s="52"/>
      <c r="AD59" s="52">
        <v>1</v>
      </c>
      <c r="AE59" s="57"/>
      <c r="AF59" s="63"/>
      <c r="AG59" s="63"/>
      <c r="AH59" s="63"/>
      <c r="AI59" s="63"/>
      <c r="AJ59" s="63"/>
      <c r="AK59" s="63"/>
    </row>
    <row r="60" spans="1:37" s="64" customFormat="1" x14ac:dyDescent="0.25">
      <c r="A60" s="2">
        <v>59</v>
      </c>
      <c r="B60" s="53" t="s">
        <v>272</v>
      </c>
      <c r="C60" s="54" t="s">
        <v>273</v>
      </c>
      <c r="D60" s="54" t="s">
        <v>274</v>
      </c>
      <c r="E60" s="54" t="s">
        <v>74</v>
      </c>
      <c r="F60" s="55"/>
      <c r="G60" s="55"/>
      <c r="H60" s="55" t="s">
        <v>290</v>
      </c>
      <c r="I60" s="56" t="s">
        <v>291</v>
      </c>
      <c r="J60" s="57"/>
      <c r="K60" s="54">
        <v>6</v>
      </c>
      <c r="L60" s="58">
        <v>3</v>
      </c>
      <c r="M60" s="59">
        <v>3</v>
      </c>
      <c r="N60" s="60"/>
      <c r="O60" s="61"/>
      <c r="P60" s="62"/>
      <c r="Q60" s="52"/>
      <c r="R60" s="52"/>
      <c r="S60" s="54">
        <v>1</v>
      </c>
      <c r="T60" s="54">
        <v>0</v>
      </c>
      <c r="U60" s="52"/>
      <c r="V60" s="52"/>
      <c r="W60" s="59">
        <f t="shared" si="0"/>
        <v>45</v>
      </c>
      <c r="X60" s="60">
        <f t="shared" si="1"/>
        <v>0</v>
      </c>
      <c r="Y60" s="61">
        <f t="shared" si="2"/>
        <v>0</v>
      </c>
      <c r="Z60" s="62">
        <f t="shared" si="6"/>
        <v>0</v>
      </c>
      <c r="AA60" s="52">
        <f t="shared" si="4"/>
        <v>90</v>
      </c>
      <c r="AB60" s="52">
        <f t="shared" si="5"/>
        <v>15</v>
      </c>
      <c r="AC60" s="52"/>
      <c r="AD60" s="52">
        <v>1</v>
      </c>
      <c r="AE60" s="57"/>
      <c r="AF60" s="63"/>
      <c r="AG60" s="63"/>
      <c r="AH60" s="63"/>
      <c r="AI60" s="63"/>
      <c r="AJ60" s="63"/>
      <c r="AK60" s="63"/>
    </row>
    <row r="61" spans="1:37" s="64" customFormat="1" x14ac:dyDescent="0.25">
      <c r="A61" s="2">
        <v>60</v>
      </c>
      <c r="B61" s="53" t="s">
        <v>272</v>
      </c>
      <c r="C61" s="54" t="s">
        <v>273</v>
      </c>
      <c r="D61" s="54" t="s">
        <v>274</v>
      </c>
      <c r="E61" s="54" t="s">
        <v>74</v>
      </c>
      <c r="F61" s="55"/>
      <c r="G61" s="55"/>
      <c r="H61" s="55" t="s">
        <v>275</v>
      </c>
      <c r="I61" s="56" t="s">
        <v>276</v>
      </c>
      <c r="J61" s="57"/>
      <c r="K61" s="54">
        <v>6</v>
      </c>
      <c r="L61" s="58">
        <v>3</v>
      </c>
      <c r="M61" s="59">
        <v>1</v>
      </c>
      <c r="N61" s="60">
        <v>2</v>
      </c>
      <c r="O61" s="61"/>
      <c r="P61" s="62"/>
      <c r="Q61" s="52" t="s">
        <v>11</v>
      </c>
      <c r="R61" s="52"/>
      <c r="S61" s="54">
        <v>1</v>
      </c>
      <c r="T61" s="54">
        <v>0</v>
      </c>
      <c r="U61" s="52" t="s">
        <v>95</v>
      </c>
      <c r="V61" s="52" t="s">
        <v>303</v>
      </c>
      <c r="W61" s="59">
        <f t="shared" si="0"/>
        <v>15</v>
      </c>
      <c r="X61" s="60">
        <f t="shared" si="1"/>
        <v>60</v>
      </c>
      <c r="Y61" s="61">
        <f t="shared" si="2"/>
        <v>0</v>
      </c>
      <c r="Z61" s="62">
        <f t="shared" si="6"/>
        <v>0</v>
      </c>
      <c r="AA61" s="52">
        <f t="shared" si="4"/>
        <v>60</v>
      </c>
      <c r="AB61" s="52">
        <f t="shared" si="5"/>
        <v>15</v>
      </c>
      <c r="AC61" s="52"/>
      <c r="AD61" s="52">
        <v>1</v>
      </c>
      <c r="AE61" s="57"/>
      <c r="AF61" s="63"/>
      <c r="AG61" s="63"/>
      <c r="AH61" s="63"/>
      <c r="AI61" s="63"/>
      <c r="AJ61" s="63"/>
      <c r="AK61" s="63"/>
    </row>
    <row r="62" spans="1:37" s="64" customFormat="1" x14ac:dyDescent="0.25">
      <c r="A62" s="2">
        <v>61</v>
      </c>
      <c r="B62" s="53" t="s">
        <v>272</v>
      </c>
      <c r="C62" s="54" t="s">
        <v>273</v>
      </c>
      <c r="D62" s="54" t="s">
        <v>274</v>
      </c>
      <c r="E62" s="54" t="s">
        <v>74</v>
      </c>
      <c r="F62" s="55"/>
      <c r="G62" s="55"/>
      <c r="H62" s="55" t="s">
        <v>302</v>
      </c>
      <c r="I62" s="56" t="s">
        <v>293</v>
      </c>
      <c r="J62" s="57"/>
      <c r="K62" s="54">
        <v>6</v>
      </c>
      <c r="L62" s="58">
        <v>3</v>
      </c>
      <c r="M62" s="59">
        <v>3</v>
      </c>
      <c r="N62" s="60"/>
      <c r="O62" s="61"/>
      <c r="P62" s="62"/>
      <c r="Q62" s="52"/>
      <c r="R62" s="52"/>
      <c r="S62" s="54">
        <v>1</v>
      </c>
      <c r="T62" s="54">
        <v>0</v>
      </c>
      <c r="U62" s="52" t="s">
        <v>214</v>
      </c>
      <c r="V62" s="52" t="s">
        <v>303</v>
      </c>
      <c r="W62" s="59">
        <f t="shared" si="0"/>
        <v>45</v>
      </c>
      <c r="X62" s="60">
        <f t="shared" si="1"/>
        <v>0</v>
      </c>
      <c r="Y62" s="61">
        <f t="shared" si="2"/>
        <v>0</v>
      </c>
      <c r="Z62" s="62">
        <f t="shared" si="6"/>
        <v>0</v>
      </c>
      <c r="AA62" s="52">
        <f t="shared" si="4"/>
        <v>90</v>
      </c>
      <c r="AB62" s="52">
        <f t="shared" si="5"/>
        <v>15</v>
      </c>
      <c r="AC62" s="52"/>
      <c r="AD62" s="52">
        <v>1</v>
      </c>
      <c r="AE62" s="57"/>
      <c r="AF62" s="63"/>
      <c r="AG62" s="63"/>
      <c r="AH62" s="63"/>
      <c r="AI62" s="63"/>
      <c r="AJ62" s="63"/>
      <c r="AK62" s="63"/>
    </row>
    <row r="63" spans="1:37" s="64" customFormat="1" x14ac:dyDescent="0.25">
      <c r="A63" s="2">
        <v>62</v>
      </c>
      <c r="B63" s="53" t="s">
        <v>272</v>
      </c>
      <c r="C63" s="54" t="s">
        <v>273</v>
      </c>
      <c r="D63" s="54" t="s">
        <v>274</v>
      </c>
      <c r="E63" s="54" t="s">
        <v>74</v>
      </c>
      <c r="F63" s="55"/>
      <c r="G63" s="55"/>
      <c r="H63" s="55" t="s">
        <v>277</v>
      </c>
      <c r="I63" s="56" t="s">
        <v>278</v>
      </c>
      <c r="J63" s="57"/>
      <c r="K63" s="54">
        <v>6</v>
      </c>
      <c r="L63" s="58">
        <v>3</v>
      </c>
      <c r="M63" s="59">
        <v>3</v>
      </c>
      <c r="N63" s="60"/>
      <c r="O63" s="61"/>
      <c r="P63" s="62"/>
      <c r="Q63" s="52"/>
      <c r="R63" s="52"/>
      <c r="S63" s="54">
        <v>1</v>
      </c>
      <c r="T63" s="54">
        <v>0</v>
      </c>
      <c r="U63" s="52" t="s">
        <v>214</v>
      </c>
      <c r="V63" s="52" t="s">
        <v>303</v>
      </c>
      <c r="W63" s="59">
        <f t="shared" si="0"/>
        <v>45</v>
      </c>
      <c r="X63" s="60">
        <f t="shared" si="1"/>
        <v>0</v>
      </c>
      <c r="Y63" s="61">
        <f t="shared" si="2"/>
        <v>0</v>
      </c>
      <c r="Z63" s="62">
        <f t="shared" si="6"/>
        <v>0</v>
      </c>
      <c r="AA63" s="52">
        <f t="shared" si="4"/>
        <v>90</v>
      </c>
      <c r="AB63" s="52">
        <f t="shared" si="5"/>
        <v>15</v>
      </c>
      <c r="AC63" s="52"/>
      <c r="AD63" s="52">
        <v>1</v>
      </c>
      <c r="AE63" s="57"/>
      <c r="AF63" s="63"/>
      <c r="AG63" s="63"/>
      <c r="AH63" s="63"/>
      <c r="AI63" s="63"/>
      <c r="AJ63" s="63"/>
      <c r="AK63" s="63"/>
    </row>
    <row r="64" spans="1:37" s="64" customFormat="1" x14ac:dyDescent="0.25">
      <c r="A64" s="2">
        <v>63</v>
      </c>
      <c r="B64" s="53" t="s">
        <v>272</v>
      </c>
      <c r="C64" s="54" t="s">
        <v>273</v>
      </c>
      <c r="D64" s="54" t="s">
        <v>274</v>
      </c>
      <c r="E64" s="54" t="s">
        <v>74</v>
      </c>
      <c r="F64" s="55"/>
      <c r="G64" s="55"/>
      <c r="H64" s="55" t="s">
        <v>281</v>
      </c>
      <c r="I64" s="56" t="s">
        <v>189</v>
      </c>
      <c r="J64" s="57"/>
      <c r="K64" s="54">
        <v>6</v>
      </c>
      <c r="L64" s="58">
        <v>3</v>
      </c>
      <c r="M64" s="59">
        <v>3</v>
      </c>
      <c r="N64" s="60"/>
      <c r="O64" s="61"/>
      <c r="P64" s="62"/>
      <c r="Q64" s="52"/>
      <c r="R64" s="52"/>
      <c r="S64" s="54">
        <v>1</v>
      </c>
      <c r="T64" s="54">
        <v>0</v>
      </c>
      <c r="U64" s="52" t="s">
        <v>165</v>
      </c>
      <c r="V64" s="52" t="s">
        <v>303</v>
      </c>
      <c r="W64" s="59">
        <f t="shared" si="0"/>
        <v>45</v>
      </c>
      <c r="X64" s="60">
        <f t="shared" si="1"/>
        <v>0</v>
      </c>
      <c r="Y64" s="61">
        <f t="shared" si="2"/>
        <v>0</v>
      </c>
      <c r="Z64" s="62">
        <f t="shared" si="6"/>
        <v>0</v>
      </c>
      <c r="AA64" s="52">
        <f t="shared" si="4"/>
        <v>90</v>
      </c>
      <c r="AB64" s="52">
        <f t="shared" si="5"/>
        <v>15</v>
      </c>
      <c r="AC64" s="52"/>
      <c r="AD64" s="52">
        <v>1</v>
      </c>
      <c r="AE64" s="57"/>
      <c r="AF64" s="63"/>
      <c r="AG64" s="63"/>
      <c r="AH64" s="63"/>
      <c r="AI64" s="63"/>
      <c r="AJ64" s="63"/>
      <c r="AK64" s="63"/>
    </row>
    <row r="65" spans="1:37" x14ac:dyDescent="0.25">
      <c r="A65" s="2">
        <v>64</v>
      </c>
      <c r="B65" s="29" t="s">
        <v>118</v>
      </c>
      <c r="C65" s="3"/>
      <c r="D65" s="3"/>
      <c r="E65" s="3" t="s">
        <v>228</v>
      </c>
      <c r="F65" s="4"/>
      <c r="G65" s="4"/>
      <c r="H65" s="4" t="s">
        <v>120</v>
      </c>
      <c r="I65" s="5" t="s">
        <v>121</v>
      </c>
      <c r="J65" s="6"/>
      <c r="K65" s="3">
        <v>7</v>
      </c>
      <c r="L65" s="7">
        <v>4</v>
      </c>
      <c r="M65" s="12"/>
      <c r="N65" s="13"/>
      <c r="O65" s="10"/>
      <c r="P65" s="11">
        <v>4</v>
      </c>
      <c r="Q65" s="2"/>
      <c r="R65" s="2"/>
      <c r="S65" s="39">
        <v>0</v>
      </c>
      <c r="T65" s="3">
        <v>0</v>
      </c>
      <c r="U65" s="2"/>
      <c r="V65" s="2"/>
      <c r="W65" s="12">
        <f t="shared" si="0"/>
        <v>0</v>
      </c>
      <c r="X65" s="13">
        <f t="shared" si="1"/>
        <v>0</v>
      </c>
      <c r="Y65" s="10">
        <f t="shared" si="2"/>
        <v>0</v>
      </c>
      <c r="Z65" s="11">
        <f t="shared" si="6"/>
        <v>180</v>
      </c>
      <c r="AA65" s="2">
        <f t="shared" si="4"/>
        <v>180</v>
      </c>
      <c r="AB65" s="2">
        <f t="shared" si="5"/>
        <v>20</v>
      </c>
      <c r="AC65" s="41"/>
      <c r="AD65" s="2">
        <v>1</v>
      </c>
      <c r="AE65" s="6"/>
      <c r="AF65" s="1"/>
      <c r="AG65" s="1"/>
      <c r="AH65" s="1"/>
      <c r="AI65" s="1"/>
      <c r="AJ65" s="1"/>
      <c r="AK65" s="1"/>
    </row>
    <row r="66" spans="1:37" x14ac:dyDescent="0.25">
      <c r="A66" s="2">
        <v>65</v>
      </c>
      <c r="B66" s="30" t="s">
        <v>284</v>
      </c>
      <c r="C66" s="3"/>
      <c r="D66" s="3"/>
      <c r="E66" s="3" t="s">
        <v>310</v>
      </c>
      <c r="F66" s="4" t="s">
        <v>283</v>
      </c>
      <c r="G66" s="4">
        <v>1</v>
      </c>
      <c r="H66" s="4" t="s">
        <v>268</v>
      </c>
      <c r="I66" s="5" t="s">
        <v>269</v>
      </c>
      <c r="J66" s="6"/>
      <c r="K66" s="3">
        <v>7</v>
      </c>
      <c r="L66" s="7">
        <v>3</v>
      </c>
      <c r="M66" s="12">
        <v>3</v>
      </c>
      <c r="N66" s="13"/>
      <c r="O66" s="10"/>
      <c r="P66" s="11"/>
      <c r="Q66" s="2"/>
      <c r="R66" s="2"/>
      <c r="S66" s="39">
        <v>0</v>
      </c>
      <c r="T66" s="3">
        <v>0</v>
      </c>
      <c r="U66" s="2"/>
      <c r="V66" s="2"/>
      <c r="W66" s="12">
        <f t="shared" si="0"/>
        <v>45</v>
      </c>
      <c r="X66" s="13">
        <f t="shared" si="1"/>
        <v>0</v>
      </c>
      <c r="Y66" s="10">
        <f t="shared" si="2"/>
        <v>0</v>
      </c>
      <c r="Z66" s="11">
        <f t="shared" si="6"/>
        <v>0</v>
      </c>
      <c r="AA66" s="2">
        <f t="shared" si="4"/>
        <v>90</v>
      </c>
      <c r="AB66" s="2">
        <f t="shared" si="5"/>
        <v>15</v>
      </c>
      <c r="AC66" s="41"/>
      <c r="AD66" s="2">
        <v>1</v>
      </c>
      <c r="AE66" s="6"/>
      <c r="AF66" s="1"/>
      <c r="AG66" s="1"/>
      <c r="AH66" s="1"/>
      <c r="AI66" s="1"/>
      <c r="AJ66" s="1"/>
      <c r="AK66" s="1"/>
    </row>
    <row r="67" spans="1:37" x14ac:dyDescent="0.25">
      <c r="A67" s="2">
        <v>66</v>
      </c>
      <c r="B67" s="30" t="s">
        <v>284</v>
      </c>
      <c r="C67" s="3"/>
      <c r="D67" s="3"/>
      <c r="E67" s="3" t="s">
        <v>310</v>
      </c>
      <c r="F67" s="4" t="s">
        <v>283</v>
      </c>
      <c r="G67" s="4"/>
      <c r="H67" s="4" t="s">
        <v>270</v>
      </c>
      <c r="I67" s="5" t="s">
        <v>271</v>
      </c>
      <c r="J67" s="6"/>
      <c r="K67" s="3">
        <v>7</v>
      </c>
      <c r="L67" s="7">
        <v>3</v>
      </c>
      <c r="M67" s="12">
        <v>3</v>
      </c>
      <c r="N67" s="13"/>
      <c r="O67" s="10"/>
      <c r="P67" s="11"/>
      <c r="Q67" s="2"/>
      <c r="R67" s="2"/>
      <c r="S67" s="39">
        <v>0</v>
      </c>
      <c r="T67" s="3">
        <v>0</v>
      </c>
      <c r="U67" s="2"/>
      <c r="V67" s="2"/>
      <c r="W67" s="12">
        <f t="shared" si="0"/>
        <v>45</v>
      </c>
      <c r="X67" s="13">
        <f t="shared" si="1"/>
        <v>0</v>
      </c>
      <c r="Y67" s="10">
        <f t="shared" si="2"/>
        <v>0</v>
      </c>
      <c r="Z67" s="11">
        <f t="shared" si="6"/>
        <v>0</v>
      </c>
      <c r="AA67" s="2">
        <f t="shared" si="4"/>
        <v>90</v>
      </c>
      <c r="AB67" s="2">
        <f t="shared" si="5"/>
        <v>15</v>
      </c>
      <c r="AC67" s="41"/>
      <c r="AD67" s="2">
        <v>1</v>
      </c>
      <c r="AE67" s="6"/>
      <c r="AF67" s="1"/>
      <c r="AG67" s="1"/>
      <c r="AH67" s="1"/>
      <c r="AI67" s="1"/>
      <c r="AJ67" s="1"/>
      <c r="AK67" s="1"/>
    </row>
    <row r="68" spans="1:37" x14ac:dyDescent="0.25">
      <c r="A68" s="2">
        <v>67</v>
      </c>
      <c r="B68" s="30" t="s">
        <v>284</v>
      </c>
      <c r="C68" s="3"/>
      <c r="D68" s="3"/>
      <c r="E68" s="3" t="s">
        <v>310</v>
      </c>
      <c r="F68" s="4" t="s">
        <v>283</v>
      </c>
      <c r="G68" s="4"/>
      <c r="H68" s="4" t="s">
        <v>301</v>
      </c>
      <c r="I68" s="5" t="s">
        <v>280</v>
      </c>
      <c r="J68" s="6"/>
      <c r="K68" s="3">
        <v>7</v>
      </c>
      <c r="L68" s="7">
        <v>3</v>
      </c>
      <c r="M68" s="12">
        <v>3</v>
      </c>
      <c r="N68" s="13"/>
      <c r="O68" s="10"/>
      <c r="P68" s="11"/>
      <c r="Q68" s="2"/>
      <c r="R68" s="2"/>
      <c r="S68" s="39">
        <v>0</v>
      </c>
      <c r="T68" s="3">
        <v>0</v>
      </c>
      <c r="U68" s="2"/>
      <c r="V68" s="2"/>
      <c r="W68" s="12">
        <f t="shared" si="0"/>
        <v>45</v>
      </c>
      <c r="X68" s="13">
        <f t="shared" si="1"/>
        <v>0</v>
      </c>
      <c r="Y68" s="10">
        <f t="shared" si="2"/>
        <v>0</v>
      </c>
      <c r="Z68" s="11">
        <f t="shared" si="6"/>
        <v>0</v>
      </c>
      <c r="AA68" s="2">
        <f t="shared" si="4"/>
        <v>90</v>
      </c>
      <c r="AB68" s="2">
        <f t="shared" si="5"/>
        <v>15</v>
      </c>
      <c r="AC68" s="41"/>
      <c r="AD68" s="2">
        <v>1</v>
      </c>
      <c r="AE68" s="6"/>
      <c r="AF68" s="1"/>
      <c r="AG68" s="1"/>
      <c r="AH68" s="1"/>
      <c r="AI68" s="1"/>
      <c r="AJ68" s="1"/>
      <c r="AK68" s="1"/>
    </row>
    <row r="69" spans="1:37" x14ac:dyDescent="0.25">
      <c r="A69" s="2">
        <v>68</v>
      </c>
      <c r="B69" s="30" t="s">
        <v>282</v>
      </c>
      <c r="C69" s="3"/>
      <c r="D69" s="3"/>
      <c r="E69" s="3" t="s">
        <v>119</v>
      </c>
      <c r="F69" s="4" t="s">
        <v>283</v>
      </c>
      <c r="G69" s="4"/>
      <c r="H69" s="4" t="s">
        <v>122</v>
      </c>
      <c r="I69" s="5" t="s">
        <v>123</v>
      </c>
      <c r="J69" s="6"/>
      <c r="K69" s="3">
        <v>7</v>
      </c>
      <c r="L69" s="7">
        <v>6</v>
      </c>
      <c r="M69" s="12"/>
      <c r="N69" s="13"/>
      <c r="O69" s="10"/>
      <c r="P69" s="11">
        <v>6</v>
      </c>
      <c r="Q69" s="2"/>
      <c r="R69" s="2"/>
      <c r="S69" s="39">
        <v>0</v>
      </c>
      <c r="T69" s="3">
        <v>0</v>
      </c>
      <c r="U69" s="2"/>
      <c r="V69" s="2"/>
      <c r="W69" s="12">
        <f t="shared" si="0"/>
        <v>0</v>
      </c>
      <c r="X69" s="13">
        <f t="shared" si="1"/>
        <v>0</v>
      </c>
      <c r="Y69" s="10">
        <f t="shared" si="2"/>
        <v>0</v>
      </c>
      <c r="Z69" s="11">
        <f t="shared" si="6"/>
        <v>270</v>
      </c>
      <c r="AA69" s="2">
        <f t="shared" si="4"/>
        <v>270</v>
      </c>
      <c r="AB69" s="2">
        <f t="shared" si="5"/>
        <v>30</v>
      </c>
      <c r="AC69" s="41"/>
      <c r="AD69" s="2">
        <v>1</v>
      </c>
      <c r="AE69" s="6"/>
      <c r="AF69" s="1"/>
      <c r="AG69" s="1"/>
      <c r="AH69" s="1"/>
      <c r="AI69" s="1"/>
      <c r="AJ69" s="1"/>
      <c r="AK69" s="1"/>
    </row>
  </sheetData>
  <autoFilter ref="G1:G69" xr:uid="{00000000-0001-0000-0600-000000000000}"/>
  <dataValidations count="5">
    <dataValidation type="list" allowBlank="1" showErrorMessage="1" sqref="AC2:AC69" xr:uid="{00000000-0002-0000-0600-000000000000}">
      <formula1>#REF!</formula1>
    </dataValidation>
    <dataValidation type="list" allowBlank="1" showErrorMessage="1" sqref="AD2:AD69" xr:uid="{00000000-0002-0000-0600-000001000000}">
      <formula1>"1,0"</formula1>
    </dataValidation>
    <dataValidation type="list" allowBlank="1" showErrorMessage="1" sqref="V2:V69" xr:uid="{00000000-0002-0000-0600-000002000000}">
      <formula1>"Tiên quyết (c),Học trước (d),Song hành (e)"</formula1>
    </dataValidation>
    <dataValidation type="list" allowBlank="1" showErrorMessage="1" sqref="R2:R69" xr:uid="{00000000-0002-0000-0600-000003000000}">
      <formula1>"Nhóm 1,Nhóm 2,Nhóm 3,Nhóm 4"</formula1>
    </dataValidation>
    <dataValidation type="list" allowBlank="1" showErrorMessage="1" sqref="Q2:Q69" xr:uid="{00000000-0002-0000-0600-000004000000}">
      <formula1>"T,N"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22.5703125" customWidth="1"/>
    <col min="3" max="3" width="12" customWidth="1"/>
    <col min="4" max="4" width="37.42578125" customWidth="1"/>
    <col min="5" max="5" width="6" customWidth="1"/>
    <col min="6" max="7" width="7.42578125" customWidth="1"/>
    <col min="8" max="8" width="4.42578125" customWidth="1"/>
    <col min="9" max="9" width="7.42578125" customWidth="1"/>
    <col min="10" max="10" width="6.7109375" customWidth="1"/>
    <col min="11" max="11" width="5.28515625" customWidth="1"/>
    <col min="12" max="12" width="7.85546875" customWidth="1"/>
    <col min="13" max="13" width="5.28515625" customWidth="1"/>
    <col min="14" max="14" width="6.42578125" customWidth="1"/>
    <col min="15" max="15" width="7.42578125" customWidth="1"/>
    <col min="16" max="16" width="6" customWidth="1"/>
    <col min="17" max="17" width="12" customWidth="1"/>
    <col min="18" max="18" width="7.42578125" customWidth="1"/>
    <col min="19" max="19" width="6.7109375" customWidth="1"/>
    <col min="20" max="20" width="9.5703125" customWidth="1"/>
    <col min="21" max="23" width="7.42578125" customWidth="1"/>
    <col min="24" max="24" width="12" customWidth="1"/>
    <col min="25" max="46" width="8.7109375" customWidth="1"/>
  </cols>
  <sheetData>
    <row r="1" spans="1:46" ht="18.75" x14ac:dyDescent="0.3">
      <c r="A1" s="36" t="s">
        <v>311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6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spans="1:46" ht="18.75" x14ac:dyDescent="0.3">
      <c r="A2" s="36" t="s">
        <v>312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6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</row>
    <row r="4" spans="1:46" ht="78.75" x14ac:dyDescent="0.25">
      <c r="A4" s="31" t="s">
        <v>313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314</v>
      </c>
      <c r="G4" s="31" t="s">
        <v>315</v>
      </c>
      <c r="H4" s="31" t="s">
        <v>316</v>
      </c>
      <c r="I4" s="31" t="s">
        <v>317</v>
      </c>
      <c r="J4" s="31" t="s">
        <v>6</v>
      </c>
      <c r="K4" s="31" t="s">
        <v>318</v>
      </c>
      <c r="L4" s="31" t="s">
        <v>319</v>
      </c>
      <c r="M4" s="31" t="s">
        <v>5</v>
      </c>
      <c r="N4" s="31" t="s">
        <v>320</v>
      </c>
      <c r="O4" s="31" t="s">
        <v>4</v>
      </c>
      <c r="P4" s="31" t="s">
        <v>321</v>
      </c>
      <c r="Q4" s="31" t="s">
        <v>322</v>
      </c>
      <c r="R4" s="31" t="s">
        <v>6</v>
      </c>
      <c r="S4" s="31" t="s">
        <v>323</v>
      </c>
      <c r="T4" s="31" t="s">
        <v>324</v>
      </c>
      <c r="U4" s="31" t="s">
        <v>325</v>
      </c>
      <c r="V4" s="31" t="s">
        <v>326</v>
      </c>
      <c r="W4" s="31" t="s">
        <v>327</v>
      </c>
      <c r="X4" s="31" t="s">
        <v>230</v>
      </c>
    </row>
    <row r="5" spans="1:46" ht="31.5" x14ac:dyDescent="0.25">
      <c r="A5" s="3">
        <v>1</v>
      </c>
      <c r="B5" s="3" t="s">
        <v>8</v>
      </c>
      <c r="C5" s="4" t="s">
        <v>9</v>
      </c>
      <c r="D5" s="5" t="s">
        <v>10</v>
      </c>
      <c r="E5" s="3">
        <v>1</v>
      </c>
      <c r="F5" s="7">
        <v>3</v>
      </c>
      <c r="G5" s="7">
        <v>0</v>
      </c>
      <c r="H5" s="7">
        <v>0</v>
      </c>
      <c r="I5" s="3">
        <v>45</v>
      </c>
      <c r="J5" s="3">
        <v>0</v>
      </c>
      <c r="K5" s="3">
        <v>0</v>
      </c>
      <c r="L5" s="3">
        <v>0</v>
      </c>
      <c r="M5" s="3">
        <v>90</v>
      </c>
      <c r="N5" s="3">
        <v>45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10</v>
      </c>
      <c r="X5" s="18" t="s">
        <v>232</v>
      </c>
      <c r="Y5" s="32" t="str">
        <f t="shared" ref="Y5:Y69" si="0">C5&amp;D5</f>
        <v>SSH1201Triết học Mác - Lênin</v>
      </c>
    </row>
    <row r="6" spans="1:46" ht="31.5" x14ac:dyDescent="0.25">
      <c r="A6" s="3">
        <v>2</v>
      </c>
      <c r="B6" s="3" t="s">
        <v>8</v>
      </c>
      <c r="C6" s="4" t="s">
        <v>140</v>
      </c>
      <c r="D6" s="5" t="s">
        <v>197</v>
      </c>
      <c r="E6" s="3">
        <v>2</v>
      </c>
      <c r="F6" s="7">
        <v>2</v>
      </c>
      <c r="G6" s="7">
        <v>0</v>
      </c>
      <c r="H6" s="7">
        <v>0</v>
      </c>
      <c r="I6" s="3">
        <v>30</v>
      </c>
      <c r="J6" s="3">
        <v>0</v>
      </c>
      <c r="K6" s="3">
        <v>0</v>
      </c>
      <c r="L6" s="3">
        <v>0</v>
      </c>
      <c r="M6" s="3">
        <v>60</v>
      </c>
      <c r="N6" s="3">
        <v>30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10</v>
      </c>
      <c r="X6" s="18" t="s">
        <v>232</v>
      </c>
      <c r="Y6" s="32" t="str">
        <f t="shared" si="0"/>
        <v>SSH1202Kinh tế chính trị Mác - Lênin</v>
      </c>
    </row>
    <row r="7" spans="1:46" ht="31.5" x14ac:dyDescent="0.25">
      <c r="A7" s="3">
        <v>3</v>
      </c>
      <c r="B7" s="3" t="s">
        <v>8</v>
      </c>
      <c r="C7" s="4" t="s">
        <v>125</v>
      </c>
      <c r="D7" s="5" t="s">
        <v>13</v>
      </c>
      <c r="E7" s="3">
        <v>3</v>
      </c>
      <c r="F7" s="7">
        <v>2</v>
      </c>
      <c r="G7" s="7">
        <v>0</v>
      </c>
      <c r="H7" s="7">
        <v>0</v>
      </c>
      <c r="I7" s="3">
        <v>30</v>
      </c>
      <c r="J7" s="3">
        <v>0</v>
      </c>
      <c r="K7" s="3">
        <v>0</v>
      </c>
      <c r="L7" s="3">
        <v>0</v>
      </c>
      <c r="M7" s="3">
        <v>60</v>
      </c>
      <c r="N7" s="3">
        <v>30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10</v>
      </c>
      <c r="X7" s="18" t="s">
        <v>232</v>
      </c>
      <c r="Y7" s="32" t="str">
        <f t="shared" si="0"/>
        <v>SSH1203Chủ nghĩa xã hội khoa học</v>
      </c>
    </row>
    <row r="8" spans="1:46" ht="31.5" x14ac:dyDescent="0.25">
      <c r="A8" s="3">
        <v>4</v>
      </c>
      <c r="B8" s="3" t="s">
        <v>8</v>
      </c>
      <c r="C8" s="4" t="s">
        <v>26</v>
      </c>
      <c r="D8" s="5" t="s">
        <v>27</v>
      </c>
      <c r="E8" s="3">
        <v>4</v>
      </c>
      <c r="F8" s="7">
        <v>2</v>
      </c>
      <c r="G8" s="7">
        <v>0</v>
      </c>
      <c r="H8" s="7">
        <v>0</v>
      </c>
      <c r="I8" s="3">
        <v>30</v>
      </c>
      <c r="J8" s="3">
        <v>0</v>
      </c>
      <c r="K8" s="3">
        <v>0</v>
      </c>
      <c r="L8" s="3">
        <v>0</v>
      </c>
      <c r="M8" s="3">
        <v>60</v>
      </c>
      <c r="N8" s="3">
        <v>30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</v>
      </c>
      <c r="X8" s="18" t="s">
        <v>232</v>
      </c>
      <c r="Y8" s="32" t="str">
        <f t="shared" si="0"/>
        <v>SSH1205Tư tưởng Hồ Chí Minh</v>
      </c>
    </row>
    <row r="9" spans="1:46" ht="31.5" x14ac:dyDescent="0.25">
      <c r="A9" s="3">
        <v>5</v>
      </c>
      <c r="B9" s="3" t="s">
        <v>8</v>
      </c>
      <c r="C9" s="4" t="s">
        <v>126</v>
      </c>
      <c r="D9" s="5" t="s">
        <v>127</v>
      </c>
      <c r="E9" s="3">
        <v>5</v>
      </c>
      <c r="F9" s="7">
        <v>2</v>
      </c>
      <c r="G9" s="7">
        <v>0</v>
      </c>
      <c r="H9" s="7">
        <v>0</v>
      </c>
      <c r="I9" s="3">
        <v>30</v>
      </c>
      <c r="J9" s="3">
        <v>0</v>
      </c>
      <c r="K9" s="3">
        <v>0</v>
      </c>
      <c r="L9" s="3">
        <v>0</v>
      </c>
      <c r="M9" s="3">
        <v>60</v>
      </c>
      <c r="N9" s="3">
        <v>30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10</v>
      </c>
      <c r="X9" s="18" t="s">
        <v>232</v>
      </c>
      <c r="Y9" s="32" t="str">
        <f t="shared" si="0"/>
        <v>SSH1204Lịch sử Đảng Cộng sản Việt Nam</v>
      </c>
    </row>
    <row r="10" spans="1:46" ht="31.5" x14ac:dyDescent="0.25">
      <c r="A10" s="3">
        <v>6</v>
      </c>
      <c r="B10" s="3" t="s">
        <v>8</v>
      </c>
      <c r="C10" s="4" t="s">
        <v>141</v>
      </c>
      <c r="D10" s="5" t="s">
        <v>21</v>
      </c>
      <c r="E10" s="3">
        <v>1</v>
      </c>
      <c r="F10" s="7">
        <v>2</v>
      </c>
      <c r="G10" s="7">
        <v>0</v>
      </c>
      <c r="H10" s="7">
        <v>0</v>
      </c>
      <c r="I10" s="3">
        <v>30</v>
      </c>
      <c r="J10" s="3">
        <v>0</v>
      </c>
      <c r="K10" s="3">
        <v>0</v>
      </c>
      <c r="L10" s="3">
        <v>0</v>
      </c>
      <c r="M10" s="3">
        <v>60</v>
      </c>
      <c r="N10" s="3">
        <v>30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10</v>
      </c>
      <c r="X10" s="18" t="s">
        <v>232</v>
      </c>
      <c r="Y10" s="32" t="str">
        <f t="shared" si="0"/>
        <v>SSH1206Pháp luật đại cương</v>
      </c>
    </row>
    <row r="11" spans="1:46" ht="31.5" x14ac:dyDescent="0.25">
      <c r="A11" s="3">
        <v>7</v>
      </c>
      <c r="B11" s="3" t="s">
        <v>8</v>
      </c>
      <c r="C11" s="4" t="s">
        <v>198</v>
      </c>
      <c r="D11" s="5" t="s">
        <v>131</v>
      </c>
      <c r="E11" s="3">
        <v>1</v>
      </c>
      <c r="F11" s="7">
        <v>3</v>
      </c>
      <c r="G11" s="7">
        <v>0</v>
      </c>
      <c r="H11" s="7">
        <v>0</v>
      </c>
      <c r="I11" s="3">
        <v>45</v>
      </c>
      <c r="J11" s="3">
        <v>0</v>
      </c>
      <c r="K11" s="3">
        <v>0</v>
      </c>
      <c r="L11" s="3">
        <v>0</v>
      </c>
      <c r="M11" s="3">
        <v>90</v>
      </c>
      <c r="N11" s="3">
        <v>45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10</v>
      </c>
      <c r="X11" s="18" t="s">
        <v>232</v>
      </c>
      <c r="Y11" s="32" t="str">
        <f t="shared" si="0"/>
        <v>SSH1207Kỹ năng mềm</v>
      </c>
    </row>
    <row r="12" spans="1:46" ht="31.5" x14ac:dyDescent="0.25">
      <c r="A12" s="3">
        <v>8</v>
      </c>
      <c r="B12" s="3" t="s">
        <v>8</v>
      </c>
      <c r="C12" s="4" t="s">
        <v>199</v>
      </c>
      <c r="D12" s="5" t="s">
        <v>23</v>
      </c>
      <c r="E12" s="3">
        <v>1</v>
      </c>
      <c r="F12" s="7">
        <v>3</v>
      </c>
      <c r="G12" s="7">
        <v>1</v>
      </c>
      <c r="H12" s="7">
        <v>0</v>
      </c>
      <c r="I12" s="3">
        <v>30</v>
      </c>
      <c r="J12" s="3">
        <v>30</v>
      </c>
      <c r="K12" s="3">
        <v>0</v>
      </c>
      <c r="L12" s="3">
        <v>0</v>
      </c>
      <c r="M12" s="3">
        <v>75</v>
      </c>
      <c r="N12" s="3">
        <v>60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</v>
      </c>
      <c r="X12" s="18" t="s">
        <v>232</v>
      </c>
      <c r="Y12" s="32" t="str">
        <f t="shared" si="0"/>
        <v>IT1208Tin học đại cương</v>
      </c>
    </row>
    <row r="13" spans="1:46" ht="31.5" x14ac:dyDescent="0.25">
      <c r="A13" s="3">
        <v>9</v>
      </c>
      <c r="B13" s="3" t="s">
        <v>8</v>
      </c>
      <c r="C13" s="4" t="s">
        <v>294</v>
      </c>
      <c r="D13" s="5" t="s">
        <v>295</v>
      </c>
      <c r="E13" s="3">
        <v>1</v>
      </c>
      <c r="F13" s="7">
        <v>2</v>
      </c>
      <c r="G13" s="7">
        <v>0</v>
      </c>
      <c r="H13" s="7">
        <v>0</v>
      </c>
      <c r="I13" s="3">
        <v>30</v>
      </c>
      <c r="J13" s="3">
        <v>0</v>
      </c>
      <c r="K13" s="3">
        <v>0</v>
      </c>
      <c r="L13" s="3">
        <v>0</v>
      </c>
      <c r="M13" s="3">
        <v>60</v>
      </c>
      <c r="N13" s="3">
        <v>30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10</v>
      </c>
      <c r="X13" s="18" t="s">
        <v>232</v>
      </c>
      <c r="Y13" s="32" t="str">
        <f t="shared" si="0"/>
        <v>MI1219Xác suất và thống kê</v>
      </c>
    </row>
    <row r="14" spans="1:46" ht="31.5" x14ac:dyDescent="0.25">
      <c r="A14" s="3">
        <v>10</v>
      </c>
      <c r="B14" s="3" t="s">
        <v>8</v>
      </c>
      <c r="C14" s="4" t="s">
        <v>203</v>
      </c>
      <c r="D14" s="5" t="s">
        <v>31</v>
      </c>
      <c r="E14" s="3">
        <v>1</v>
      </c>
      <c r="F14" s="7">
        <v>3</v>
      </c>
      <c r="G14" s="7">
        <v>0</v>
      </c>
      <c r="H14" s="7">
        <v>0</v>
      </c>
      <c r="I14" s="3">
        <v>45</v>
      </c>
      <c r="J14" s="3">
        <v>0</v>
      </c>
      <c r="K14" s="3">
        <v>0</v>
      </c>
      <c r="L14" s="3">
        <v>0</v>
      </c>
      <c r="M14" s="3">
        <v>90</v>
      </c>
      <c r="N14" s="3">
        <v>45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10</v>
      </c>
      <c r="X14" s="18" t="s">
        <v>232</v>
      </c>
      <c r="Y14" s="32" t="str">
        <f t="shared" si="0"/>
        <v>FL1219Tiếng Anh 1</v>
      </c>
    </row>
    <row r="15" spans="1:46" ht="31.5" x14ac:dyDescent="0.25">
      <c r="A15" s="3">
        <v>11</v>
      </c>
      <c r="B15" s="3" t="s">
        <v>8</v>
      </c>
      <c r="C15" s="4" t="s">
        <v>204</v>
      </c>
      <c r="D15" s="5" t="s">
        <v>33</v>
      </c>
      <c r="E15" s="3">
        <v>2</v>
      </c>
      <c r="F15" s="7">
        <v>3</v>
      </c>
      <c r="G15" s="7">
        <v>0</v>
      </c>
      <c r="H15" s="7">
        <v>0</v>
      </c>
      <c r="I15" s="3">
        <v>45</v>
      </c>
      <c r="J15" s="3">
        <v>0</v>
      </c>
      <c r="K15" s="3">
        <v>0</v>
      </c>
      <c r="L15" s="3">
        <v>0</v>
      </c>
      <c r="M15" s="3">
        <v>90</v>
      </c>
      <c r="N15" s="3">
        <v>45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</v>
      </c>
      <c r="X15" s="18" t="s">
        <v>232</v>
      </c>
      <c r="Y15" s="32" t="str">
        <f t="shared" si="0"/>
        <v>FL1220Tiếng Anh 2</v>
      </c>
    </row>
    <row r="16" spans="1:46" ht="31.5" x14ac:dyDescent="0.25">
      <c r="A16" s="3">
        <v>12</v>
      </c>
      <c r="B16" s="3" t="s">
        <v>8</v>
      </c>
      <c r="C16" s="4" t="s">
        <v>205</v>
      </c>
      <c r="D16" s="5" t="s">
        <v>35</v>
      </c>
      <c r="E16" s="3">
        <v>3</v>
      </c>
      <c r="F16" s="7">
        <v>3</v>
      </c>
      <c r="G16" s="7">
        <v>0</v>
      </c>
      <c r="H16" s="7">
        <v>0</v>
      </c>
      <c r="I16" s="3">
        <v>45</v>
      </c>
      <c r="J16" s="3">
        <v>0</v>
      </c>
      <c r="K16" s="3">
        <v>0</v>
      </c>
      <c r="L16" s="3">
        <v>0</v>
      </c>
      <c r="M16" s="3">
        <v>90</v>
      </c>
      <c r="N16" s="3">
        <v>45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10</v>
      </c>
      <c r="X16" s="18" t="s">
        <v>232</v>
      </c>
      <c r="Y16" s="32" t="str">
        <f t="shared" si="0"/>
        <v>FL1221Tiếng Anh 3</v>
      </c>
    </row>
    <row r="17" spans="1:25" ht="31.5" x14ac:dyDescent="0.25">
      <c r="A17" s="3">
        <v>13</v>
      </c>
      <c r="B17" s="3" t="s">
        <v>8</v>
      </c>
      <c r="C17" s="4" t="s">
        <v>18</v>
      </c>
      <c r="D17" s="5" t="s">
        <v>328</v>
      </c>
      <c r="E17" s="3">
        <v>2</v>
      </c>
      <c r="F17" s="7">
        <v>8</v>
      </c>
      <c r="G17" s="7">
        <v>0</v>
      </c>
      <c r="H17" s="7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1</v>
      </c>
      <c r="T17" s="3">
        <v>0</v>
      </c>
      <c r="U17" s="3">
        <v>0</v>
      </c>
      <c r="V17" s="3">
        <v>0</v>
      </c>
      <c r="W17" s="3">
        <v>10</v>
      </c>
      <c r="X17" s="18" t="s">
        <v>232</v>
      </c>
      <c r="Y17" s="32" t="str">
        <f t="shared" si="0"/>
        <v xml:space="preserve">MIL1225Giáo dục Quốc phòng và An ninh </v>
      </c>
    </row>
    <row r="18" spans="1:25" ht="31.5" x14ac:dyDescent="0.25">
      <c r="A18" s="3">
        <v>14</v>
      </c>
      <c r="B18" s="3" t="s">
        <v>8</v>
      </c>
      <c r="C18" s="4" t="s">
        <v>16</v>
      </c>
      <c r="D18" s="5" t="s">
        <v>17</v>
      </c>
      <c r="E18" s="3">
        <v>3</v>
      </c>
      <c r="F18" s="7">
        <v>3</v>
      </c>
      <c r="G18" s="7">
        <v>2</v>
      </c>
      <c r="H18" s="7">
        <v>1</v>
      </c>
      <c r="I18" s="3">
        <v>15</v>
      </c>
      <c r="J18" s="3">
        <v>60</v>
      </c>
      <c r="K18" s="3">
        <v>0</v>
      </c>
      <c r="L18" s="3">
        <v>0</v>
      </c>
      <c r="M18" s="3">
        <v>0</v>
      </c>
      <c r="N18" s="3">
        <v>75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10</v>
      </c>
      <c r="X18" s="18" t="s">
        <v>232</v>
      </c>
      <c r="Y18" s="32" t="str">
        <f t="shared" si="0"/>
        <v>PE1213Giáo dục thể chất</v>
      </c>
    </row>
    <row r="19" spans="1:25" ht="31.5" x14ac:dyDescent="0.25">
      <c r="A19" s="3">
        <v>15</v>
      </c>
      <c r="B19" s="3" t="s">
        <v>46</v>
      </c>
      <c r="C19" s="4" t="s">
        <v>213</v>
      </c>
      <c r="D19" s="5" t="s">
        <v>139</v>
      </c>
      <c r="E19" s="3">
        <v>1</v>
      </c>
      <c r="F19" s="7">
        <v>1</v>
      </c>
      <c r="G19" s="7">
        <v>0</v>
      </c>
      <c r="H19" s="7">
        <v>0</v>
      </c>
      <c r="I19" s="3">
        <v>15</v>
      </c>
      <c r="J19" s="3">
        <v>0</v>
      </c>
      <c r="K19" s="3">
        <v>0</v>
      </c>
      <c r="L19" s="3">
        <v>0</v>
      </c>
      <c r="M19" s="3">
        <v>30</v>
      </c>
      <c r="N19" s="3">
        <v>15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10</v>
      </c>
      <c r="X19" s="18" t="s">
        <v>232</v>
      </c>
      <c r="Y19" s="32" t="str">
        <f t="shared" si="0"/>
        <v xml:space="preserve">ACC2201Nhập môn ngành </v>
      </c>
    </row>
    <row r="20" spans="1:25" ht="31.5" x14ac:dyDescent="0.25">
      <c r="A20" s="3">
        <v>16</v>
      </c>
      <c r="B20" s="3" t="s">
        <v>46</v>
      </c>
      <c r="C20" s="4" t="s">
        <v>234</v>
      </c>
      <c r="D20" s="5" t="s">
        <v>235</v>
      </c>
      <c r="E20" s="3">
        <v>1</v>
      </c>
      <c r="F20" s="7">
        <v>3</v>
      </c>
      <c r="G20" s="7">
        <v>0</v>
      </c>
      <c r="H20" s="7">
        <v>0</v>
      </c>
      <c r="I20" s="3">
        <v>45</v>
      </c>
      <c r="J20" s="3">
        <v>0</v>
      </c>
      <c r="K20" s="3">
        <v>0</v>
      </c>
      <c r="L20" s="3">
        <v>0</v>
      </c>
      <c r="M20" s="3">
        <v>90</v>
      </c>
      <c r="N20" s="3">
        <v>45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</v>
      </c>
      <c r="X20" s="18" t="s">
        <v>232</v>
      </c>
      <c r="Y20" s="32" t="str">
        <f t="shared" si="0"/>
        <v>ACC2250 Pháp luật và chuẩn mực kế toán, kiểm toán</v>
      </c>
    </row>
    <row r="21" spans="1:25" ht="15.75" customHeight="1" x14ac:dyDescent="0.25">
      <c r="A21" s="3">
        <v>17</v>
      </c>
      <c r="B21" s="3" t="s">
        <v>46</v>
      </c>
      <c r="C21" s="4" t="s">
        <v>207</v>
      </c>
      <c r="D21" s="5" t="s">
        <v>208</v>
      </c>
      <c r="E21" s="3">
        <v>2</v>
      </c>
      <c r="F21" s="7">
        <v>3</v>
      </c>
      <c r="G21" s="7">
        <v>0</v>
      </c>
      <c r="H21" s="7">
        <v>0</v>
      </c>
      <c r="I21" s="3">
        <v>45</v>
      </c>
      <c r="J21" s="3">
        <v>0</v>
      </c>
      <c r="K21" s="3">
        <v>0</v>
      </c>
      <c r="L21" s="3">
        <v>0</v>
      </c>
      <c r="M21" s="3">
        <v>90</v>
      </c>
      <c r="N21" s="3">
        <v>45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10</v>
      </c>
      <c r="X21" s="18" t="s">
        <v>232</v>
      </c>
      <c r="Y21" s="32" t="str">
        <f t="shared" si="0"/>
        <v>MGT2202Kinh tế học vi mô</v>
      </c>
    </row>
    <row r="22" spans="1:25" ht="15.75" customHeight="1" x14ac:dyDescent="0.25">
      <c r="A22" s="3">
        <v>18</v>
      </c>
      <c r="B22" s="3" t="s">
        <v>46</v>
      </c>
      <c r="C22" s="4" t="s">
        <v>209</v>
      </c>
      <c r="D22" s="5" t="s">
        <v>62</v>
      </c>
      <c r="E22" s="3">
        <v>2</v>
      </c>
      <c r="F22" s="7">
        <v>2</v>
      </c>
      <c r="G22" s="7">
        <v>0</v>
      </c>
      <c r="H22" s="7">
        <v>0</v>
      </c>
      <c r="I22" s="3">
        <v>30</v>
      </c>
      <c r="J22" s="3">
        <v>0</v>
      </c>
      <c r="K22" s="3">
        <v>0</v>
      </c>
      <c r="L22" s="3">
        <v>0</v>
      </c>
      <c r="M22" s="3">
        <v>60</v>
      </c>
      <c r="N22" s="3">
        <v>30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</v>
      </c>
      <c r="X22" s="18" t="s">
        <v>232</v>
      </c>
      <c r="Y22" s="32" t="str">
        <f t="shared" si="0"/>
        <v>MGT2203Nguyên lý thống kê</v>
      </c>
    </row>
    <row r="23" spans="1:25" ht="15.75" customHeight="1" x14ac:dyDescent="0.25">
      <c r="A23" s="3">
        <v>19</v>
      </c>
      <c r="B23" s="3" t="s">
        <v>46</v>
      </c>
      <c r="C23" s="4" t="s">
        <v>210</v>
      </c>
      <c r="D23" s="5" t="s">
        <v>48</v>
      </c>
      <c r="E23" s="3">
        <v>2</v>
      </c>
      <c r="F23" s="7">
        <v>3</v>
      </c>
      <c r="G23" s="7">
        <v>0</v>
      </c>
      <c r="H23" s="7">
        <v>0</v>
      </c>
      <c r="I23" s="3">
        <v>45</v>
      </c>
      <c r="J23" s="3">
        <v>0</v>
      </c>
      <c r="K23" s="3">
        <v>0</v>
      </c>
      <c r="L23" s="3">
        <v>0</v>
      </c>
      <c r="M23" s="3">
        <v>90</v>
      </c>
      <c r="N23" s="3">
        <v>45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10</v>
      </c>
      <c r="X23" s="18" t="s">
        <v>232</v>
      </c>
      <c r="Y23" s="32" t="str">
        <f t="shared" si="0"/>
        <v>MGT2204Quản trị học</v>
      </c>
    </row>
    <row r="24" spans="1:25" ht="15.75" customHeight="1" x14ac:dyDescent="0.25">
      <c r="A24" s="3">
        <v>20</v>
      </c>
      <c r="B24" s="3" t="s">
        <v>46</v>
      </c>
      <c r="C24" s="4" t="s">
        <v>212</v>
      </c>
      <c r="D24" s="5" t="s">
        <v>52</v>
      </c>
      <c r="E24" s="3">
        <v>3</v>
      </c>
      <c r="F24" s="7">
        <v>3</v>
      </c>
      <c r="G24" s="7">
        <v>0</v>
      </c>
      <c r="H24" s="7">
        <v>0</v>
      </c>
      <c r="I24" s="3">
        <v>45</v>
      </c>
      <c r="J24" s="3">
        <v>0</v>
      </c>
      <c r="K24" s="3">
        <v>0</v>
      </c>
      <c r="L24" s="3">
        <v>0</v>
      </c>
      <c r="M24" s="3">
        <v>90</v>
      </c>
      <c r="N24" s="3">
        <v>45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10</v>
      </c>
      <c r="X24" s="18" t="s">
        <v>232</v>
      </c>
      <c r="Y24" s="32" t="str">
        <f t="shared" si="0"/>
        <v>MGT2206Kinh tế học vĩ mô</v>
      </c>
    </row>
    <row r="25" spans="1:25" ht="15.75" customHeight="1" x14ac:dyDescent="0.25">
      <c r="A25" s="3">
        <v>21</v>
      </c>
      <c r="B25" s="3" t="s">
        <v>46</v>
      </c>
      <c r="C25" s="4" t="s">
        <v>143</v>
      </c>
      <c r="D25" s="5" t="s">
        <v>60</v>
      </c>
      <c r="E25" s="3">
        <v>3</v>
      </c>
      <c r="F25" s="7">
        <v>3</v>
      </c>
      <c r="G25" s="7">
        <v>0</v>
      </c>
      <c r="H25" s="7">
        <v>0</v>
      </c>
      <c r="I25" s="3">
        <v>45</v>
      </c>
      <c r="J25" s="3">
        <v>0</v>
      </c>
      <c r="K25" s="3">
        <v>0</v>
      </c>
      <c r="L25" s="3">
        <v>0</v>
      </c>
      <c r="M25" s="3">
        <v>90</v>
      </c>
      <c r="N25" s="3">
        <v>45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10</v>
      </c>
      <c r="X25" s="18" t="s">
        <v>232</v>
      </c>
      <c r="Y25" s="32" t="str">
        <f t="shared" si="0"/>
        <v>ACC2220Nguyên lý kế toán</v>
      </c>
    </row>
    <row r="26" spans="1:25" ht="15.75" customHeight="1" x14ac:dyDescent="0.25">
      <c r="A26" s="3">
        <v>22</v>
      </c>
      <c r="B26" s="3" t="s">
        <v>46</v>
      </c>
      <c r="C26" s="4" t="s">
        <v>146</v>
      </c>
      <c r="D26" s="5" t="s">
        <v>147</v>
      </c>
      <c r="E26" s="3">
        <v>3</v>
      </c>
      <c r="F26" s="7">
        <v>3</v>
      </c>
      <c r="G26" s="7">
        <v>0</v>
      </c>
      <c r="H26" s="7">
        <v>0</v>
      </c>
      <c r="I26" s="3">
        <v>45</v>
      </c>
      <c r="J26" s="3">
        <v>0</v>
      </c>
      <c r="K26" s="3">
        <v>0</v>
      </c>
      <c r="L26" s="3">
        <v>0</v>
      </c>
      <c r="M26" s="3">
        <v>90</v>
      </c>
      <c r="N26" s="3">
        <v>45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10</v>
      </c>
      <c r="X26" s="18" t="s">
        <v>232</v>
      </c>
      <c r="Y26" s="32" t="str">
        <f t="shared" si="0"/>
        <v>ACC2204Lý thuyết tài chính tiền tệ</v>
      </c>
    </row>
    <row r="27" spans="1:25" ht="15.75" customHeight="1" x14ac:dyDescent="0.25">
      <c r="A27" s="3">
        <v>23</v>
      </c>
      <c r="B27" s="3" t="s">
        <v>46</v>
      </c>
      <c r="C27" s="4" t="s">
        <v>236</v>
      </c>
      <c r="D27" s="5" t="s">
        <v>237</v>
      </c>
      <c r="E27" s="3">
        <v>3</v>
      </c>
      <c r="F27" s="7">
        <v>2</v>
      </c>
      <c r="G27" s="7">
        <v>0</v>
      </c>
      <c r="H27" s="7">
        <v>0</v>
      </c>
      <c r="I27" s="3">
        <v>30</v>
      </c>
      <c r="J27" s="3">
        <v>0</v>
      </c>
      <c r="K27" s="3">
        <v>0</v>
      </c>
      <c r="L27" s="3">
        <v>0</v>
      </c>
      <c r="M27" s="3">
        <v>60</v>
      </c>
      <c r="N27" s="3">
        <v>30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10</v>
      </c>
      <c r="X27" s="18" t="s">
        <v>232</v>
      </c>
      <c r="Y27" s="32" t="str">
        <f t="shared" si="0"/>
        <v>BAF2202Quản lý năng suất chất lượng</v>
      </c>
    </row>
    <row r="28" spans="1:25" ht="15.75" customHeight="1" x14ac:dyDescent="0.25">
      <c r="A28" s="3">
        <v>24</v>
      </c>
      <c r="B28" s="3" t="s">
        <v>46</v>
      </c>
      <c r="C28" s="4" t="s">
        <v>214</v>
      </c>
      <c r="D28" s="5" t="s">
        <v>64</v>
      </c>
      <c r="E28" s="3">
        <v>4</v>
      </c>
      <c r="F28" s="7">
        <v>3</v>
      </c>
      <c r="G28" s="7">
        <v>0</v>
      </c>
      <c r="H28" s="7">
        <v>0</v>
      </c>
      <c r="I28" s="3">
        <v>45</v>
      </c>
      <c r="J28" s="3">
        <v>0</v>
      </c>
      <c r="K28" s="3">
        <v>0</v>
      </c>
      <c r="L28" s="3">
        <v>0</v>
      </c>
      <c r="M28" s="3">
        <v>90</v>
      </c>
      <c r="N28" s="3">
        <v>45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10</v>
      </c>
      <c r="X28" s="18" t="s">
        <v>232</v>
      </c>
      <c r="Y28" s="32" t="str">
        <f t="shared" si="0"/>
        <v>ACC2203Kiểm toán căn bản</v>
      </c>
    </row>
    <row r="29" spans="1:25" ht="15.75" customHeight="1" x14ac:dyDescent="0.25">
      <c r="A29" s="3">
        <v>25</v>
      </c>
      <c r="B29" s="3" t="s">
        <v>46</v>
      </c>
      <c r="C29" s="4" t="s">
        <v>240</v>
      </c>
      <c r="D29" s="5" t="s">
        <v>241</v>
      </c>
      <c r="E29" s="3">
        <v>1</v>
      </c>
      <c r="F29" s="7">
        <v>2</v>
      </c>
      <c r="G29" s="7">
        <v>0</v>
      </c>
      <c r="H29" s="7">
        <v>0</v>
      </c>
      <c r="I29" s="3">
        <v>30</v>
      </c>
      <c r="J29" s="3">
        <v>0</v>
      </c>
      <c r="K29" s="3">
        <v>0</v>
      </c>
      <c r="L29" s="3">
        <v>0</v>
      </c>
      <c r="M29" s="3">
        <v>60</v>
      </c>
      <c r="N29" s="3">
        <v>30</v>
      </c>
      <c r="O29" s="3">
        <v>0</v>
      </c>
      <c r="P29" s="3">
        <v>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10</v>
      </c>
      <c r="X29" s="18" t="s">
        <v>232</v>
      </c>
      <c r="Y29" s="32" t="str">
        <f t="shared" si="0"/>
        <v>ACC2251Đạo đức nghề nghiệp Kế toán – Tài chính</v>
      </c>
    </row>
    <row r="30" spans="1:25" ht="15.75" customHeight="1" x14ac:dyDescent="0.25">
      <c r="A30" s="3">
        <v>26</v>
      </c>
      <c r="B30" s="3" t="s">
        <v>46</v>
      </c>
      <c r="C30" s="4" t="s">
        <v>251</v>
      </c>
      <c r="D30" s="5" t="s">
        <v>252</v>
      </c>
      <c r="E30" s="3">
        <v>1</v>
      </c>
      <c r="F30" s="7">
        <v>2</v>
      </c>
      <c r="G30" s="7">
        <v>1</v>
      </c>
      <c r="H30" s="7">
        <v>0</v>
      </c>
      <c r="I30" s="3">
        <v>15</v>
      </c>
      <c r="J30" s="3">
        <v>30</v>
      </c>
      <c r="K30" s="3">
        <v>0</v>
      </c>
      <c r="L30" s="3">
        <v>0</v>
      </c>
      <c r="M30" s="3">
        <v>45</v>
      </c>
      <c r="N30" s="3">
        <v>45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10</v>
      </c>
      <c r="X30" s="18" t="s">
        <v>232</v>
      </c>
      <c r="Y30" s="32" t="str">
        <f t="shared" si="0"/>
        <v>MGT1201Kỹ năng giao tiếp và thuyết trình</v>
      </c>
    </row>
    <row r="31" spans="1:25" ht="15.75" customHeight="1" x14ac:dyDescent="0.25">
      <c r="A31" s="3">
        <v>27</v>
      </c>
      <c r="B31" s="3" t="s">
        <v>46</v>
      </c>
      <c r="C31" s="4" t="s">
        <v>242</v>
      </c>
      <c r="D31" s="5" t="s">
        <v>243</v>
      </c>
      <c r="E31" s="3">
        <v>2</v>
      </c>
      <c r="F31" s="7">
        <v>3</v>
      </c>
      <c r="G31" s="7">
        <v>0</v>
      </c>
      <c r="H31" s="7">
        <v>0</v>
      </c>
      <c r="I31" s="3">
        <v>45</v>
      </c>
      <c r="J31" s="3">
        <v>0</v>
      </c>
      <c r="K31" s="3">
        <v>0</v>
      </c>
      <c r="L31" s="3">
        <v>0</v>
      </c>
      <c r="M31" s="3">
        <v>90</v>
      </c>
      <c r="N31" s="3">
        <v>45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10</v>
      </c>
      <c r="X31" s="18" t="s">
        <v>232</v>
      </c>
      <c r="Y31" s="32" t="str">
        <f t="shared" si="0"/>
        <v>MGT2232Toán kinh tế</v>
      </c>
    </row>
    <row r="32" spans="1:25" ht="15.75" customHeight="1" x14ac:dyDescent="0.25">
      <c r="A32" s="3">
        <v>28</v>
      </c>
      <c r="B32" s="3" t="s">
        <v>46</v>
      </c>
      <c r="C32" s="4" t="s">
        <v>160</v>
      </c>
      <c r="D32" s="5" t="s">
        <v>66</v>
      </c>
      <c r="E32" s="3">
        <v>2</v>
      </c>
      <c r="F32" s="7">
        <v>3</v>
      </c>
      <c r="G32" s="7">
        <v>2</v>
      </c>
      <c r="H32" s="7">
        <v>0</v>
      </c>
      <c r="I32" s="3">
        <v>15</v>
      </c>
      <c r="J32" s="3">
        <v>60</v>
      </c>
      <c r="K32" s="3">
        <v>0</v>
      </c>
      <c r="L32" s="3">
        <v>0</v>
      </c>
      <c r="M32" s="3">
        <v>60</v>
      </c>
      <c r="N32" s="3">
        <v>75</v>
      </c>
      <c r="O32" s="3">
        <v>0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</v>
      </c>
      <c r="X32" s="18" t="s">
        <v>232</v>
      </c>
      <c r="Y32" s="32" t="str">
        <f t="shared" si="0"/>
        <v>MGT2213Tin học ứng dụng</v>
      </c>
    </row>
    <row r="33" spans="1:25" ht="15.75" customHeight="1" x14ac:dyDescent="0.25">
      <c r="A33" s="3">
        <v>29</v>
      </c>
      <c r="B33" s="3" t="s">
        <v>46</v>
      </c>
      <c r="C33" s="4" t="s">
        <v>216</v>
      </c>
      <c r="D33" s="5" t="s">
        <v>42</v>
      </c>
      <c r="E33" s="3">
        <v>2</v>
      </c>
      <c r="F33" s="7">
        <v>3</v>
      </c>
      <c r="G33" s="7">
        <v>0</v>
      </c>
      <c r="H33" s="7">
        <v>0</v>
      </c>
      <c r="I33" s="3">
        <v>45</v>
      </c>
      <c r="J33" s="3">
        <v>0</v>
      </c>
      <c r="K33" s="3">
        <v>0</v>
      </c>
      <c r="L33" s="3">
        <v>0</v>
      </c>
      <c r="M33" s="3">
        <v>90</v>
      </c>
      <c r="N33" s="3">
        <v>45</v>
      </c>
      <c r="O33" s="3">
        <v>0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10</v>
      </c>
      <c r="X33" s="18" t="s">
        <v>232</v>
      </c>
      <c r="Y33" s="32" t="str">
        <f t="shared" si="0"/>
        <v>MGT2209Kinh tế lượng</v>
      </c>
    </row>
    <row r="34" spans="1:25" ht="15.75" customHeight="1" x14ac:dyDescent="0.25">
      <c r="A34" s="3">
        <v>30</v>
      </c>
      <c r="B34" s="3" t="s">
        <v>46</v>
      </c>
      <c r="C34" s="4" t="s">
        <v>206</v>
      </c>
      <c r="D34" s="5" t="s">
        <v>56</v>
      </c>
      <c r="E34" s="3">
        <v>3</v>
      </c>
      <c r="F34" s="7">
        <v>2</v>
      </c>
      <c r="G34" s="7">
        <v>0</v>
      </c>
      <c r="H34" s="7">
        <v>0</v>
      </c>
      <c r="I34" s="3">
        <v>30</v>
      </c>
      <c r="J34" s="3">
        <v>0</v>
      </c>
      <c r="K34" s="3">
        <v>0</v>
      </c>
      <c r="L34" s="3">
        <v>0</v>
      </c>
      <c r="M34" s="3">
        <v>60</v>
      </c>
      <c r="N34" s="3">
        <v>30</v>
      </c>
      <c r="O34" s="3">
        <v>0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10</v>
      </c>
      <c r="X34" s="18" t="s">
        <v>232</v>
      </c>
      <c r="Y34" s="32" t="str">
        <f t="shared" si="0"/>
        <v>MPP2202Marketing căn bản</v>
      </c>
    </row>
    <row r="35" spans="1:25" ht="15.75" customHeight="1" x14ac:dyDescent="0.25">
      <c r="A35" s="3">
        <v>31</v>
      </c>
      <c r="B35" s="3" t="s">
        <v>46</v>
      </c>
      <c r="C35" s="4" t="s">
        <v>164</v>
      </c>
      <c r="D35" s="5" t="s">
        <v>76</v>
      </c>
      <c r="E35" s="3">
        <v>3</v>
      </c>
      <c r="F35" s="7">
        <v>2</v>
      </c>
      <c r="G35" s="7">
        <v>1</v>
      </c>
      <c r="H35" s="7">
        <v>0</v>
      </c>
      <c r="I35" s="3">
        <v>15</v>
      </c>
      <c r="J35" s="3">
        <v>30</v>
      </c>
      <c r="K35" s="3">
        <v>0</v>
      </c>
      <c r="L35" s="3">
        <v>0</v>
      </c>
      <c r="M35" s="3">
        <v>45</v>
      </c>
      <c r="N35" s="3">
        <v>45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10</v>
      </c>
      <c r="X35" s="18" t="s">
        <v>232</v>
      </c>
      <c r="Y35" s="32" t="str">
        <f t="shared" si="0"/>
        <v>MGT3215Thống kê doanh nghiệp</v>
      </c>
    </row>
    <row r="36" spans="1:25" ht="15.75" customHeight="1" x14ac:dyDescent="0.25">
      <c r="A36" s="3">
        <v>32</v>
      </c>
      <c r="B36" s="3" t="s">
        <v>46</v>
      </c>
      <c r="C36" s="4" t="s">
        <v>249</v>
      </c>
      <c r="D36" s="5" t="s">
        <v>250</v>
      </c>
      <c r="E36" s="3">
        <v>3</v>
      </c>
      <c r="F36" s="7">
        <v>2</v>
      </c>
      <c r="G36" s="7">
        <v>1</v>
      </c>
      <c r="H36" s="7">
        <v>0</v>
      </c>
      <c r="I36" s="3">
        <v>15</v>
      </c>
      <c r="J36" s="3">
        <v>30</v>
      </c>
      <c r="K36" s="3">
        <v>0</v>
      </c>
      <c r="L36" s="3">
        <v>0</v>
      </c>
      <c r="M36" s="3">
        <v>45</v>
      </c>
      <c r="N36" s="3">
        <v>45</v>
      </c>
      <c r="O36" s="3">
        <v>0</v>
      </c>
      <c r="P36" s="3">
        <v>1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10</v>
      </c>
      <c r="X36" s="18" t="s">
        <v>232</v>
      </c>
      <c r="Y36" s="32" t="str">
        <f t="shared" si="0"/>
        <v>MGT1204Phương pháp Nghiên cứu khoa học</v>
      </c>
    </row>
    <row r="37" spans="1:25" ht="15.75" customHeight="1" x14ac:dyDescent="0.25">
      <c r="A37" s="3">
        <v>33</v>
      </c>
      <c r="B37" s="3" t="s">
        <v>46</v>
      </c>
      <c r="C37" s="4" t="s">
        <v>246</v>
      </c>
      <c r="D37" s="5" t="s">
        <v>247</v>
      </c>
      <c r="E37" s="3">
        <v>4</v>
      </c>
      <c r="F37" s="7">
        <v>3</v>
      </c>
      <c r="G37" s="7">
        <v>1</v>
      </c>
      <c r="H37" s="7">
        <v>0</v>
      </c>
      <c r="I37" s="3">
        <v>30</v>
      </c>
      <c r="J37" s="3">
        <v>30</v>
      </c>
      <c r="K37" s="3">
        <v>0</v>
      </c>
      <c r="L37" s="3">
        <v>0</v>
      </c>
      <c r="M37" s="3">
        <v>75</v>
      </c>
      <c r="N37" s="3">
        <v>60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10</v>
      </c>
      <c r="X37" s="18" t="s">
        <v>232</v>
      </c>
      <c r="Y37" s="32" t="str">
        <f t="shared" si="0"/>
        <v>MGT3264Khởi sự kinh doanh</v>
      </c>
    </row>
    <row r="38" spans="1:25" ht="15.75" customHeight="1" x14ac:dyDescent="0.25">
      <c r="A38" s="3">
        <v>34</v>
      </c>
      <c r="B38" s="3" t="s">
        <v>46</v>
      </c>
      <c r="C38" s="4" t="s">
        <v>253</v>
      </c>
      <c r="D38" s="5" t="s">
        <v>254</v>
      </c>
      <c r="E38" s="3">
        <v>4</v>
      </c>
      <c r="F38" s="7">
        <v>3</v>
      </c>
      <c r="G38" s="7">
        <v>0</v>
      </c>
      <c r="H38" s="7">
        <v>0</v>
      </c>
      <c r="I38" s="3">
        <v>45</v>
      </c>
      <c r="J38" s="3">
        <v>0</v>
      </c>
      <c r="K38" s="3">
        <v>0</v>
      </c>
      <c r="L38" s="3">
        <v>0</v>
      </c>
      <c r="M38" s="3">
        <v>90</v>
      </c>
      <c r="N38" s="3">
        <v>45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10</v>
      </c>
      <c r="X38" s="18" t="s">
        <v>232</v>
      </c>
      <c r="Y38" s="32" t="str">
        <f t="shared" si="0"/>
        <v>BAF3205Các thị trường tài chính</v>
      </c>
    </row>
    <row r="39" spans="1:25" ht="15.75" customHeight="1" x14ac:dyDescent="0.25">
      <c r="A39" s="3">
        <v>35</v>
      </c>
      <c r="B39" s="3" t="s">
        <v>74</v>
      </c>
      <c r="C39" s="4" t="s">
        <v>162</v>
      </c>
      <c r="D39" s="5" t="s">
        <v>163</v>
      </c>
      <c r="E39" s="3">
        <v>3</v>
      </c>
      <c r="F39" s="7">
        <v>2</v>
      </c>
      <c r="G39" s="7">
        <v>2</v>
      </c>
      <c r="H39" s="7">
        <v>0</v>
      </c>
      <c r="I39" s="3">
        <v>0</v>
      </c>
      <c r="J39" s="3">
        <v>90</v>
      </c>
      <c r="K39" s="3">
        <v>0</v>
      </c>
      <c r="L39" s="3">
        <v>0</v>
      </c>
      <c r="M39" s="3">
        <v>90</v>
      </c>
      <c r="N39" s="3">
        <v>90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10</v>
      </c>
      <c r="X39" s="18" t="s">
        <v>232</v>
      </c>
      <c r="Y39" s="32" t="str">
        <f t="shared" si="0"/>
        <v>ACC3207Thực tập nhận thức ngành</v>
      </c>
    </row>
    <row r="40" spans="1:25" ht="15.75" customHeight="1" x14ac:dyDescent="0.25">
      <c r="A40" s="3">
        <v>36</v>
      </c>
      <c r="B40" s="3" t="s">
        <v>74</v>
      </c>
      <c r="C40" s="4" t="s">
        <v>305</v>
      </c>
      <c r="D40" s="5" t="s">
        <v>306</v>
      </c>
      <c r="E40" s="3">
        <v>4</v>
      </c>
      <c r="F40" s="7">
        <v>3</v>
      </c>
      <c r="G40" s="7">
        <v>0</v>
      </c>
      <c r="H40" s="7">
        <v>0</v>
      </c>
      <c r="I40" s="3">
        <v>45</v>
      </c>
      <c r="J40" s="3">
        <v>0</v>
      </c>
      <c r="K40" s="3">
        <v>0</v>
      </c>
      <c r="L40" s="3">
        <v>0</v>
      </c>
      <c r="M40" s="3">
        <v>90</v>
      </c>
      <c r="N40" s="3">
        <v>45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10</v>
      </c>
      <c r="X40" s="18" t="s">
        <v>232</v>
      </c>
      <c r="Y40" s="32" t="str">
        <f t="shared" si="0"/>
        <v>BAF3280Tiếng Anh Tài chính - Kế toán 1</v>
      </c>
    </row>
    <row r="41" spans="1:25" ht="15.75" customHeight="1" x14ac:dyDescent="0.25">
      <c r="A41" s="3">
        <v>37</v>
      </c>
      <c r="B41" s="3" t="s">
        <v>74</v>
      </c>
      <c r="C41" s="4" t="s">
        <v>167</v>
      </c>
      <c r="D41" s="5" t="s">
        <v>86</v>
      </c>
      <c r="E41" s="3">
        <v>4</v>
      </c>
      <c r="F41" s="7">
        <v>4</v>
      </c>
      <c r="G41" s="7">
        <v>0</v>
      </c>
      <c r="H41" s="7">
        <v>0</v>
      </c>
      <c r="I41" s="3">
        <v>60</v>
      </c>
      <c r="J41" s="3">
        <v>0</v>
      </c>
      <c r="K41" s="3">
        <v>0</v>
      </c>
      <c r="L41" s="3">
        <v>0</v>
      </c>
      <c r="M41" s="3">
        <v>120</v>
      </c>
      <c r="N41" s="3">
        <v>60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</v>
      </c>
      <c r="X41" s="18" t="s">
        <v>232</v>
      </c>
      <c r="Y41" s="32" t="str">
        <f t="shared" si="0"/>
        <v>ACC3209Kế toán tài chính 1</v>
      </c>
    </row>
    <row r="42" spans="1:25" ht="15.75" customHeight="1" x14ac:dyDescent="0.25">
      <c r="A42" s="3">
        <v>38</v>
      </c>
      <c r="B42" s="3" t="s">
        <v>74</v>
      </c>
      <c r="C42" s="4" t="s">
        <v>165</v>
      </c>
      <c r="D42" s="5" t="s">
        <v>78</v>
      </c>
      <c r="E42" s="3">
        <v>4</v>
      </c>
      <c r="F42" s="7">
        <v>3</v>
      </c>
      <c r="G42" s="7">
        <v>0</v>
      </c>
      <c r="H42" s="7">
        <v>0</v>
      </c>
      <c r="I42" s="3">
        <v>45</v>
      </c>
      <c r="J42" s="3">
        <v>0</v>
      </c>
      <c r="K42" s="3">
        <v>0</v>
      </c>
      <c r="L42" s="3">
        <v>0</v>
      </c>
      <c r="M42" s="3">
        <v>90</v>
      </c>
      <c r="N42" s="3">
        <v>45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10</v>
      </c>
      <c r="X42" s="18" t="s">
        <v>232</v>
      </c>
      <c r="Y42" s="32" t="str">
        <f t="shared" si="0"/>
        <v>ACC3208Tài chính doanh nghiệp</v>
      </c>
    </row>
    <row r="43" spans="1:25" ht="15.75" customHeight="1" x14ac:dyDescent="0.25">
      <c r="A43" s="3">
        <v>39</v>
      </c>
      <c r="B43" s="3" t="s">
        <v>74</v>
      </c>
      <c r="C43" s="4" t="s">
        <v>106</v>
      </c>
      <c r="D43" s="5" t="s">
        <v>107</v>
      </c>
      <c r="E43" s="3">
        <v>4</v>
      </c>
      <c r="F43" s="7">
        <v>3</v>
      </c>
      <c r="G43" s="7">
        <v>0</v>
      </c>
      <c r="H43" s="7">
        <v>0</v>
      </c>
      <c r="I43" s="3">
        <v>45</v>
      </c>
      <c r="J43" s="3">
        <v>0</v>
      </c>
      <c r="K43" s="3">
        <v>0</v>
      </c>
      <c r="L43" s="3">
        <v>0</v>
      </c>
      <c r="M43" s="3">
        <v>90</v>
      </c>
      <c r="N43" s="3">
        <v>45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</v>
      </c>
      <c r="X43" s="18" t="s">
        <v>232</v>
      </c>
      <c r="Y43" s="32" t="str">
        <f t="shared" si="0"/>
        <v>ACC3217Kế toán hành chính sự nghiệp</v>
      </c>
    </row>
    <row r="44" spans="1:25" ht="15.75" customHeight="1" x14ac:dyDescent="0.25">
      <c r="A44" s="3">
        <v>40</v>
      </c>
      <c r="B44" s="3" t="s">
        <v>74</v>
      </c>
      <c r="C44" s="4" t="s">
        <v>87</v>
      </c>
      <c r="D44" s="5" t="s">
        <v>88</v>
      </c>
      <c r="E44" s="3">
        <v>5</v>
      </c>
      <c r="F44" s="7">
        <v>4</v>
      </c>
      <c r="G44" s="7">
        <v>0</v>
      </c>
      <c r="H44" s="7">
        <v>0</v>
      </c>
      <c r="I44" s="3">
        <v>60</v>
      </c>
      <c r="J44" s="3">
        <v>0</v>
      </c>
      <c r="K44" s="3">
        <v>0</v>
      </c>
      <c r="L44" s="3">
        <v>0</v>
      </c>
      <c r="M44" s="3">
        <v>120</v>
      </c>
      <c r="N44" s="3">
        <v>60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</v>
      </c>
      <c r="X44" s="18" t="s">
        <v>232</v>
      </c>
      <c r="Y44" s="32" t="str">
        <f t="shared" si="0"/>
        <v>ACC3211Kế toán tài chính 2</v>
      </c>
    </row>
    <row r="45" spans="1:25" ht="15.75" customHeight="1" x14ac:dyDescent="0.25">
      <c r="A45" s="3">
        <v>41</v>
      </c>
      <c r="B45" s="3" t="s">
        <v>74</v>
      </c>
      <c r="C45" s="4" t="s">
        <v>97</v>
      </c>
      <c r="D45" s="5" t="s">
        <v>98</v>
      </c>
      <c r="E45" s="3">
        <v>5</v>
      </c>
      <c r="F45" s="7">
        <v>4</v>
      </c>
      <c r="G45" s="7">
        <v>0</v>
      </c>
      <c r="H45" s="7">
        <v>0</v>
      </c>
      <c r="I45" s="3">
        <v>60</v>
      </c>
      <c r="J45" s="3">
        <v>0</v>
      </c>
      <c r="K45" s="3">
        <v>0</v>
      </c>
      <c r="L45" s="3">
        <v>0</v>
      </c>
      <c r="M45" s="3">
        <v>120</v>
      </c>
      <c r="N45" s="3">
        <v>60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10</v>
      </c>
      <c r="X45" s="18" t="s">
        <v>232</v>
      </c>
      <c r="Y45" s="32" t="str">
        <f t="shared" si="0"/>
        <v>ACC3212Kế toán quản trị</v>
      </c>
    </row>
    <row r="46" spans="1:25" ht="15.75" customHeight="1" x14ac:dyDescent="0.25">
      <c r="A46" s="3">
        <v>42</v>
      </c>
      <c r="B46" s="3" t="s">
        <v>74</v>
      </c>
      <c r="C46" s="4" t="s">
        <v>171</v>
      </c>
      <c r="D46" s="5" t="s">
        <v>172</v>
      </c>
      <c r="E46" s="3">
        <v>5</v>
      </c>
      <c r="F46" s="7">
        <v>3</v>
      </c>
      <c r="G46" s="7">
        <v>1</v>
      </c>
      <c r="H46" s="7">
        <v>0</v>
      </c>
      <c r="I46" s="3">
        <v>30</v>
      </c>
      <c r="J46" s="3">
        <v>0</v>
      </c>
      <c r="K46" s="3">
        <v>0</v>
      </c>
      <c r="L46" s="3">
        <v>0</v>
      </c>
      <c r="M46" s="3">
        <v>75</v>
      </c>
      <c r="N46" s="3">
        <v>30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</v>
      </c>
      <c r="X46" s="18" t="s">
        <v>232</v>
      </c>
      <c r="Y46" s="32" t="str">
        <f t="shared" si="0"/>
        <v>ACC3214Thuế và kế toán thuế</v>
      </c>
    </row>
    <row r="47" spans="1:25" ht="15.75" customHeight="1" x14ac:dyDescent="0.25">
      <c r="A47" s="3">
        <v>43</v>
      </c>
      <c r="B47" s="3" t="s">
        <v>74</v>
      </c>
      <c r="C47" s="4" t="s">
        <v>307</v>
      </c>
      <c r="D47" s="5" t="s">
        <v>181</v>
      </c>
      <c r="E47" s="3">
        <v>5</v>
      </c>
      <c r="F47" s="7">
        <v>3</v>
      </c>
      <c r="G47" s="7">
        <v>3</v>
      </c>
      <c r="H47" s="7">
        <v>0</v>
      </c>
      <c r="I47" s="3">
        <v>0</v>
      </c>
      <c r="J47" s="3">
        <v>135</v>
      </c>
      <c r="K47" s="3">
        <v>0</v>
      </c>
      <c r="L47" s="3">
        <v>0</v>
      </c>
      <c r="M47" s="3">
        <v>135</v>
      </c>
      <c r="N47" s="3">
        <v>135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10</v>
      </c>
      <c r="X47" s="18" t="s">
        <v>232</v>
      </c>
      <c r="Y47" s="32" t="str">
        <f t="shared" si="0"/>
        <v>ACC3275Thực tập chuyên ngành</v>
      </c>
    </row>
    <row r="48" spans="1:25" ht="15.75" customHeight="1" x14ac:dyDescent="0.25">
      <c r="A48" s="3">
        <v>44</v>
      </c>
      <c r="B48" s="3" t="s">
        <v>74</v>
      </c>
      <c r="C48" s="4" t="s">
        <v>308</v>
      </c>
      <c r="D48" s="5" t="s">
        <v>309</v>
      </c>
      <c r="E48" s="3">
        <v>5</v>
      </c>
      <c r="F48" s="7">
        <v>3</v>
      </c>
      <c r="G48" s="7">
        <v>0</v>
      </c>
      <c r="H48" s="7">
        <v>0</v>
      </c>
      <c r="I48" s="3">
        <v>45</v>
      </c>
      <c r="J48" s="3">
        <v>0</v>
      </c>
      <c r="K48" s="3">
        <v>0</v>
      </c>
      <c r="L48" s="3">
        <v>0</v>
      </c>
      <c r="M48" s="3">
        <v>90</v>
      </c>
      <c r="N48" s="3">
        <v>45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</v>
      </c>
      <c r="X48" s="18" t="s">
        <v>232</v>
      </c>
      <c r="Y48" s="32" t="str">
        <f t="shared" si="0"/>
        <v>BAF3281Tiếng Anh Tài chính - Kế toán 2</v>
      </c>
    </row>
    <row r="49" spans="1:25" ht="15.75" customHeight="1" x14ac:dyDescent="0.25">
      <c r="A49" s="3">
        <v>45</v>
      </c>
      <c r="B49" s="3" t="s">
        <v>74</v>
      </c>
      <c r="C49" s="4" t="s">
        <v>258</v>
      </c>
      <c r="D49" s="5" t="s">
        <v>259</v>
      </c>
      <c r="E49" s="3">
        <v>6</v>
      </c>
      <c r="F49" s="7">
        <v>3</v>
      </c>
      <c r="G49" s="7">
        <v>0</v>
      </c>
      <c r="H49" s="7">
        <v>0</v>
      </c>
      <c r="I49" s="3">
        <v>45</v>
      </c>
      <c r="J49" s="3">
        <v>0</v>
      </c>
      <c r="K49" s="3">
        <v>0</v>
      </c>
      <c r="L49" s="3">
        <v>0</v>
      </c>
      <c r="M49" s="3">
        <v>90</v>
      </c>
      <c r="N49" s="3">
        <v>45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</v>
      </c>
      <c r="X49" s="18" t="s">
        <v>232</v>
      </c>
      <c r="Y49" s="32" t="str">
        <f t="shared" si="0"/>
        <v>ACC3260Phân tích báo cáo tài chính</v>
      </c>
    </row>
    <row r="50" spans="1:25" ht="15.75" customHeight="1" x14ac:dyDescent="0.25">
      <c r="A50" s="3">
        <v>46</v>
      </c>
      <c r="B50" s="3" t="s">
        <v>74</v>
      </c>
      <c r="C50" s="4" t="s">
        <v>95</v>
      </c>
      <c r="D50" s="5" t="s">
        <v>96</v>
      </c>
      <c r="E50" s="3">
        <v>6</v>
      </c>
      <c r="F50" s="7">
        <v>3</v>
      </c>
      <c r="G50" s="7">
        <v>0</v>
      </c>
      <c r="H50" s="7">
        <v>0</v>
      </c>
      <c r="I50" s="3">
        <v>45</v>
      </c>
      <c r="J50" s="3">
        <v>0</v>
      </c>
      <c r="K50" s="3">
        <v>0</v>
      </c>
      <c r="L50" s="3">
        <v>0</v>
      </c>
      <c r="M50" s="3">
        <v>90</v>
      </c>
      <c r="N50" s="3">
        <v>45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10</v>
      </c>
      <c r="X50" s="18" t="s">
        <v>232</v>
      </c>
      <c r="Y50" s="32" t="str">
        <f t="shared" si="0"/>
        <v>ACC3219Kiểm toán báo cáo tài chính</v>
      </c>
    </row>
    <row r="51" spans="1:25" ht="15.75" customHeight="1" x14ac:dyDescent="0.25">
      <c r="A51" s="3">
        <v>47</v>
      </c>
      <c r="B51" s="3" t="s">
        <v>74</v>
      </c>
      <c r="C51" s="4" t="s">
        <v>177</v>
      </c>
      <c r="D51" s="5" t="s">
        <v>178</v>
      </c>
      <c r="E51" s="3">
        <v>6</v>
      </c>
      <c r="F51" s="7">
        <v>3</v>
      </c>
      <c r="G51" s="7">
        <v>2</v>
      </c>
      <c r="H51" s="7">
        <v>0</v>
      </c>
      <c r="I51" s="3">
        <v>15</v>
      </c>
      <c r="J51" s="3">
        <v>60</v>
      </c>
      <c r="K51" s="3">
        <v>0</v>
      </c>
      <c r="L51" s="3">
        <v>0</v>
      </c>
      <c r="M51" s="3">
        <v>60</v>
      </c>
      <c r="N51" s="3">
        <v>75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10</v>
      </c>
      <c r="X51" s="18" t="s">
        <v>232</v>
      </c>
      <c r="Y51" s="32" t="str">
        <f t="shared" si="0"/>
        <v>ACC3218Kế toán máy</v>
      </c>
    </row>
    <row r="52" spans="1:25" ht="15.75" customHeight="1" x14ac:dyDescent="0.25">
      <c r="A52" s="3">
        <v>48</v>
      </c>
      <c r="B52" s="3" t="s">
        <v>74</v>
      </c>
      <c r="C52" s="4" t="s">
        <v>168</v>
      </c>
      <c r="D52" s="5" t="s">
        <v>169</v>
      </c>
      <c r="E52" s="3">
        <v>4</v>
      </c>
      <c r="F52" s="7">
        <v>3</v>
      </c>
      <c r="G52" s="7">
        <v>0</v>
      </c>
      <c r="H52" s="7">
        <v>0</v>
      </c>
      <c r="I52" s="3">
        <v>45</v>
      </c>
      <c r="J52" s="3">
        <v>0</v>
      </c>
      <c r="K52" s="3">
        <v>0</v>
      </c>
      <c r="L52" s="3">
        <v>0</v>
      </c>
      <c r="M52" s="3">
        <v>90</v>
      </c>
      <c r="N52" s="3">
        <v>45</v>
      </c>
      <c r="O52" s="3">
        <v>0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</v>
      </c>
      <c r="X52" s="18" t="s">
        <v>232</v>
      </c>
      <c r="Y52" s="32" t="str">
        <f t="shared" si="0"/>
        <v>ACC3210Tổ chức công tác kế toán</v>
      </c>
    </row>
    <row r="53" spans="1:25" ht="15.75" customHeight="1" x14ac:dyDescent="0.25">
      <c r="A53" s="3">
        <v>49</v>
      </c>
      <c r="B53" s="3" t="s">
        <v>74</v>
      </c>
      <c r="C53" s="4" t="s">
        <v>196</v>
      </c>
      <c r="D53" s="5" t="s">
        <v>113</v>
      </c>
      <c r="E53" s="3">
        <v>6</v>
      </c>
      <c r="F53" s="7">
        <v>3</v>
      </c>
      <c r="G53" s="7">
        <v>0</v>
      </c>
      <c r="H53" s="7">
        <v>0</v>
      </c>
      <c r="I53" s="3">
        <v>45</v>
      </c>
      <c r="J53" s="3">
        <v>0</v>
      </c>
      <c r="K53" s="3">
        <v>0</v>
      </c>
      <c r="L53" s="3">
        <v>0</v>
      </c>
      <c r="M53" s="3">
        <v>90</v>
      </c>
      <c r="N53" s="3">
        <v>45</v>
      </c>
      <c r="O53" s="3">
        <v>0</v>
      </c>
      <c r="P53" s="3">
        <v>1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10</v>
      </c>
      <c r="X53" s="18" t="s">
        <v>232</v>
      </c>
      <c r="Y53" s="32" t="str">
        <f t="shared" si="0"/>
        <v>ACC3228Kế toán quốc tế</v>
      </c>
    </row>
    <row r="54" spans="1:25" ht="15.75" customHeight="1" x14ac:dyDescent="0.25">
      <c r="A54" s="3">
        <v>50</v>
      </c>
      <c r="B54" s="3" t="s">
        <v>74</v>
      </c>
      <c r="C54" s="4" t="s">
        <v>101</v>
      </c>
      <c r="D54" s="5" t="s">
        <v>102</v>
      </c>
      <c r="E54" s="3">
        <v>6</v>
      </c>
      <c r="F54" s="7">
        <v>3</v>
      </c>
      <c r="G54" s="7">
        <v>0</v>
      </c>
      <c r="H54" s="7">
        <v>0</v>
      </c>
      <c r="I54" s="3">
        <v>45</v>
      </c>
      <c r="J54" s="3">
        <v>0</v>
      </c>
      <c r="K54" s="3">
        <v>0</v>
      </c>
      <c r="L54" s="3">
        <v>0</v>
      </c>
      <c r="M54" s="3">
        <v>90</v>
      </c>
      <c r="N54" s="3">
        <v>45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10</v>
      </c>
      <c r="X54" s="18" t="s">
        <v>232</v>
      </c>
      <c r="Y54" s="32" t="str">
        <f t="shared" si="0"/>
        <v>ACC3226Kế toán ngân hàng thương mại</v>
      </c>
    </row>
    <row r="55" spans="1:25" ht="15.75" customHeight="1" x14ac:dyDescent="0.25">
      <c r="A55" s="3">
        <v>51</v>
      </c>
      <c r="B55" s="3" t="s">
        <v>74</v>
      </c>
      <c r="C55" s="4" t="s">
        <v>287</v>
      </c>
      <c r="D55" s="5" t="s">
        <v>288</v>
      </c>
      <c r="E55" s="3">
        <v>6</v>
      </c>
      <c r="F55" s="7">
        <v>3</v>
      </c>
      <c r="G55" s="7">
        <v>0</v>
      </c>
      <c r="H55" s="7">
        <v>0</v>
      </c>
      <c r="I55" s="3">
        <v>45</v>
      </c>
      <c r="J55" s="3">
        <v>0</v>
      </c>
      <c r="K55" s="3">
        <v>0</v>
      </c>
      <c r="L55" s="3">
        <v>0</v>
      </c>
      <c r="M55" s="3">
        <v>90</v>
      </c>
      <c r="N55" s="3">
        <v>45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10</v>
      </c>
      <c r="X55" s="18" t="s">
        <v>232</v>
      </c>
      <c r="Y55" s="32" t="str">
        <f t="shared" si="0"/>
        <v>ACC3268Kế toán tập đoàn</v>
      </c>
    </row>
    <row r="56" spans="1:25" ht="15.75" customHeight="1" x14ac:dyDescent="0.25">
      <c r="A56" s="3">
        <v>52</v>
      </c>
      <c r="B56" s="3" t="s">
        <v>74</v>
      </c>
      <c r="C56" s="4" t="s">
        <v>266</v>
      </c>
      <c r="D56" s="5" t="s">
        <v>267</v>
      </c>
      <c r="E56" s="3">
        <v>6</v>
      </c>
      <c r="F56" s="7">
        <v>3</v>
      </c>
      <c r="G56" s="7">
        <v>0</v>
      </c>
      <c r="H56" s="7">
        <v>0</v>
      </c>
      <c r="I56" s="3">
        <v>45</v>
      </c>
      <c r="J56" s="3">
        <v>0</v>
      </c>
      <c r="K56" s="3">
        <v>0</v>
      </c>
      <c r="L56" s="3">
        <v>0</v>
      </c>
      <c r="M56" s="3">
        <v>90</v>
      </c>
      <c r="N56" s="3">
        <v>45</v>
      </c>
      <c r="O56" s="3">
        <v>0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10</v>
      </c>
      <c r="X56" s="18" t="s">
        <v>232</v>
      </c>
      <c r="Y56" s="32" t="str">
        <f t="shared" si="0"/>
        <v>ACC3262Kế toán chi phí</v>
      </c>
    </row>
    <row r="57" spans="1:25" ht="15.75" customHeight="1" x14ac:dyDescent="0.25">
      <c r="A57" s="3">
        <v>53</v>
      </c>
      <c r="B57" s="3" t="s">
        <v>74</v>
      </c>
      <c r="C57" s="4" t="s">
        <v>174</v>
      </c>
      <c r="D57" s="5" t="s">
        <v>175</v>
      </c>
      <c r="E57" s="3">
        <v>6</v>
      </c>
      <c r="F57" s="7">
        <v>3</v>
      </c>
      <c r="G57" s="7">
        <v>2</v>
      </c>
      <c r="H57" s="7">
        <v>0</v>
      </c>
      <c r="I57" s="3">
        <v>15</v>
      </c>
      <c r="J57" s="3">
        <v>60</v>
      </c>
      <c r="K57" s="3">
        <v>0</v>
      </c>
      <c r="L57" s="3">
        <v>0</v>
      </c>
      <c r="M57" s="3">
        <v>60</v>
      </c>
      <c r="N57" s="3">
        <v>75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10</v>
      </c>
      <c r="X57" s="18" t="s">
        <v>232</v>
      </c>
      <c r="Y57" s="32" t="str">
        <f t="shared" si="0"/>
        <v xml:space="preserve">ACC3216Thực hành kế toán </v>
      </c>
    </row>
    <row r="58" spans="1:25" ht="15.75" customHeight="1" x14ac:dyDescent="0.25">
      <c r="A58" s="3">
        <v>54</v>
      </c>
      <c r="B58" s="3" t="s">
        <v>74</v>
      </c>
      <c r="C58" s="4" t="s">
        <v>285</v>
      </c>
      <c r="D58" s="5" t="s">
        <v>286</v>
      </c>
      <c r="E58" s="3">
        <v>6</v>
      </c>
      <c r="F58" s="7">
        <v>3</v>
      </c>
      <c r="G58" s="7">
        <v>0</v>
      </c>
      <c r="H58" s="7">
        <v>0</v>
      </c>
      <c r="I58" s="3">
        <v>45</v>
      </c>
      <c r="J58" s="3">
        <v>0</v>
      </c>
      <c r="K58" s="3">
        <v>0</v>
      </c>
      <c r="L58" s="3">
        <v>0</v>
      </c>
      <c r="M58" s="3">
        <v>90</v>
      </c>
      <c r="N58" s="3">
        <v>45</v>
      </c>
      <c r="O58" s="3">
        <v>0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</v>
      </c>
      <c r="X58" s="18" t="s">
        <v>232</v>
      </c>
      <c r="Y58" s="32" t="str">
        <f t="shared" si="0"/>
        <v>ACC3265Kế toán doanh nghiệp xây dựng</v>
      </c>
    </row>
    <row r="59" spans="1:25" ht="15.75" customHeight="1" x14ac:dyDescent="0.25">
      <c r="A59" s="3">
        <v>55</v>
      </c>
      <c r="B59" s="3" t="s">
        <v>74</v>
      </c>
      <c r="C59" s="4" t="s">
        <v>104</v>
      </c>
      <c r="D59" s="5" t="s">
        <v>105</v>
      </c>
      <c r="E59" s="3">
        <v>6</v>
      </c>
      <c r="F59" s="7">
        <v>3</v>
      </c>
      <c r="G59" s="7">
        <v>0</v>
      </c>
      <c r="H59" s="7">
        <v>0</v>
      </c>
      <c r="I59" s="3">
        <v>45</v>
      </c>
      <c r="J59" s="3">
        <v>0</v>
      </c>
      <c r="K59" s="3">
        <v>0</v>
      </c>
      <c r="L59" s="3">
        <v>0</v>
      </c>
      <c r="M59" s="3">
        <v>90</v>
      </c>
      <c r="N59" s="3">
        <v>45</v>
      </c>
      <c r="O59" s="3">
        <v>0</v>
      </c>
      <c r="P59" s="3">
        <v>1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</v>
      </c>
      <c r="X59" s="18" t="s">
        <v>232</v>
      </c>
      <c r="Y59" s="32" t="str">
        <f t="shared" si="0"/>
        <v>ACC3222Kế toán thương mại dịch vụ</v>
      </c>
    </row>
    <row r="60" spans="1:25" ht="15.75" customHeight="1" x14ac:dyDescent="0.25">
      <c r="A60" s="3">
        <v>56</v>
      </c>
      <c r="B60" s="3" t="s">
        <v>74</v>
      </c>
      <c r="C60" s="4" t="s">
        <v>290</v>
      </c>
      <c r="D60" s="5" t="s">
        <v>291</v>
      </c>
      <c r="E60" s="3">
        <v>6</v>
      </c>
      <c r="F60" s="7">
        <v>3</v>
      </c>
      <c r="G60" s="7">
        <v>0</v>
      </c>
      <c r="H60" s="7">
        <v>0</v>
      </c>
      <c r="I60" s="3">
        <v>45</v>
      </c>
      <c r="J60" s="3">
        <v>0</v>
      </c>
      <c r="K60" s="3">
        <v>0</v>
      </c>
      <c r="L60" s="3">
        <v>0</v>
      </c>
      <c r="M60" s="3">
        <v>90</v>
      </c>
      <c r="N60" s="3">
        <v>45</v>
      </c>
      <c r="O60" s="3">
        <v>0</v>
      </c>
      <c r="P60" s="3">
        <v>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10</v>
      </c>
      <c r="X60" s="18" t="s">
        <v>232</v>
      </c>
      <c r="Y60" s="32" t="str">
        <f t="shared" si="0"/>
        <v>ACC3270Kiểm toán đầu tư xây dựng cơ bản</v>
      </c>
    </row>
    <row r="61" spans="1:25" ht="15.75" customHeight="1" x14ac:dyDescent="0.25">
      <c r="A61" s="3">
        <v>57</v>
      </c>
      <c r="B61" s="3" t="s">
        <v>74</v>
      </c>
      <c r="C61" s="4" t="s">
        <v>275</v>
      </c>
      <c r="D61" s="5" t="s">
        <v>276</v>
      </c>
      <c r="E61" s="3">
        <v>6</v>
      </c>
      <c r="F61" s="7">
        <v>3</v>
      </c>
      <c r="G61" s="7">
        <v>2</v>
      </c>
      <c r="H61" s="7">
        <v>0</v>
      </c>
      <c r="I61" s="3">
        <v>15</v>
      </c>
      <c r="J61" s="3">
        <v>60</v>
      </c>
      <c r="K61" s="3">
        <v>0</v>
      </c>
      <c r="L61" s="3">
        <v>0</v>
      </c>
      <c r="M61" s="3">
        <v>60</v>
      </c>
      <c r="N61" s="3">
        <v>75</v>
      </c>
      <c r="O61" s="3">
        <v>0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</v>
      </c>
      <c r="X61" s="18" t="s">
        <v>232</v>
      </c>
      <c r="Y61" s="32" t="str">
        <f t="shared" si="0"/>
        <v>ACC3271Thực hành kiểm toán báo cáo tài chính</v>
      </c>
    </row>
    <row r="62" spans="1:25" ht="15.75" customHeight="1" x14ac:dyDescent="0.25">
      <c r="A62" s="3">
        <v>58</v>
      </c>
      <c r="B62" s="3" t="s">
        <v>74</v>
      </c>
      <c r="C62" s="4" t="s">
        <v>292</v>
      </c>
      <c r="D62" s="5" t="s">
        <v>293</v>
      </c>
      <c r="E62" s="3">
        <v>6</v>
      </c>
      <c r="F62" s="7">
        <v>3</v>
      </c>
      <c r="G62" s="7">
        <v>0</v>
      </c>
      <c r="H62" s="7">
        <v>0</v>
      </c>
      <c r="I62" s="3">
        <v>45</v>
      </c>
      <c r="J62" s="3">
        <v>0</v>
      </c>
      <c r="K62" s="3">
        <v>0</v>
      </c>
      <c r="L62" s="3">
        <v>0</v>
      </c>
      <c r="M62" s="3">
        <v>90</v>
      </c>
      <c r="N62" s="3">
        <v>45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</v>
      </c>
      <c r="X62" s="18" t="s">
        <v>232</v>
      </c>
      <c r="Y62" s="32" t="str">
        <f t="shared" si="0"/>
        <v>ACC3272 Kiểm toán nội bộ</v>
      </c>
    </row>
    <row r="63" spans="1:25" ht="15.75" customHeight="1" x14ac:dyDescent="0.25">
      <c r="A63" s="3">
        <v>59</v>
      </c>
      <c r="B63" s="3" t="s">
        <v>74</v>
      </c>
      <c r="C63" s="4" t="s">
        <v>277</v>
      </c>
      <c r="D63" s="5" t="s">
        <v>278</v>
      </c>
      <c r="E63" s="3">
        <v>6</v>
      </c>
      <c r="F63" s="7">
        <v>3</v>
      </c>
      <c r="G63" s="7">
        <v>0</v>
      </c>
      <c r="H63" s="7">
        <v>0</v>
      </c>
      <c r="I63" s="3">
        <v>45</v>
      </c>
      <c r="J63" s="3">
        <v>0</v>
      </c>
      <c r="K63" s="3">
        <v>0</v>
      </c>
      <c r="L63" s="3">
        <v>0</v>
      </c>
      <c r="M63" s="3">
        <v>90</v>
      </c>
      <c r="N63" s="3">
        <v>45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10</v>
      </c>
      <c r="X63" s="18" t="s">
        <v>232</v>
      </c>
      <c r="Y63" s="32" t="str">
        <f t="shared" si="0"/>
        <v>ACC3273Kiểm toán hoạt động</v>
      </c>
    </row>
    <row r="64" spans="1:25" ht="15.75" customHeight="1" x14ac:dyDescent="0.25">
      <c r="A64" s="3">
        <v>60</v>
      </c>
      <c r="B64" s="3" t="s">
        <v>74</v>
      </c>
      <c r="C64" s="4" t="s">
        <v>281</v>
      </c>
      <c r="D64" s="5" t="s">
        <v>189</v>
      </c>
      <c r="E64" s="3">
        <v>6</v>
      </c>
      <c r="F64" s="7">
        <v>3</v>
      </c>
      <c r="G64" s="7">
        <v>0</v>
      </c>
      <c r="H64" s="7">
        <v>0</v>
      </c>
      <c r="I64" s="3">
        <v>45</v>
      </c>
      <c r="J64" s="3">
        <v>0</v>
      </c>
      <c r="K64" s="3">
        <v>0</v>
      </c>
      <c r="L64" s="3">
        <v>0</v>
      </c>
      <c r="M64" s="3">
        <v>90</v>
      </c>
      <c r="N64" s="3">
        <v>45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10</v>
      </c>
      <c r="X64" s="18" t="s">
        <v>232</v>
      </c>
      <c r="Y64" s="32" t="str">
        <f t="shared" si="0"/>
        <v>BAF3267Định giá tài sản</v>
      </c>
    </row>
    <row r="65" spans="1:25" ht="15.75" customHeight="1" x14ac:dyDescent="0.25">
      <c r="A65" s="3">
        <v>61</v>
      </c>
      <c r="B65" s="3" t="s">
        <v>310</v>
      </c>
      <c r="C65" s="4" t="s">
        <v>268</v>
      </c>
      <c r="D65" s="5" t="s">
        <v>269</v>
      </c>
      <c r="E65" s="3">
        <v>7</v>
      </c>
      <c r="F65" s="7">
        <v>3</v>
      </c>
      <c r="G65" s="7">
        <v>0</v>
      </c>
      <c r="H65" s="7">
        <v>0</v>
      </c>
      <c r="I65" s="3">
        <v>45</v>
      </c>
      <c r="J65" s="3">
        <v>0</v>
      </c>
      <c r="K65" s="3">
        <v>0</v>
      </c>
      <c r="L65" s="3">
        <v>0</v>
      </c>
      <c r="M65" s="3">
        <v>90</v>
      </c>
      <c r="N65" s="3">
        <v>45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10</v>
      </c>
      <c r="X65" s="18" t="s">
        <v>232</v>
      </c>
      <c r="Y65" s="32" t="str">
        <f t="shared" si="0"/>
        <v>ACC3263Phân tích kinh doanh</v>
      </c>
    </row>
    <row r="66" spans="1:25" ht="15.75" customHeight="1" x14ac:dyDescent="0.25">
      <c r="A66" s="3">
        <v>62</v>
      </c>
      <c r="B66" s="3" t="s">
        <v>310</v>
      </c>
      <c r="C66" s="4" t="s">
        <v>270</v>
      </c>
      <c r="D66" s="5" t="s">
        <v>271</v>
      </c>
      <c r="E66" s="3">
        <v>7</v>
      </c>
      <c r="F66" s="7">
        <v>3</v>
      </c>
      <c r="G66" s="7">
        <v>0</v>
      </c>
      <c r="H66" s="7">
        <v>0</v>
      </c>
      <c r="I66" s="3">
        <v>45</v>
      </c>
      <c r="J66" s="3">
        <v>0</v>
      </c>
      <c r="K66" s="3">
        <v>0</v>
      </c>
      <c r="L66" s="3">
        <v>0</v>
      </c>
      <c r="M66" s="3">
        <v>90</v>
      </c>
      <c r="N66" s="3">
        <v>45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10</v>
      </c>
      <c r="X66" s="18" t="s">
        <v>232</v>
      </c>
      <c r="Y66" s="32" t="str">
        <f t="shared" si="0"/>
        <v>ACC3264Hệ thống thông tin kế toán</v>
      </c>
    </row>
    <row r="67" spans="1:25" ht="15.75" customHeight="1" x14ac:dyDescent="0.25">
      <c r="A67" s="3">
        <v>63</v>
      </c>
      <c r="B67" s="3" t="s">
        <v>310</v>
      </c>
      <c r="C67" s="4" t="s">
        <v>279</v>
      </c>
      <c r="D67" s="5" t="s">
        <v>280</v>
      </c>
      <c r="E67" s="3">
        <v>7</v>
      </c>
      <c r="F67" s="7">
        <v>3</v>
      </c>
      <c r="G67" s="7">
        <v>0</v>
      </c>
      <c r="H67" s="7">
        <v>0</v>
      </c>
      <c r="I67" s="3">
        <v>45</v>
      </c>
      <c r="J67" s="3">
        <v>0</v>
      </c>
      <c r="K67" s="3">
        <v>0</v>
      </c>
      <c r="L67" s="3">
        <v>0</v>
      </c>
      <c r="M67" s="3">
        <v>90</v>
      </c>
      <c r="N67" s="3">
        <v>45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10</v>
      </c>
      <c r="X67" s="18" t="s">
        <v>232</v>
      </c>
      <c r="Y67" s="32" t="str">
        <f t="shared" si="0"/>
        <v>ACC3274 Kiểm soát nội bộ</v>
      </c>
    </row>
    <row r="68" spans="1:25" ht="15.75" customHeight="1" x14ac:dyDescent="0.25">
      <c r="A68" s="3">
        <v>64</v>
      </c>
      <c r="B68" s="3" t="s">
        <v>228</v>
      </c>
      <c r="C68" s="4" t="s">
        <v>120</v>
      </c>
      <c r="D68" s="5" t="s">
        <v>121</v>
      </c>
      <c r="E68" s="3">
        <v>7</v>
      </c>
      <c r="F68" s="7">
        <v>4</v>
      </c>
      <c r="G68" s="7">
        <v>4</v>
      </c>
      <c r="H68" s="7">
        <v>0</v>
      </c>
      <c r="I68" s="3">
        <v>0</v>
      </c>
      <c r="J68" s="3">
        <v>180</v>
      </c>
      <c r="K68" s="3">
        <v>0</v>
      </c>
      <c r="L68" s="3">
        <v>0</v>
      </c>
      <c r="M68" s="3">
        <v>180</v>
      </c>
      <c r="N68" s="3">
        <v>180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10</v>
      </c>
      <c r="X68" s="18" t="s">
        <v>232</v>
      </c>
      <c r="Y68" s="32" t="str">
        <f t="shared" si="0"/>
        <v>ACC4229Thực tập cuối khóa</v>
      </c>
    </row>
    <row r="69" spans="1:25" ht="15.75" customHeight="1" x14ac:dyDescent="0.25">
      <c r="A69" s="3">
        <v>65</v>
      </c>
      <c r="B69" s="3" t="s">
        <v>119</v>
      </c>
      <c r="C69" s="4" t="s">
        <v>122</v>
      </c>
      <c r="D69" s="5" t="s">
        <v>123</v>
      </c>
      <c r="E69" s="3">
        <v>7</v>
      </c>
      <c r="F69" s="7">
        <v>6</v>
      </c>
      <c r="G69" s="7">
        <v>0</v>
      </c>
      <c r="H69" s="7">
        <v>0</v>
      </c>
      <c r="I69" s="3">
        <v>0</v>
      </c>
      <c r="J69" s="3">
        <v>0</v>
      </c>
      <c r="K69" s="3">
        <v>0</v>
      </c>
      <c r="L69" s="3">
        <v>0</v>
      </c>
      <c r="M69" s="3">
        <v>270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10</v>
      </c>
      <c r="X69" s="18" t="s">
        <v>232</v>
      </c>
      <c r="Y69" s="32" t="str">
        <f t="shared" si="0"/>
        <v>ACC4230Khóa luận tốt nghiệp</v>
      </c>
    </row>
    <row r="70" spans="1:25" ht="15.75" customHeight="1" x14ac:dyDescent="0.25"/>
    <row r="71" spans="1:25" ht="15.75" customHeight="1" x14ac:dyDescent="0.25"/>
    <row r="72" spans="1:25" ht="15.75" customHeight="1" x14ac:dyDescent="0.25"/>
    <row r="73" spans="1:25" ht="15.75" customHeight="1" x14ac:dyDescent="0.25"/>
    <row r="74" spans="1:25" ht="15.75" customHeight="1" x14ac:dyDescent="0.25"/>
    <row r="75" spans="1:25" ht="15.75" customHeight="1" x14ac:dyDescent="0.25"/>
    <row r="76" spans="1:25" ht="15.75" customHeight="1" x14ac:dyDescent="0.25"/>
    <row r="77" spans="1:25" ht="15.75" customHeight="1" x14ac:dyDescent="0.25"/>
    <row r="78" spans="1:25" ht="15.75" customHeight="1" x14ac:dyDescent="0.25"/>
    <row r="79" spans="1:25" ht="15.75" customHeight="1" x14ac:dyDescent="0.25"/>
    <row r="80" spans="1:2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X1"/>
    <mergeCell ref="Y1:AT1"/>
    <mergeCell ref="A2:X2"/>
    <mergeCell ref="Y2:AT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35.85546875" customWidth="1"/>
    <col min="3" max="3" width="12" customWidth="1"/>
    <col min="4" max="4" width="37.42578125" customWidth="1"/>
    <col min="5" max="5" width="6" customWidth="1"/>
    <col min="6" max="7" width="7.42578125" customWidth="1"/>
    <col min="8" max="8" width="4.42578125" customWidth="1"/>
    <col min="9" max="9" width="7.42578125" customWidth="1"/>
    <col min="10" max="10" width="6.7109375" customWidth="1"/>
    <col min="11" max="11" width="5.28515625" customWidth="1"/>
    <col min="12" max="12" width="8" customWidth="1"/>
    <col min="13" max="13" width="5.28515625" customWidth="1"/>
    <col min="14" max="14" width="6.42578125" customWidth="1"/>
    <col min="15" max="15" width="7.42578125" customWidth="1"/>
    <col min="16" max="16" width="6" customWidth="1"/>
    <col min="17" max="17" width="12" customWidth="1"/>
    <col min="18" max="18" width="7.42578125" customWidth="1"/>
    <col min="19" max="19" width="6.7109375" customWidth="1"/>
    <col min="20" max="23" width="7.42578125" customWidth="1"/>
    <col min="24" max="24" width="12" customWidth="1"/>
    <col min="25" max="44" width="8.7109375" customWidth="1"/>
  </cols>
  <sheetData>
    <row r="1" spans="1:44" ht="18.75" x14ac:dyDescent="0.3">
      <c r="A1" s="36" t="s">
        <v>311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</row>
    <row r="2" spans="1:44" ht="15.75" x14ac:dyDescent="0.25">
      <c r="A2" s="38" t="s">
        <v>329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4" spans="1:44" ht="78.75" x14ac:dyDescent="0.25">
      <c r="A4" s="31" t="s">
        <v>313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314</v>
      </c>
      <c r="G4" s="31" t="s">
        <v>315</v>
      </c>
      <c r="H4" s="31" t="s">
        <v>316</v>
      </c>
      <c r="I4" s="31" t="s">
        <v>317</v>
      </c>
      <c r="J4" s="31" t="s">
        <v>6</v>
      </c>
      <c r="K4" s="31" t="s">
        <v>318</v>
      </c>
      <c r="L4" s="31" t="s">
        <v>319</v>
      </c>
      <c r="M4" s="31" t="s">
        <v>5</v>
      </c>
      <c r="N4" s="31" t="s">
        <v>320</v>
      </c>
      <c r="O4" s="31" t="s">
        <v>4</v>
      </c>
      <c r="P4" s="31" t="s">
        <v>321</v>
      </c>
      <c r="Q4" s="31" t="s">
        <v>322</v>
      </c>
      <c r="R4" s="31" t="s">
        <v>6</v>
      </c>
      <c r="S4" s="31" t="s">
        <v>323</v>
      </c>
      <c r="T4" s="31" t="s">
        <v>324</v>
      </c>
      <c r="U4" s="31" t="s">
        <v>325</v>
      </c>
      <c r="V4" s="31" t="s">
        <v>326</v>
      </c>
      <c r="W4" s="31" t="s">
        <v>327</v>
      </c>
      <c r="X4" s="31" t="s">
        <v>230</v>
      </c>
    </row>
    <row r="5" spans="1:44" ht="15.75" x14ac:dyDescent="0.25">
      <c r="A5" s="3">
        <v>1</v>
      </c>
      <c r="B5" s="3" t="s">
        <v>74</v>
      </c>
      <c r="C5" s="4" t="s">
        <v>108</v>
      </c>
      <c r="D5" s="5" t="s">
        <v>109</v>
      </c>
      <c r="E5" s="3">
        <v>0</v>
      </c>
      <c r="F5" s="7">
        <v>2</v>
      </c>
      <c r="G5" s="7">
        <v>0</v>
      </c>
      <c r="H5" s="7">
        <v>0</v>
      </c>
      <c r="I5" s="3">
        <v>30</v>
      </c>
      <c r="J5" s="3">
        <v>0</v>
      </c>
      <c r="K5" s="3">
        <v>0</v>
      </c>
      <c r="L5" s="3">
        <v>0</v>
      </c>
      <c r="M5" s="3">
        <v>0</v>
      </c>
      <c r="N5" s="3">
        <v>30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10</v>
      </c>
      <c r="X5" s="18" t="s">
        <v>232</v>
      </c>
    </row>
    <row r="6" spans="1:44" ht="15.75" x14ac:dyDescent="0.25">
      <c r="A6" s="3">
        <v>2</v>
      </c>
      <c r="B6" s="3" t="s">
        <v>74</v>
      </c>
      <c r="C6" s="4" t="s">
        <v>110</v>
      </c>
      <c r="D6" s="5" t="s">
        <v>111</v>
      </c>
      <c r="E6" s="3">
        <v>0</v>
      </c>
      <c r="F6" s="7">
        <v>2</v>
      </c>
      <c r="G6" s="7">
        <v>0</v>
      </c>
      <c r="H6" s="7">
        <v>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30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10</v>
      </c>
      <c r="X6" s="18" t="s">
        <v>232</v>
      </c>
    </row>
    <row r="7" spans="1:44" ht="15.75" x14ac:dyDescent="0.25">
      <c r="A7" s="3">
        <v>3</v>
      </c>
      <c r="B7" s="3" t="s">
        <v>74</v>
      </c>
      <c r="C7" s="4" t="s">
        <v>112</v>
      </c>
      <c r="D7" s="5" t="s">
        <v>113</v>
      </c>
      <c r="E7" s="3">
        <v>0</v>
      </c>
      <c r="F7" s="7">
        <v>2</v>
      </c>
      <c r="G7" s="7">
        <v>0</v>
      </c>
      <c r="H7" s="7">
        <v>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30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10</v>
      </c>
      <c r="X7" s="18" t="s">
        <v>232</v>
      </c>
    </row>
    <row r="8" spans="1:44" ht="15.75" x14ac:dyDescent="0.25">
      <c r="A8" s="3">
        <v>4</v>
      </c>
      <c r="B8" s="3" t="s">
        <v>74</v>
      </c>
      <c r="C8" s="4" t="s">
        <v>114</v>
      </c>
      <c r="D8" s="5" t="s">
        <v>115</v>
      </c>
      <c r="E8" s="3">
        <v>0</v>
      </c>
      <c r="F8" s="7">
        <v>2</v>
      </c>
      <c r="G8" s="7">
        <v>0</v>
      </c>
      <c r="H8" s="7">
        <v>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30</v>
      </c>
      <c r="O8" s="3">
        <v>0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</v>
      </c>
      <c r="X8" s="18" t="s">
        <v>232</v>
      </c>
    </row>
    <row r="9" spans="1:44" ht="15.75" x14ac:dyDescent="0.25">
      <c r="A9" s="3">
        <v>5</v>
      </c>
      <c r="B9" s="3" t="s">
        <v>74</v>
      </c>
      <c r="C9" s="4" t="s">
        <v>43</v>
      </c>
      <c r="D9" s="5" t="s">
        <v>44</v>
      </c>
      <c r="E9" s="3">
        <v>1</v>
      </c>
      <c r="F9" s="7">
        <v>2</v>
      </c>
      <c r="G9" s="7">
        <v>0</v>
      </c>
      <c r="H9" s="7">
        <v>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30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10</v>
      </c>
      <c r="X9" s="18" t="s">
        <v>232</v>
      </c>
    </row>
    <row r="10" spans="1:44" ht="15.75" x14ac:dyDescent="0.25">
      <c r="A10" s="3">
        <v>6</v>
      </c>
      <c r="B10" s="3" t="s">
        <v>74</v>
      </c>
      <c r="C10" s="4" t="s">
        <v>330</v>
      </c>
      <c r="D10" s="5" t="s">
        <v>331</v>
      </c>
      <c r="E10" s="3">
        <v>1</v>
      </c>
      <c r="F10" s="7">
        <v>1</v>
      </c>
      <c r="G10" s="7">
        <v>0</v>
      </c>
      <c r="H10" s="7">
        <v>0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15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10</v>
      </c>
      <c r="X10" s="18" t="s">
        <v>232</v>
      </c>
    </row>
    <row r="11" spans="1:44" ht="15.75" x14ac:dyDescent="0.25">
      <c r="A11" s="3">
        <v>7</v>
      </c>
      <c r="B11" s="3" t="s">
        <v>8</v>
      </c>
      <c r="C11" s="4" t="s">
        <v>137</v>
      </c>
      <c r="D11" s="5" t="s">
        <v>200</v>
      </c>
      <c r="E11" s="3">
        <v>1</v>
      </c>
      <c r="F11" s="7">
        <v>2</v>
      </c>
      <c r="G11" s="7">
        <v>0</v>
      </c>
      <c r="H11" s="7">
        <v>1</v>
      </c>
      <c r="I11" s="3">
        <v>21</v>
      </c>
      <c r="J11" s="3">
        <v>0</v>
      </c>
      <c r="K11" s="3">
        <v>9</v>
      </c>
      <c r="L11" s="3">
        <v>0</v>
      </c>
      <c r="M11" s="3">
        <v>0</v>
      </c>
      <c r="N11" s="3">
        <v>30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10</v>
      </c>
      <c r="X11" s="18" t="s">
        <v>232</v>
      </c>
    </row>
    <row r="12" spans="1:44" ht="15.75" x14ac:dyDescent="0.25">
      <c r="A12" s="3">
        <v>8</v>
      </c>
      <c r="B12" s="3" t="s">
        <v>8</v>
      </c>
      <c r="C12" s="4" t="s">
        <v>18</v>
      </c>
      <c r="D12" s="5" t="s">
        <v>328</v>
      </c>
      <c r="E12" s="3">
        <v>2</v>
      </c>
      <c r="F12" s="7">
        <v>0</v>
      </c>
      <c r="G12" s="7">
        <v>0</v>
      </c>
      <c r="H12" s="7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</v>
      </c>
      <c r="X12" s="18" t="s">
        <v>232</v>
      </c>
    </row>
    <row r="13" spans="1:44" ht="15.75" x14ac:dyDescent="0.25">
      <c r="A13" s="3">
        <v>9</v>
      </c>
      <c r="B13" s="3" t="s">
        <v>46</v>
      </c>
      <c r="C13" s="4" t="s">
        <v>207</v>
      </c>
      <c r="D13" s="5" t="s">
        <v>208</v>
      </c>
      <c r="E13" s="3">
        <v>2</v>
      </c>
      <c r="F13" s="7">
        <v>3</v>
      </c>
      <c r="G13" s="7">
        <v>0</v>
      </c>
      <c r="H13" s="7">
        <v>1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45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10</v>
      </c>
      <c r="X13" s="18" t="s">
        <v>232</v>
      </c>
    </row>
    <row r="14" spans="1:44" ht="15.75" x14ac:dyDescent="0.25">
      <c r="A14" s="3">
        <v>10</v>
      </c>
      <c r="B14" s="3" t="s">
        <v>46</v>
      </c>
      <c r="C14" s="4" t="s">
        <v>116</v>
      </c>
      <c r="D14" s="5" t="s">
        <v>117</v>
      </c>
      <c r="E14" s="3">
        <v>2</v>
      </c>
      <c r="F14" s="7">
        <v>2</v>
      </c>
      <c r="G14" s="7">
        <v>0</v>
      </c>
      <c r="H14" s="7">
        <v>1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30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10</v>
      </c>
      <c r="X14" s="18" t="s">
        <v>232</v>
      </c>
    </row>
    <row r="15" spans="1:44" ht="15.75" x14ac:dyDescent="0.25">
      <c r="A15" s="3">
        <v>11</v>
      </c>
      <c r="B15" s="3" t="s">
        <v>8</v>
      </c>
      <c r="C15" s="4" t="s">
        <v>141</v>
      </c>
      <c r="D15" s="5" t="s">
        <v>21</v>
      </c>
      <c r="E15" s="3">
        <v>2</v>
      </c>
      <c r="F15" s="7">
        <v>2</v>
      </c>
      <c r="G15" s="7">
        <v>0</v>
      </c>
      <c r="H15" s="7">
        <v>1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30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</v>
      </c>
      <c r="X15" s="18" t="s">
        <v>232</v>
      </c>
    </row>
    <row r="16" spans="1:44" ht="15.75" x14ac:dyDescent="0.25">
      <c r="A16" s="3">
        <v>12</v>
      </c>
      <c r="B16" s="3" t="s">
        <v>46</v>
      </c>
      <c r="C16" s="4" t="s">
        <v>210</v>
      </c>
      <c r="D16" s="5" t="s">
        <v>48</v>
      </c>
      <c r="E16" s="3">
        <v>2</v>
      </c>
      <c r="F16" s="7">
        <v>3</v>
      </c>
      <c r="G16" s="7">
        <v>0</v>
      </c>
      <c r="H16" s="7">
        <v>1</v>
      </c>
      <c r="I16" s="3">
        <v>45</v>
      </c>
      <c r="J16" s="3">
        <v>0</v>
      </c>
      <c r="K16" s="3">
        <v>0</v>
      </c>
      <c r="L16" s="3">
        <v>0</v>
      </c>
      <c r="M16" s="3">
        <v>0</v>
      </c>
      <c r="N16" s="3">
        <v>45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10</v>
      </c>
      <c r="X16" s="18" t="s">
        <v>232</v>
      </c>
    </row>
    <row r="17" spans="1:24" ht="15.75" x14ac:dyDescent="0.25">
      <c r="A17" s="3">
        <v>13</v>
      </c>
      <c r="B17" s="3" t="s">
        <v>74</v>
      </c>
      <c r="C17" s="4" t="s">
        <v>39</v>
      </c>
      <c r="D17" s="5" t="s">
        <v>40</v>
      </c>
      <c r="E17" s="3">
        <v>2</v>
      </c>
      <c r="F17" s="7">
        <v>2</v>
      </c>
      <c r="G17" s="7">
        <v>0</v>
      </c>
      <c r="H17" s="7">
        <v>0</v>
      </c>
      <c r="I17" s="34">
        <v>30</v>
      </c>
      <c r="J17" s="3">
        <v>0</v>
      </c>
      <c r="K17" s="3">
        <v>0</v>
      </c>
      <c r="L17" s="3">
        <v>0</v>
      </c>
      <c r="M17" s="3">
        <v>0</v>
      </c>
      <c r="N17" s="3">
        <v>32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10</v>
      </c>
      <c r="X17" s="18" t="s">
        <v>232</v>
      </c>
    </row>
    <row r="18" spans="1:24" ht="15.75" x14ac:dyDescent="0.25">
      <c r="A18" s="3">
        <v>14</v>
      </c>
      <c r="B18" s="3" t="s">
        <v>74</v>
      </c>
      <c r="C18" s="4" t="s">
        <v>49</v>
      </c>
      <c r="D18" s="5" t="s">
        <v>50</v>
      </c>
      <c r="E18" s="3">
        <v>2</v>
      </c>
      <c r="F18" s="7">
        <v>3</v>
      </c>
      <c r="G18" s="7">
        <v>0</v>
      </c>
      <c r="H18" s="7">
        <v>0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45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10</v>
      </c>
      <c r="X18" s="18" t="s">
        <v>232</v>
      </c>
    </row>
    <row r="19" spans="1:24" ht="15.75" x14ac:dyDescent="0.25">
      <c r="A19" s="3">
        <v>15</v>
      </c>
      <c r="B19" s="3" t="s">
        <v>74</v>
      </c>
      <c r="C19" s="4" t="s">
        <v>47</v>
      </c>
      <c r="D19" s="5" t="s">
        <v>48</v>
      </c>
      <c r="E19" s="3">
        <v>2</v>
      </c>
      <c r="F19" s="7">
        <v>3</v>
      </c>
      <c r="G19" s="7">
        <v>0</v>
      </c>
      <c r="H19" s="7">
        <v>0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45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10</v>
      </c>
      <c r="X19" s="18" t="s">
        <v>232</v>
      </c>
    </row>
    <row r="20" spans="1:24" ht="15.75" x14ac:dyDescent="0.25">
      <c r="A20" s="3">
        <v>16</v>
      </c>
      <c r="B20" s="3" t="s">
        <v>8</v>
      </c>
      <c r="C20" s="4" t="s">
        <v>20</v>
      </c>
      <c r="D20" s="5" t="s">
        <v>21</v>
      </c>
      <c r="E20" s="3">
        <v>2</v>
      </c>
      <c r="F20" s="7">
        <v>2</v>
      </c>
      <c r="G20" s="7">
        <v>0</v>
      </c>
      <c r="H20" s="7">
        <v>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30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</v>
      </c>
      <c r="X20" s="18" t="s">
        <v>232</v>
      </c>
    </row>
    <row r="21" spans="1:24" ht="15.75" customHeight="1" x14ac:dyDescent="0.25">
      <c r="A21" s="3">
        <v>17</v>
      </c>
      <c r="B21" s="3" t="s">
        <v>74</v>
      </c>
      <c r="C21" s="4" t="s">
        <v>37</v>
      </c>
      <c r="D21" s="5" t="s">
        <v>38</v>
      </c>
      <c r="E21" s="3">
        <v>2</v>
      </c>
      <c r="F21" s="7">
        <v>2</v>
      </c>
      <c r="G21" s="7">
        <v>0</v>
      </c>
      <c r="H21" s="7">
        <v>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30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10</v>
      </c>
      <c r="X21" s="18" t="s">
        <v>232</v>
      </c>
    </row>
    <row r="22" spans="1:24" ht="15.75" customHeight="1" x14ac:dyDescent="0.25">
      <c r="A22" s="3">
        <v>18</v>
      </c>
      <c r="B22" s="3" t="s">
        <v>8</v>
      </c>
      <c r="C22" s="4" t="s">
        <v>9</v>
      </c>
      <c r="D22" s="5" t="s">
        <v>10</v>
      </c>
      <c r="E22" s="3">
        <v>3</v>
      </c>
      <c r="F22" s="7">
        <v>3</v>
      </c>
      <c r="G22" s="7">
        <v>0</v>
      </c>
      <c r="H22" s="7">
        <v>1</v>
      </c>
      <c r="I22" s="3">
        <v>30</v>
      </c>
      <c r="J22" s="3">
        <v>15</v>
      </c>
      <c r="K22" s="3">
        <v>0</v>
      </c>
      <c r="L22" s="3">
        <v>0</v>
      </c>
      <c r="M22" s="3">
        <v>0</v>
      </c>
      <c r="N22" s="3">
        <v>45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</v>
      </c>
      <c r="X22" s="18" t="s">
        <v>232</v>
      </c>
    </row>
    <row r="23" spans="1:24" ht="15.75" customHeight="1" x14ac:dyDescent="0.25">
      <c r="A23" s="3">
        <v>19</v>
      </c>
      <c r="B23" s="3" t="s">
        <v>74</v>
      </c>
      <c r="C23" s="4" t="s">
        <v>53</v>
      </c>
      <c r="D23" s="5" t="s">
        <v>54</v>
      </c>
      <c r="E23" s="3">
        <v>3</v>
      </c>
      <c r="F23" s="7">
        <v>3</v>
      </c>
      <c r="G23" s="7">
        <v>0</v>
      </c>
      <c r="H23" s="7">
        <v>0</v>
      </c>
      <c r="I23" s="3">
        <v>45</v>
      </c>
      <c r="J23" s="3">
        <v>0</v>
      </c>
      <c r="K23" s="3">
        <v>0</v>
      </c>
      <c r="L23" s="3">
        <v>0</v>
      </c>
      <c r="M23" s="3">
        <v>0</v>
      </c>
      <c r="N23" s="3">
        <v>45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10</v>
      </c>
      <c r="X23" s="18" t="s">
        <v>232</v>
      </c>
    </row>
    <row r="24" spans="1:24" ht="15.75" customHeight="1" x14ac:dyDescent="0.25">
      <c r="A24" s="3">
        <v>20</v>
      </c>
      <c r="B24" s="3" t="s">
        <v>74</v>
      </c>
      <c r="C24" s="4" t="s">
        <v>55</v>
      </c>
      <c r="D24" s="5" t="s">
        <v>56</v>
      </c>
      <c r="E24" s="3">
        <v>3</v>
      </c>
      <c r="F24" s="7">
        <v>2</v>
      </c>
      <c r="G24" s="7">
        <v>0</v>
      </c>
      <c r="H24" s="7">
        <v>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30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10</v>
      </c>
      <c r="X24" s="18" t="s">
        <v>232</v>
      </c>
    </row>
    <row r="25" spans="1:24" ht="15.75" customHeight="1" x14ac:dyDescent="0.25">
      <c r="A25" s="3">
        <v>21</v>
      </c>
      <c r="B25" s="3" t="s">
        <v>74</v>
      </c>
      <c r="C25" s="4" t="s">
        <v>51</v>
      </c>
      <c r="D25" s="5" t="s">
        <v>52</v>
      </c>
      <c r="E25" s="3">
        <v>3</v>
      </c>
      <c r="F25" s="7">
        <v>3</v>
      </c>
      <c r="G25" s="7">
        <v>0</v>
      </c>
      <c r="H25" s="7">
        <v>0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45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10</v>
      </c>
      <c r="X25" s="18" t="s">
        <v>232</v>
      </c>
    </row>
    <row r="26" spans="1:24" ht="15.75" customHeight="1" x14ac:dyDescent="0.25">
      <c r="A26" s="3">
        <v>22</v>
      </c>
      <c r="B26" s="3" t="s">
        <v>74</v>
      </c>
      <c r="C26" s="4" t="s">
        <v>57</v>
      </c>
      <c r="D26" s="5" t="s">
        <v>58</v>
      </c>
      <c r="E26" s="3">
        <v>3</v>
      </c>
      <c r="F26" s="7">
        <v>3</v>
      </c>
      <c r="G26" s="7">
        <v>0</v>
      </c>
      <c r="H26" s="7">
        <v>0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45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10</v>
      </c>
      <c r="X26" s="18" t="s">
        <v>232</v>
      </c>
    </row>
    <row r="27" spans="1:24" ht="15.75" customHeight="1" x14ac:dyDescent="0.25">
      <c r="A27" s="3">
        <v>23</v>
      </c>
      <c r="B27" s="3" t="s">
        <v>46</v>
      </c>
      <c r="C27" s="4" t="s">
        <v>41</v>
      </c>
      <c r="D27" s="5" t="s">
        <v>42</v>
      </c>
      <c r="E27" s="3">
        <v>3</v>
      </c>
      <c r="F27" s="7">
        <v>2</v>
      </c>
      <c r="G27" s="7">
        <v>0</v>
      </c>
      <c r="H27" s="7">
        <v>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30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10</v>
      </c>
      <c r="X27" s="18" t="s">
        <v>232</v>
      </c>
    </row>
    <row r="28" spans="1:24" ht="15.75" customHeight="1" x14ac:dyDescent="0.25">
      <c r="A28" s="3">
        <v>24</v>
      </c>
      <c r="B28" s="3" t="s">
        <v>8</v>
      </c>
      <c r="C28" s="4" t="s">
        <v>24</v>
      </c>
      <c r="D28" s="5" t="s">
        <v>25</v>
      </c>
      <c r="E28" s="3">
        <v>3</v>
      </c>
      <c r="F28" s="7">
        <v>2</v>
      </c>
      <c r="G28" s="7">
        <v>0</v>
      </c>
      <c r="H28" s="7">
        <v>1</v>
      </c>
      <c r="I28" s="3">
        <v>20</v>
      </c>
      <c r="J28" s="3">
        <v>0</v>
      </c>
      <c r="K28" s="3">
        <v>10</v>
      </c>
      <c r="L28" s="3">
        <v>0</v>
      </c>
      <c r="M28" s="3">
        <v>0</v>
      </c>
      <c r="N28" s="3">
        <v>30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10</v>
      </c>
      <c r="X28" s="18" t="s">
        <v>232</v>
      </c>
    </row>
    <row r="29" spans="1:24" ht="15.75" customHeight="1" x14ac:dyDescent="0.25">
      <c r="A29" s="3">
        <v>25</v>
      </c>
      <c r="B29" s="3" t="s">
        <v>46</v>
      </c>
      <c r="C29" s="4" t="s">
        <v>216</v>
      </c>
      <c r="D29" s="5" t="s">
        <v>42</v>
      </c>
      <c r="E29" s="3">
        <v>3</v>
      </c>
      <c r="F29" s="7">
        <v>2</v>
      </c>
      <c r="G29" s="7">
        <v>0</v>
      </c>
      <c r="H29" s="7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10</v>
      </c>
      <c r="X29" s="18" t="s">
        <v>232</v>
      </c>
    </row>
    <row r="30" spans="1:24" ht="15.75" customHeight="1" x14ac:dyDescent="0.25">
      <c r="A30" s="3">
        <v>26</v>
      </c>
      <c r="B30" s="3" t="s">
        <v>8</v>
      </c>
      <c r="C30" s="4" t="s">
        <v>126</v>
      </c>
      <c r="D30" s="5" t="s">
        <v>127</v>
      </c>
      <c r="E30" s="3">
        <v>3</v>
      </c>
      <c r="F30" s="7">
        <v>2</v>
      </c>
      <c r="G30" s="7">
        <v>0</v>
      </c>
      <c r="H30" s="7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10</v>
      </c>
      <c r="X30" s="18" t="s">
        <v>232</v>
      </c>
    </row>
    <row r="31" spans="1:24" ht="15.75" customHeight="1" x14ac:dyDescent="0.25">
      <c r="A31" s="3">
        <v>27</v>
      </c>
      <c r="B31" s="3" t="s">
        <v>46</v>
      </c>
      <c r="C31" s="4" t="s">
        <v>143</v>
      </c>
      <c r="D31" s="5" t="s">
        <v>60</v>
      </c>
      <c r="E31" s="3">
        <v>4</v>
      </c>
      <c r="F31" s="7">
        <v>3</v>
      </c>
      <c r="G31" s="7">
        <v>0</v>
      </c>
      <c r="H31" s="7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10</v>
      </c>
      <c r="X31" s="18" t="s">
        <v>232</v>
      </c>
    </row>
    <row r="32" spans="1:24" ht="15.75" customHeight="1" x14ac:dyDescent="0.25">
      <c r="A32" s="3">
        <v>28</v>
      </c>
      <c r="B32" s="3" t="s">
        <v>46</v>
      </c>
      <c r="C32" s="4" t="s">
        <v>28</v>
      </c>
      <c r="D32" s="5" t="s">
        <v>29</v>
      </c>
      <c r="E32" s="3">
        <v>4</v>
      </c>
      <c r="F32" s="7">
        <v>2</v>
      </c>
      <c r="G32" s="7">
        <v>0</v>
      </c>
      <c r="H32" s="7">
        <v>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30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</v>
      </c>
      <c r="X32" s="18" t="s">
        <v>232</v>
      </c>
    </row>
    <row r="33" spans="1:24" ht="15.75" customHeight="1" x14ac:dyDescent="0.25">
      <c r="A33" s="3">
        <v>29</v>
      </c>
      <c r="B33" s="3" t="s">
        <v>74</v>
      </c>
      <c r="C33" s="4" t="s">
        <v>75</v>
      </c>
      <c r="D33" s="5" t="s">
        <v>76</v>
      </c>
      <c r="E33" s="3">
        <v>4</v>
      </c>
      <c r="F33" s="7">
        <v>3</v>
      </c>
      <c r="G33" s="7">
        <v>0</v>
      </c>
      <c r="H33" s="7">
        <v>0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45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10</v>
      </c>
      <c r="X33" s="18" t="s">
        <v>232</v>
      </c>
    </row>
    <row r="34" spans="1:24" ht="15.75" customHeight="1" x14ac:dyDescent="0.25">
      <c r="A34" s="3">
        <v>30</v>
      </c>
      <c r="B34" s="3" t="s">
        <v>74</v>
      </c>
      <c r="C34" s="4" t="s">
        <v>63</v>
      </c>
      <c r="D34" s="5" t="s">
        <v>64</v>
      </c>
      <c r="E34" s="3">
        <v>4</v>
      </c>
      <c r="F34" s="7">
        <v>2</v>
      </c>
      <c r="G34" s="7">
        <v>0</v>
      </c>
      <c r="H34" s="7">
        <v>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30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10</v>
      </c>
      <c r="X34" s="18" t="s">
        <v>232</v>
      </c>
    </row>
    <row r="35" spans="1:24" ht="15.75" customHeight="1" x14ac:dyDescent="0.25">
      <c r="A35" s="3">
        <v>31</v>
      </c>
      <c r="B35" s="3" t="s">
        <v>8</v>
      </c>
      <c r="C35" s="4" t="s">
        <v>26</v>
      </c>
      <c r="D35" s="5" t="s">
        <v>27</v>
      </c>
      <c r="E35" s="3">
        <v>4</v>
      </c>
      <c r="F35" s="7">
        <v>2</v>
      </c>
      <c r="G35" s="7">
        <v>0</v>
      </c>
      <c r="H35" s="7">
        <v>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30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10</v>
      </c>
      <c r="X35" s="18" t="s">
        <v>232</v>
      </c>
    </row>
    <row r="36" spans="1:24" ht="15.75" customHeight="1" x14ac:dyDescent="0.25">
      <c r="A36" s="3">
        <v>32</v>
      </c>
      <c r="B36" s="3" t="s">
        <v>74</v>
      </c>
      <c r="C36" s="4" t="s">
        <v>59</v>
      </c>
      <c r="D36" s="5" t="s">
        <v>60</v>
      </c>
      <c r="E36" s="3">
        <v>4</v>
      </c>
      <c r="F36" s="7">
        <v>4</v>
      </c>
      <c r="G36" s="7">
        <v>0</v>
      </c>
      <c r="H36" s="7">
        <v>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60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10</v>
      </c>
      <c r="X36" s="18" t="s">
        <v>232</v>
      </c>
    </row>
    <row r="37" spans="1:24" ht="15.75" customHeight="1" x14ac:dyDescent="0.25">
      <c r="A37" s="3">
        <v>33</v>
      </c>
      <c r="B37" s="3" t="s">
        <v>74</v>
      </c>
      <c r="C37" s="4" t="s">
        <v>65</v>
      </c>
      <c r="D37" s="5" t="s">
        <v>66</v>
      </c>
      <c r="E37" s="3">
        <v>4</v>
      </c>
      <c r="F37" s="7">
        <v>3</v>
      </c>
      <c r="G37" s="7">
        <v>0</v>
      </c>
      <c r="H37" s="7">
        <v>0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45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10</v>
      </c>
      <c r="X37" s="18" t="s">
        <v>232</v>
      </c>
    </row>
    <row r="38" spans="1:24" ht="15.75" customHeight="1" x14ac:dyDescent="0.25">
      <c r="A38" s="3">
        <v>34</v>
      </c>
      <c r="B38" s="3" t="s">
        <v>74</v>
      </c>
      <c r="C38" s="4" t="s">
        <v>77</v>
      </c>
      <c r="D38" s="5" t="s">
        <v>78</v>
      </c>
      <c r="E38" s="3">
        <v>4</v>
      </c>
      <c r="F38" s="7">
        <v>4</v>
      </c>
      <c r="G38" s="7">
        <v>0</v>
      </c>
      <c r="H38" s="7">
        <v>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60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10</v>
      </c>
      <c r="X38" s="18" t="s">
        <v>232</v>
      </c>
    </row>
    <row r="39" spans="1:24" ht="15.75" customHeight="1" x14ac:dyDescent="0.25">
      <c r="A39" s="3">
        <v>35</v>
      </c>
      <c r="B39" s="3" t="s">
        <v>74</v>
      </c>
      <c r="C39" s="4" t="s">
        <v>69</v>
      </c>
      <c r="D39" s="5" t="s">
        <v>70</v>
      </c>
      <c r="E39" s="3">
        <v>4</v>
      </c>
      <c r="F39" s="7">
        <v>3</v>
      </c>
      <c r="G39" s="7">
        <v>1</v>
      </c>
      <c r="H39" s="7">
        <v>1</v>
      </c>
      <c r="I39" s="3">
        <v>30</v>
      </c>
      <c r="J39" s="3">
        <v>15</v>
      </c>
      <c r="K39" s="3">
        <v>0</v>
      </c>
      <c r="L39" s="3">
        <v>0</v>
      </c>
      <c r="M39" s="3">
        <v>0</v>
      </c>
      <c r="N39" s="3">
        <v>45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10</v>
      </c>
      <c r="X39" s="18" t="s">
        <v>232</v>
      </c>
    </row>
    <row r="40" spans="1:24" ht="15.75" customHeight="1" x14ac:dyDescent="0.25">
      <c r="A40" s="3">
        <v>36</v>
      </c>
      <c r="B40" s="3" t="s">
        <v>74</v>
      </c>
      <c r="C40" s="4" t="s">
        <v>71</v>
      </c>
      <c r="D40" s="5" t="s">
        <v>72</v>
      </c>
      <c r="E40" s="3">
        <v>5</v>
      </c>
      <c r="F40" s="7">
        <v>3</v>
      </c>
      <c r="G40" s="7">
        <v>1</v>
      </c>
      <c r="H40" s="7">
        <v>1</v>
      </c>
      <c r="I40" s="3">
        <v>30</v>
      </c>
      <c r="J40" s="3">
        <v>15</v>
      </c>
      <c r="K40" s="3">
        <v>0</v>
      </c>
      <c r="L40" s="3">
        <v>0</v>
      </c>
      <c r="M40" s="3">
        <v>0</v>
      </c>
      <c r="N40" s="3">
        <v>45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10</v>
      </c>
      <c r="X40" s="18" t="s">
        <v>232</v>
      </c>
    </row>
    <row r="41" spans="1:24" ht="15.75" customHeight="1" x14ac:dyDescent="0.25">
      <c r="A41" s="3">
        <v>37</v>
      </c>
      <c r="B41" s="3" t="s">
        <v>74</v>
      </c>
      <c r="C41" s="4" t="s">
        <v>79</v>
      </c>
      <c r="D41" s="5" t="s">
        <v>80</v>
      </c>
      <c r="E41" s="3">
        <v>5</v>
      </c>
      <c r="F41" s="7">
        <v>4</v>
      </c>
      <c r="G41" s="7">
        <v>0</v>
      </c>
      <c r="H41" s="7">
        <v>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60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</v>
      </c>
      <c r="X41" s="18" t="s">
        <v>232</v>
      </c>
    </row>
    <row r="42" spans="1:24" ht="15.75" customHeight="1" x14ac:dyDescent="0.25">
      <c r="A42" s="3">
        <v>38</v>
      </c>
      <c r="B42" s="3" t="s">
        <v>74</v>
      </c>
      <c r="C42" s="4" t="s">
        <v>67</v>
      </c>
      <c r="D42" s="5" t="s">
        <v>68</v>
      </c>
      <c r="E42" s="3">
        <v>5</v>
      </c>
      <c r="F42" s="7">
        <v>1</v>
      </c>
      <c r="G42" s="7">
        <v>0</v>
      </c>
      <c r="H42" s="7">
        <v>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15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10</v>
      </c>
      <c r="X42" s="18" t="s">
        <v>232</v>
      </c>
    </row>
    <row r="43" spans="1:24" ht="15.75" customHeight="1" x14ac:dyDescent="0.25">
      <c r="A43" s="3">
        <v>39</v>
      </c>
      <c r="B43" s="3" t="s">
        <v>74</v>
      </c>
      <c r="C43" s="4" t="s">
        <v>81</v>
      </c>
      <c r="D43" s="5" t="s">
        <v>82</v>
      </c>
      <c r="E43" s="3">
        <v>5</v>
      </c>
      <c r="F43" s="7">
        <v>3</v>
      </c>
      <c r="G43" s="7">
        <v>0</v>
      </c>
      <c r="H43" s="7">
        <v>0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45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</v>
      </c>
      <c r="X43" s="18" t="s">
        <v>232</v>
      </c>
    </row>
    <row r="44" spans="1:24" ht="15.75" customHeight="1" x14ac:dyDescent="0.25">
      <c r="A44" s="3">
        <v>40</v>
      </c>
      <c r="B44" s="3" t="s">
        <v>74</v>
      </c>
      <c r="C44" s="4" t="s">
        <v>83</v>
      </c>
      <c r="D44" s="5" t="s">
        <v>84</v>
      </c>
      <c r="E44" s="3">
        <v>5</v>
      </c>
      <c r="F44" s="7">
        <v>3</v>
      </c>
      <c r="G44" s="7">
        <v>0</v>
      </c>
      <c r="H44" s="7">
        <v>0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45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</v>
      </c>
      <c r="X44" s="18" t="s">
        <v>232</v>
      </c>
    </row>
    <row r="45" spans="1:24" ht="15.75" customHeight="1" x14ac:dyDescent="0.25">
      <c r="A45" s="3">
        <v>41</v>
      </c>
      <c r="B45" s="3" t="s">
        <v>74</v>
      </c>
      <c r="C45" s="4" t="s">
        <v>85</v>
      </c>
      <c r="D45" s="5" t="s">
        <v>86</v>
      </c>
      <c r="E45" s="3">
        <v>5</v>
      </c>
      <c r="F45" s="7">
        <v>3</v>
      </c>
      <c r="G45" s="7">
        <v>0</v>
      </c>
      <c r="H45" s="7">
        <v>0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45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10</v>
      </c>
      <c r="X45" s="18" t="s">
        <v>232</v>
      </c>
    </row>
    <row r="46" spans="1:24" ht="15.75" customHeight="1" x14ac:dyDescent="0.25">
      <c r="A46" s="3">
        <v>42</v>
      </c>
      <c r="B46" s="3" t="s">
        <v>74</v>
      </c>
      <c r="C46" s="4" t="s">
        <v>91</v>
      </c>
      <c r="D46" s="5" t="s">
        <v>92</v>
      </c>
      <c r="E46" s="3">
        <v>5</v>
      </c>
      <c r="F46" s="7">
        <v>3</v>
      </c>
      <c r="G46" s="7">
        <v>0</v>
      </c>
      <c r="H46" s="7">
        <v>0</v>
      </c>
      <c r="I46" s="3">
        <v>45</v>
      </c>
      <c r="J46" s="3">
        <v>0</v>
      </c>
      <c r="K46" s="3">
        <v>0</v>
      </c>
      <c r="L46" s="3">
        <v>0</v>
      </c>
      <c r="M46" s="3">
        <v>0</v>
      </c>
      <c r="N46" s="3">
        <v>45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</v>
      </c>
      <c r="X46" s="18" t="s">
        <v>232</v>
      </c>
    </row>
    <row r="47" spans="1:24" ht="15.75" customHeight="1" x14ac:dyDescent="0.25">
      <c r="A47" s="3">
        <v>43</v>
      </c>
      <c r="B47" s="3" t="s">
        <v>74</v>
      </c>
      <c r="C47" s="4" t="s">
        <v>93</v>
      </c>
      <c r="D47" s="5" t="s">
        <v>94</v>
      </c>
      <c r="E47" s="3">
        <v>6</v>
      </c>
      <c r="F47" s="7">
        <v>3</v>
      </c>
      <c r="G47" s="7">
        <v>0</v>
      </c>
      <c r="H47" s="7">
        <v>0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45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10</v>
      </c>
      <c r="X47" s="18" t="s">
        <v>232</v>
      </c>
    </row>
    <row r="48" spans="1:24" ht="15.75" customHeight="1" x14ac:dyDescent="0.25">
      <c r="A48" s="3">
        <v>44</v>
      </c>
      <c r="B48" s="3" t="s">
        <v>8</v>
      </c>
      <c r="C48" s="4" t="s">
        <v>16</v>
      </c>
      <c r="D48" s="5" t="s">
        <v>332</v>
      </c>
      <c r="E48" s="3">
        <v>6</v>
      </c>
      <c r="F48" s="7">
        <v>0</v>
      </c>
      <c r="G48" s="7">
        <v>0</v>
      </c>
      <c r="H48" s="7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</v>
      </c>
      <c r="X48" s="18" t="s">
        <v>232</v>
      </c>
    </row>
    <row r="49" spans="1:24" ht="15.75" customHeight="1" x14ac:dyDescent="0.25">
      <c r="A49" s="3">
        <v>45</v>
      </c>
      <c r="B49" s="3" t="s">
        <v>74</v>
      </c>
      <c r="C49" s="4" t="s">
        <v>95</v>
      </c>
      <c r="D49" s="5" t="s">
        <v>96</v>
      </c>
      <c r="E49" s="3">
        <v>6</v>
      </c>
      <c r="F49" s="7">
        <v>3</v>
      </c>
      <c r="G49" s="7">
        <v>0</v>
      </c>
      <c r="H49" s="7">
        <v>1</v>
      </c>
      <c r="I49" s="3">
        <v>30</v>
      </c>
      <c r="J49" s="3">
        <v>0</v>
      </c>
      <c r="K49" s="3">
        <v>15</v>
      </c>
      <c r="L49" s="3">
        <v>0</v>
      </c>
      <c r="M49" s="3">
        <v>0</v>
      </c>
      <c r="N49" s="3">
        <v>45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</v>
      </c>
      <c r="X49" s="18" t="s">
        <v>232</v>
      </c>
    </row>
    <row r="50" spans="1:24" ht="15.75" customHeight="1" x14ac:dyDescent="0.25">
      <c r="A50" s="3">
        <v>46</v>
      </c>
      <c r="B50" s="3" t="s">
        <v>74</v>
      </c>
      <c r="C50" s="4" t="s">
        <v>87</v>
      </c>
      <c r="D50" s="5" t="s">
        <v>88</v>
      </c>
      <c r="E50" s="3">
        <v>6</v>
      </c>
      <c r="F50" s="7">
        <v>4</v>
      </c>
      <c r="G50" s="7">
        <v>0</v>
      </c>
      <c r="H50" s="7">
        <v>1</v>
      </c>
      <c r="I50" s="3">
        <v>45</v>
      </c>
      <c r="J50" s="3">
        <v>0</v>
      </c>
      <c r="K50" s="3">
        <v>15</v>
      </c>
      <c r="L50" s="3">
        <v>0</v>
      </c>
      <c r="M50" s="3">
        <v>0</v>
      </c>
      <c r="N50" s="3">
        <v>60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10</v>
      </c>
      <c r="X50" s="18" t="s">
        <v>232</v>
      </c>
    </row>
    <row r="51" spans="1:24" ht="15.75" customHeight="1" x14ac:dyDescent="0.25">
      <c r="A51" s="3">
        <v>47</v>
      </c>
      <c r="B51" s="3" t="s">
        <v>74</v>
      </c>
      <c r="C51" s="4" t="s">
        <v>97</v>
      </c>
      <c r="D51" s="5" t="s">
        <v>98</v>
      </c>
      <c r="E51" s="3">
        <v>6</v>
      </c>
      <c r="F51" s="7">
        <v>3</v>
      </c>
      <c r="G51" s="7">
        <v>0</v>
      </c>
      <c r="H51" s="7">
        <v>1</v>
      </c>
      <c r="I51" s="3">
        <v>30</v>
      </c>
      <c r="J51" s="3">
        <v>0</v>
      </c>
      <c r="K51" s="3">
        <v>15</v>
      </c>
      <c r="L51" s="3">
        <v>0</v>
      </c>
      <c r="M51" s="3">
        <v>0</v>
      </c>
      <c r="N51" s="3">
        <v>45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10</v>
      </c>
      <c r="X51" s="18" t="s">
        <v>232</v>
      </c>
    </row>
    <row r="52" spans="1:24" ht="15.75" customHeight="1" x14ac:dyDescent="0.25">
      <c r="A52" s="3">
        <v>48</v>
      </c>
      <c r="B52" s="3" t="s">
        <v>74</v>
      </c>
      <c r="C52" s="4" t="s">
        <v>89</v>
      </c>
      <c r="D52" s="5" t="s">
        <v>90</v>
      </c>
      <c r="E52" s="3">
        <v>6</v>
      </c>
      <c r="F52" s="7">
        <v>3</v>
      </c>
      <c r="G52" s="7">
        <v>0</v>
      </c>
      <c r="H52" s="7">
        <v>1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45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</v>
      </c>
      <c r="X52" s="18" t="s">
        <v>232</v>
      </c>
    </row>
    <row r="53" spans="1:24" ht="15.75" customHeight="1" x14ac:dyDescent="0.25">
      <c r="A53" s="3">
        <v>49</v>
      </c>
      <c r="B53" s="3" t="s">
        <v>74</v>
      </c>
      <c r="C53" s="4" t="s">
        <v>104</v>
      </c>
      <c r="D53" s="5" t="s">
        <v>105</v>
      </c>
      <c r="E53" s="3">
        <v>6</v>
      </c>
      <c r="F53" s="7">
        <v>3</v>
      </c>
      <c r="G53" s="7">
        <v>0</v>
      </c>
      <c r="H53" s="7">
        <v>1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45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10</v>
      </c>
      <c r="X53" s="18" t="s">
        <v>232</v>
      </c>
    </row>
    <row r="54" spans="1:24" ht="15.75" customHeight="1" x14ac:dyDescent="0.25">
      <c r="A54" s="3">
        <v>50</v>
      </c>
      <c r="B54" s="3" t="s">
        <v>119</v>
      </c>
      <c r="C54" s="4" t="s">
        <v>120</v>
      </c>
      <c r="D54" s="5" t="s">
        <v>121</v>
      </c>
      <c r="E54" s="3">
        <v>7</v>
      </c>
      <c r="F54" s="7">
        <v>3</v>
      </c>
      <c r="G54" s="7">
        <v>0</v>
      </c>
      <c r="H54" s="7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10</v>
      </c>
      <c r="X54" s="18" t="s">
        <v>232</v>
      </c>
    </row>
    <row r="55" spans="1:24" ht="15.75" customHeight="1" x14ac:dyDescent="0.25">
      <c r="A55" s="3">
        <v>51</v>
      </c>
      <c r="B55" s="3" t="s">
        <v>74</v>
      </c>
      <c r="C55" s="4" t="s">
        <v>174</v>
      </c>
      <c r="D55" s="5" t="s">
        <v>175</v>
      </c>
      <c r="E55" s="3">
        <v>7</v>
      </c>
      <c r="F55" s="7">
        <v>3</v>
      </c>
      <c r="G55" s="7">
        <v>0</v>
      </c>
      <c r="H55" s="7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10</v>
      </c>
      <c r="X55" s="18" t="s">
        <v>232</v>
      </c>
    </row>
    <row r="56" spans="1:24" ht="15.75" customHeight="1" x14ac:dyDescent="0.25">
      <c r="A56" s="3">
        <v>52</v>
      </c>
      <c r="B56" s="3" t="s">
        <v>74</v>
      </c>
      <c r="C56" s="4" t="s">
        <v>106</v>
      </c>
      <c r="D56" s="5" t="s">
        <v>107</v>
      </c>
      <c r="E56" s="3">
        <v>7</v>
      </c>
      <c r="F56" s="7">
        <v>3</v>
      </c>
      <c r="G56" s="7">
        <v>0</v>
      </c>
      <c r="H56" s="7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10</v>
      </c>
      <c r="X56" s="18" t="s">
        <v>232</v>
      </c>
    </row>
    <row r="57" spans="1:24" ht="15.75" customHeight="1" x14ac:dyDescent="0.25">
      <c r="A57" s="3">
        <v>53</v>
      </c>
      <c r="B57" s="3" t="s">
        <v>74</v>
      </c>
      <c r="C57" s="4" t="s">
        <v>101</v>
      </c>
      <c r="D57" s="5" t="s">
        <v>102</v>
      </c>
      <c r="E57" s="3">
        <v>7</v>
      </c>
      <c r="F57" s="7">
        <v>3</v>
      </c>
      <c r="G57" s="7">
        <v>0</v>
      </c>
      <c r="H57" s="7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10</v>
      </c>
      <c r="X57" s="18" t="s">
        <v>232</v>
      </c>
    </row>
    <row r="58" spans="1:24" ht="15.75" customHeight="1" x14ac:dyDescent="0.25">
      <c r="A58" s="3">
        <v>54</v>
      </c>
      <c r="B58" s="3" t="s">
        <v>74</v>
      </c>
      <c r="C58" s="4" t="s">
        <v>99</v>
      </c>
      <c r="D58" s="5" t="s">
        <v>100</v>
      </c>
      <c r="E58" s="3">
        <v>7</v>
      </c>
      <c r="F58" s="7">
        <v>4</v>
      </c>
      <c r="G58" s="7">
        <v>0</v>
      </c>
      <c r="H58" s="7">
        <v>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60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</v>
      </c>
      <c r="X58" s="18" t="s">
        <v>232</v>
      </c>
    </row>
    <row r="59" spans="1:24" ht="15.75" customHeight="1" x14ac:dyDescent="0.25">
      <c r="A59" s="3">
        <v>55</v>
      </c>
      <c r="B59" s="3" t="s">
        <v>119</v>
      </c>
      <c r="C59" s="4" t="s">
        <v>122</v>
      </c>
      <c r="D59" s="5" t="s">
        <v>123</v>
      </c>
      <c r="E59" s="3">
        <v>8</v>
      </c>
      <c r="F59" s="7">
        <v>7</v>
      </c>
      <c r="G59" s="7">
        <v>0</v>
      </c>
      <c r="H59" s="7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</v>
      </c>
      <c r="X59" s="18" t="s">
        <v>232</v>
      </c>
    </row>
    <row r="60" spans="1:24" ht="15.75" customHeight="1" x14ac:dyDescent="0.25">
      <c r="A60" s="3">
        <v>56</v>
      </c>
      <c r="B60" s="3" t="s">
        <v>8</v>
      </c>
      <c r="C60" s="4" t="s">
        <v>22</v>
      </c>
      <c r="D60" s="5" t="s">
        <v>23</v>
      </c>
      <c r="E60" s="3">
        <v>1</v>
      </c>
      <c r="F60" s="7">
        <v>2</v>
      </c>
      <c r="G60" s="7">
        <v>0</v>
      </c>
      <c r="H60" s="7">
        <v>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30</v>
      </c>
      <c r="O60" s="3">
        <v>1</v>
      </c>
      <c r="P60" s="3">
        <v>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10</v>
      </c>
      <c r="X60" s="18" t="s">
        <v>232</v>
      </c>
    </row>
    <row r="61" spans="1:24" ht="15.75" customHeight="1" x14ac:dyDescent="0.25">
      <c r="A61" s="3">
        <v>57</v>
      </c>
      <c r="B61" s="3" t="s">
        <v>8</v>
      </c>
      <c r="C61" s="4" t="s">
        <v>199</v>
      </c>
      <c r="D61" s="5" t="s">
        <v>23</v>
      </c>
      <c r="E61" s="3">
        <v>1</v>
      </c>
      <c r="F61" s="7">
        <v>3</v>
      </c>
      <c r="G61" s="7">
        <v>0</v>
      </c>
      <c r="H61" s="7">
        <v>1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45</v>
      </c>
      <c r="O61" s="3">
        <v>1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</v>
      </c>
      <c r="X61" s="18" t="s">
        <v>232</v>
      </c>
    </row>
    <row r="62" spans="1:24" ht="15.75" customHeight="1" x14ac:dyDescent="0.25">
      <c r="A62" s="3">
        <v>58</v>
      </c>
      <c r="B62" s="3" t="s">
        <v>46</v>
      </c>
      <c r="C62" s="4" t="s">
        <v>209</v>
      </c>
      <c r="D62" s="5" t="s">
        <v>62</v>
      </c>
      <c r="E62" s="3">
        <v>2</v>
      </c>
      <c r="F62" s="7">
        <v>2</v>
      </c>
      <c r="G62" s="7">
        <v>0</v>
      </c>
      <c r="H62" s="7">
        <v>1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30</v>
      </c>
      <c r="O62" s="3">
        <v>2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</v>
      </c>
      <c r="X62" s="18" t="s">
        <v>232</v>
      </c>
    </row>
    <row r="63" spans="1:24" ht="15.75" customHeight="1" x14ac:dyDescent="0.25">
      <c r="A63" s="3">
        <v>59</v>
      </c>
      <c r="B63" s="3" t="s">
        <v>74</v>
      </c>
      <c r="C63" s="4" t="s">
        <v>61</v>
      </c>
      <c r="D63" s="5" t="s">
        <v>62</v>
      </c>
      <c r="E63" s="3">
        <v>2</v>
      </c>
      <c r="F63" s="7">
        <v>2</v>
      </c>
      <c r="G63" s="7">
        <v>0</v>
      </c>
      <c r="H63" s="7">
        <v>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30</v>
      </c>
      <c r="O63" s="3">
        <v>2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10</v>
      </c>
      <c r="X63" s="18" t="s">
        <v>232</v>
      </c>
    </row>
    <row r="64" spans="1:24" ht="15.75" customHeight="1" x14ac:dyDescent="0.25">
      <c r="A64" s="3">
        <v>60</v>
      </c>
      <c r="B64" s="3" t="s">
        <v>8</v>
      </c>
      <c r="C64" s="4" t="s">
        <v>34</v>
      </c>
      <c r="D64" s="5" t="s">
        <v>35</v>
      </c>
      <c r="E64" s="3">
        <v>3</v>
      </c>
      <c r="F64" s="7">
        <v>3</v>
      </c>
      <c r="G64" s="7">
        <v>0</v>
      </c>
      <c r="H64" s="7">
        <v>1</v>
      </c>
      <c r="I64" s="3">
        <v>30</v>
      </c>
      <c r="J64" s="3">
        <v>15</v>
      </c>
      <c r="K64" s="3">
        <v>0</v>
      </c>
      <c r="L64" s="3">
        <v>0</v>
      </c>
      <c r="M64" s="3">
        <v>0</v>
      </c>
      <c r="N64" s="3">
        <v>45</v>
      </c>
      <c r="O64" s="3">
        <v>3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10</v>
      </c>
      <c r="X64" s="18" t="s">
        <v>232</v>
      </c>
    </row>
    <row r="65" spans="1:24" ht="15.75" customHeight="1" x14ac:dyDescent="0.25">
      <c r="A65" s="3">
        <v>61</v>
      </c>
      <c r="B65" s="3" t="s">
        <v>8</v>
      </c>
      <c r="C65" s="4" t="s">
        <v>205</v>
      </c>
      <c r="D65" s="5" t="s">
        <v>35</v>
      </c>
      <c r="E65" s="3">
        <v>3</v>
      </c>
      <c r="F65" s="7">
        <v>3</v>
      </c>
      <c r="G65" s="7">
        <v>0</v>
      </c>
      <c r="H65" s="7">
        <v>1</v>
      </c>
      <c r="I65" s="3">
        <v>30</v>
      </c>
      <c r="J65" s="3">
        <v>15</v>
      </c>
      <c r="K65" s="3">
        <v>0</v>
      </c>
      <c r="L65" s="3">
        <v>0</v>
      </c>
      <c r="M65" s="3">
        <v>0</v>
      </c>
      <c r="N65" s="3">
        <v>45</v>
      </c>
      <c r="O65" s="3">
        <v>3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10</v>
      </c>
      <c r="X65" s="18" t="s">
        <v>232</v>
      </c>
    </row>
    <row r="66" spans="1:24" ht="15.75" customHeight="1" x14ac:dyDescent="0.25">
      <c r="A66" s="3">
        <v>62</v>
      </c>
      <c r="B66" s="3" t="s">
        <v>8</v>
      </c>
      <c r="C66" s="4" t="s">
        <v>30</v>
      </c>
      <c r="D66" s="5" t="s">
        <v>31</v>
      </c>
      <c r="E66" s="3">
        <v>1</v>
      </c>
      <c r="F66" s="7">
        <v>3</v>
      </c>
      <c r="G66" s="7">
        <v>1</v>
      </c>
      <c r="H66" s="7">
        <v>1</v>
      </c>
      <c r="I66" s="3">
        <v>30</v>
      </c>
      <c r="J66" s="3">
        <v>0</v>
      </c>
      <c r="K66" s="3">
        <v>15</v>
      </c>
      <c r="L66" s="3">
        <v>0</v>
      </c>
      <c r="M66" s="3">
        <v>0</v>
      </c>
      <c r="N66" s="3">
        <v>45</v>
      </c>
      <c r="O66" s="3">
        <v>4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10</v>
      </c>
      <c r="X66" s="18" t="s">
        <v>232</v>
      </c>
    </row>
    <row r="67" spans="1:24" ht="15.75" customHeight="1" x14ac:dyDescent="0.25">
      <c r="A67" s="3">
        <v>63</v>
      </c>
      <c r="B67" s="3" t="s">
        <v>8</v>
      </c>
      <c r="C67" s="4" t="s">
        <v>203</v>
      </c>
      <c r="D67" s="5" t="s">
        <v>31</v>
      </c>
      <c r="E67" s="3">
        <v>1</v>
      </c>
      <c r="F67" s="7">
        <v>3</v>
      </c>
      <c r="G67" s="7">
        <v>0</v>
      </c>
      <c r="H67" s="7">
        <v>1</v>
      </c>
      <c r="I67" s="3">
        <v>30</v>
      </c>
      <c r="J67" s="3">
        <v>0</v>
      </c>
      <c r="K67" s="3">
        <v>15</v>
      </c>
      <c r="L67" s="3">
        <v>0</v>
      </c>
      <c r="M67" s="3">
        <v>0</v>
      </c>
      <c r="N67" s="3">
        <v>45</v>
      </c>
      <c r="O67" s="3">
        <v>4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10</v>
      </c>
      <c r="X67" s="18" t="s">
        <v>232</v>
      </c>
    </row>
    <row r="68" spans="1:24" ht="15.75" customHeight="1" x14ac:dyDescent="0.25">
      <c r="A68" s="3">
        <v>64</v>
      </c>
      <c r="B68" s="3" t="s">
        <v>8</v>
      </c>
      <c r="C68" s="4" t="s">
        <v>204</v>
      </c>
      <c r="D68" s="5" t="s">
        <v>33</v>
      </c>
      <c r="E68" s="3">
        <v>2</v>
      </c>
      <c r="F68" s="7">
        <v>3</v>
      </c>
      <c r="G68" s="7">
        <v>0</v>
      </c>
      <c r="H68" s="7">
        <v>1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45</v>
      </c>
      <c r="O68" s="3">
        <v>5</v>
      </c>
      <c r="P68" s="3">
        <v>1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10</v>
      </c>
      <c r="X68" s="18" t="s">
        <v>232</v>
      </c>
    </row>
    <row r="69" spans="1:24" ht="15.75" customHeight="1" x14ac:dyDescent="0.25">
      <c r="A69" s="3">
        <v>65</v>
      </c>
      <c r="B69" s="3" t="s">
        <v>8</v>
      </c>
      <c r="C69" s="4" t="s">
        <v>32</v>
      </c>
      <c r="D69" s="5" t="s">
        <v>33</v>
      </c>
      <c r="E69" s="3">
        <v>2</v>
      </c>
      <c r="F69" s="7">
        <v>3</v>
      </c>
      <c r="G69" s="7">
        <v>1</v>
      </c>
      <c r="H69" s="7">
        <v>1</v>
      </c>
      <c r="I69" s="3">
        <v>30</v>
      </c>
      <c r="J69" s="3">
        <v>15</v>
      </c>
      <c r="K69" s="3">
        <v>0</v>
      </c>
      <c r="L69" s="3">
        <v>0</v>
      </c>
      <c r="M69" s="3">
        <v>0</v>
      </c>
      <c r="N69" s="3">
        <v>45</v>
      </c>
      <c r="O69" s="3">
        <v>5</v>
      </c>
      <c r="P69" s="3">
        <v>1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10</v>
      </c>
      <c r="X69" s="18" t="s">
        <v>232</v>
      </c>
    </row>
    <row r="70" spans="1:24" ht="15.75" customHeight="1" x14ac:dyDescent="0.25">
      <c r="A70" s="3">
        <v>66</v>
      </c>
      <c r="B70" s="3" t="s">
        <v>8</v>
      </c>
      <c r="C70" s="4" t="s">
        <v>12</v>
      </c>
      <c r="D70" s="5" t="s">
        <v>13</v>
      </c>
      <c r="E70" s="3">
        <v>3</v>
      </c>
      <c r="F70" s="7">
        <v>2</v>
      </c>
      <c r="G70" s="7">
        <v>0</v>
      </c>
      <c r="H70" s="7">
        <v>1</v>
      </c>
      <c r="I70" s="3">
        <v>20</v>
      </c>
      <c r="J70" s="3">
        <v>0</v>
      </c>
      <c r="K70" s="3">
        <v>10</v>
      </c>
      <c r="L70" s="3">
        <v>0</v>
      </c>
      <c r="M70" s="3">
        <v>0</v>
      </c>
      <c r="N70" s="3">
        <v>30</v>
      </c>
      <c r="O70" s="3">
        <v>6</v>
      </c>
      <c r="P70" s="3">
        <v>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</v>
      </c>
      <c r="X70" s="18" t="s">
        <v>232</v>
      </c>
    </row>
    <row r="71" spans="1:24" ht="15.75" customHeight="1" x14ac:dyDescent="0.25">
      <c r="A71" s="3">
        <v>67</v>
      </c>
      <c r="B71" s="3" t="s">
        <v>8</v>
      </c>
      <c r="C71" s="4" t="s">
        <v>125</v>
      </c>
      <c r="D71" s="5" t="s">
        <v>13</v>
      </c>
      <c r="E71" s="3">
        <v>3</v>
      </c>
      <c r="F71" s="7">
        <v>2</v>
      </c>
      <c r="G71" s="7">
        <v>0</v>
      </c>
      <c r="H71" s="7">
        <v>1</v>
      </c>
      <c r="I71" s="3">
        <v>20</v>
      </c>
      <c r="J71" s="3">
        <v>0</v>
      </c>
      <c r="K71" s="3">
        <v>10</v>
      </c>
      <c r="L71" s="3">
        <v>0</v>
      </c>
      <c r="M71" s="3">
        <v>0</v>
      </c>
      <c r="N71" s="3">
        <v>30</v>
      </c>
      <c r="O71" s="3">
        <v>6</v>
      </c>
      <c r="P71" s="3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10</v>
      </c>
      <c r="X71" s="18" t="s">
        <v>232</v>
      </c>
    </row>
    <row r="72" spans="1:24" ht="15.75" customHeight="1" x14ac:dyDescent="0.25">
      <c r="A72" s="3">
        <v>68</v>
      </c>
      <c r="B72" s="3" t="s">
        <v>8</v>
      </c>
      <c r="C72" s="4" t="s">
        <v>140</v>
      </c>
      <c r="D72" s="5" t="s">
        <v>197</v>
      </c>
      <c r="E72" s="3">
        <v>2</v>
      </c>
      <c r="F72" s="7">
        <v>2</v>
      </c>
      <c r="G72" s="7">
        <v>0</v>
      </c>
      <c r="H72" s="7">
        <v>1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30</v>
      </c>
      <c r="O72" s="3">
        <v>7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10</v>
      </c>
      <c r="X72" s="18" t="s">
        <v>232</v>
      </c>
    </row>
    <row r="73" spans="1:24" ht="15.75" customHeight="1" x14ac:dyDescent="0.25">
      <c r="A73" s="3">
        <v>69</v>
      </c>
      <c r="B73" s="3" t="s">
        <v>8</v>
      </c>
      <c r="C73" s="4" t="s">
        <v>14</v>
      </c>
      <c r="D73" s="5" t="s">
        <v>15</v>
      </c>
      <c r="E73" s="3">
        <v>3</v>
      </c>
      <c r="F73" s="7">
        <v>2</v>
      </c>
      <c r="G73" s="7">
        <v>0</v>
      </c>
      <c r="H73" s="7">
        <v>1</v>
      </c>
      <c r="I73" s="3">
        <v>20</v>
      </c>
      <c r="J73" s="3">
        <v>0</v>
      </c>
      <c r="K73" s="3">
        <v>10</v>
      </c>
      <c r="L73" s="3">
        <v>0</v>
      </c>
      <c r="M73" s="3">
        <v>0</v>
      </c>
      <c r="N73" s="3">
        <v>30</v>
      </c>
      <c r="O73" s="3">
        <v>7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10</v>
      </c>
      <c r="X73" s="18" t="s">
        <v>232</v>
      </c>
    </row>
    <row r="74" spans="1:24" ht="15.75" customHeight="1" x14ac:dyDescent="0.25"/>
    <row r="75" spans="1:24" ht="15.75" customHeight="1" x14ac:dyDescent="0.25"/>
    <row r="76" spans="1:24" ht="15.75" customHeight="1" x14ac:dyDescent="0.25"/>
    <row r="77" spans="1:24" ht="15.75" customHeight="1" x14ac:dyDescent="0.25"/>
    <row r="78" spans="1:24" ht="15.75" customHeight="1" x14ac:dyDescent="0.25"/>
    <row r="79" spans="1:24" ht="15.75" customHeight="1" x14ac:dyDescent="0.25"/>
    <row r="80" spans="1:2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X1"/>
    <mergeCell ref="A2:X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30" customWidth="1"/>
    <col min="3" max="3" width="12" customWidth="1"/>
    <col min="4" max="4" width="37.42578125" customWidth="1"/>
    <col min="5" max="5" width="6" customWidth="1"/>
    <col min="6" max="7" width="7.42578125" customWidth="1"/>
    <col min="8" max="8" width="4.42578125" customWidth="1"/>
    <col min="9" max="9" width="7.42578125" customWidth="1"/>
    <col min="10" max="10" width="6.7109375" customWidth="1"/>
    <col min="11" max="13" width="5.28515625" customWidth="1"/>
    <col min="14" max="14" width="6.42578125" customWidth="1"/>
    <col min="15" max="15" width="7.42578125" customWidth="1"/>
    <col min="16" max="16" width="6" customWidth="1"/>
    <col min="17" max="17" width="12" customWidth="1"/>
    <col min="18" max="18" width="7.42578125" customWidth="1"/>
    <col min="19" max="19" width="6.7109375" customWidth="1"/>
    <col min="20" max="23" width="7.42578125" customWidth="1"/>
    <col min="24" max="24" width="12" customWidth="1"/>
    <col min="25" max="46" width="8.7109375" customWidth="1"/>
  </cols>
  <sheetData>
    <row r="1" spans="1:46" ht="18.75" x14ac:dyDescent="0.3">
      <c r="A1" s="36" t="s">
        <v>311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ht="18.75" x14ac:dyDescent="0.3">
      <c r="A2" s="36" t="s">
        <v>333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6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</row>
    <row r="4" spans="1:46" ht="78.75" x14ac:dyDescent="0.25">
      <c r="A4" s="31" t="s">
        <v>313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314</v>
      </c>
      <c r="G4" s="31" t="s">
        <v>315</v>
      </c>
      <c r="H4" s="31" t="s">
        <v>316</v>
      </c>
      <c r="I4" s="31" t="s">
        <v>317</v>
      </c>
      <c r="J4" s="31" t="s">
        <v>6</v>
      </c>
      <c r="K4" s="31" t="s">
        <v>318</v>
      </c>
      <c r="L4" s="31" t="s">
        <v>319</v>
      </c>
      <c r="M4" s="31" t="s">
        <v>5</v>
      </c>
      <c r="N4" s="31" t="s">
        <v>320</v>
      </c>
      <c r="O4" s="31" t="s">
        <v>4</v>
      </c>
      <c r="P4" s="31" t="s">
        <v>321</v>
      </c>
      <c r="Q4" s="31" t="s">
        <v>322</v>
      </c>
      <c r="R4" s="31" t="s">
        <v>6</v>
      </c>
      <c r="S4" s="31" t="s">
        <v>323</v>
      </c>
      <c r="T4" s="31" t="s">
        <v>324</v>
      </c>
      <c r="U4" s="31" t="s">
        <v>325</v>
      </c>
      <c r="V4" s="31" t="s">
        <v>326</v>
      </c>
      <c r="W4" s="31" t="s">
        <v>327</v>
      </c>
      <c r="X4" s="31" t="s">
        <v>230</v>
      </c>
    </row>
    <row r="5" spans="1:46" ht="31.5" x14ac:dyDescent="0.25">
      <c r="A5" s="3">
        <v>1</v>
      </c>
      <c r="B5" s="3" t="s">
        <v>8</v>
      </c>
      <c r="C5" s="4" t="s">
        <v>9</v>
      </c>
      <c r="D5" s="5" t="s">
        <v>10</v>
      </c>
      <c r="E5" s="3">
        <v>1</v>
      </c>
      <c r="F5" s="7">
        <v>3</v>
      </c>
      <c r="G5" s="7">
        <v>0</v>
      </c>
      <c r="H5" s="7">
        <v>1</v>
      </c>
      <c r="I5" s="3">
        <v>45</v>
      </c>
      <c r="J5" s="3">
        <v>0</v>
      </c>
      <c r="K5" s="3">
        <v>0</v>
      </c>
      <c r="L5" s="3">
        <v>0</v>
      </c>
      <c r="M5" s="3">
        <v>0</v>
      </c>
      <c r="N5" s="3">
        <v>45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10</v>
      </c>
      <c r="X5" s="18" t="s">
        <v>232</v>
      </c>
    </row>
    <row r="6" spans="1:46" ht="31.5" x14ac:dyDescent="0.25">
      <c r="A6" s="3">
        <v>2</v>
      </c>
      <c r="B6" s="3" t="s">
        <v>8</v>
      </c>
      <c r="C6" s="4" t="s">
        <v>14</v>
      </c>
      <c r="D6" s="5" t="s">
        <v>15</v>
      </c>
      <c r="E6" s="3">
        <v>2</v>
      </c>
      <c r="F6" s="7">
        <v>2</v>
      </c>
      <c r="G6" s="7">
        <v>0</v>
      </c>
      <c r="H6" s="7">
        <v>1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30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10</v>
      </c>
      <c r="X6" s="18" t="s">
        <v>232</v>
      </c>
    </row>
    <row r="7" spans="1:46" ht="31.5" x14ac:dyDescent="0.25">
      <c r="A7" s="3">
        <v>3</v>
      </c>
      <c r="B7" s="3" t="s">
        <v>8</v>
      </c>
      <c r="C7" s="4" t="s">
        <v>125</v>
      </c>
      <c r="D7" s="5" t="s">
        <v>13</v>
      </c>
      <c r="E7" s="3">
        <v>3</v>
      </c>
      <c r="F7" s="7">
        <v>2</v>
      </c>
      <c r="G7" s="7">
        <v>0</v>
      </c>
      <c r="H7" s="7">
        <v>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30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10</v>
      </c>
      <c r="X7" s="18" t="s">
        <v>232</v>
      </c>
    </row>
    <row r="8" spans="1:46" ht="31.5" x14ac:dyDescent="0.25">
      <c r="A8" s="3">
        <v>4</v>
      </c>
      <c r="B8" s="3" t="s">
        <v>8</v>
      </c>
      <c r="C8" s="4" t="s">
        <v>126</v>
      </c>
      <c r="D8" s="5" t="s">
        <v>127</v>
      </c>
      <c r="E8" s="3">
        <v>5</v>
      </c>
      <c r="F8" s="7">
        <v>2</v>
      </c>
      <c r="G8" s="7">
        <v>0</v>
      </c>
      <c r="H8" s="7">
        <v>1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30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</v>
      </c>
      <c r="X8" s="18" t="s">
        <v>232</v>
      </c>
    </row>
    <row r="9" spans="1:46" ht="31.5" x14ac:dyDescent="0.25">
      <c r="A9" s="3">
        <v>5</v>
      </c>
      <c r="B9" s="3" t="s">
        <v>8</v>
      </c>
      <c r="C9" s="4" t="s">
        <v>26</v>
      </c>
      <c r="D9" s="5" t="s">
        <v>27</v>
      </c>
      <c r="E9" s="3">
        <v>4</v>
      </c>
      <c r="F9" s="7">
        <v>2</v>
      </c>
      <c r="G9" s="7">
        <v>0</v>
      </c>
      <c r="H9" s="7">
        <v>0</v>
      </c>
      <c r="I9" s="3">
        <v>20</v>
      </c>
      <c r="J9" s="3">
        <v>10</v>
      </c>
      <c r="K9" s="3">
        <v>0</v>
      </c>
      <c r="L9" s="3">
        <v>0</v>
      </c>
      <c r="M9" s="3">
        <v>0</v>
      </c>
      <c r="N9" s="3">
        <v>30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10</v>
      </c>
      <c r="X9" s="18" t="s">
        <v>232</v>
      </c>
    </row>
    <row r="10" spans="1:46" ht="31.5" x14ac:dyDescent="0.25">
      <c r="A10" s="3">
        <v>6</v>
      </c>
      <c r="B10" s="3" t="s">
        <v>8</v>
      </c>
      <c r="C10" s="4" t="s">
        <v>128</v>
      </c>
      <c r="D10" s="5" t="s">
        <v>31</v>
      </c>
      <c r="E10" s="3">
        <v>1</v>
      </c>
      <c r="F10" s="7">
        <v>3</v>
      </c>
      <c r="G10" s="7">
        <v>0</v>
      </c>
      <c r="H10" s="7">
        <v>0</v>
      </c>
      <c r="I10" s="3">
        <v>30</v>
      </c>
      <c r="J10" s="3">
        <v>0</v>
      </c>
      <c r="K10" s="3">
        <v>15</v>
      </c>
      <c r="L10" s="3">
        <v>0</v>
      </c>
      <c r="M10" s="3">
        <v>0</v>
      </c>
      <c r="N10" s="3">
        <v>45</v>
      </c>
      <c r="O10" s="3">
        <v>14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10</v>
      </c>
      <c r="X10" s="18" t="s">
        <v>232</v>
      </c>
    </row>
    <row r="11" spans="1:46" ht="31.5" x14ac:dyDescent="0.25">
      <c r="A11" s="3">
        <v>6</v>
      </c>
      <c r="B11" s="3" t="s">
        <v>8</v>
      </c>
      <c r="C11" s="4" t="s">
        <v>203</v>
      </c>
      <c r="D11" s="5" t="s">
        <v>31</v>
      </c>
      <c r="E11" s="3">
        <v>1</v>
      </c>
      <c r="F11" s="7">
        <v>3</v>
      </c>
      <c r="G11" s="7">
        <v>0</v>
      </c>
      <c r="H11" s="7">
        <v>1</v>
      </c>
      <c r="I11" s="3">
        <v>30</v>
      </c>
      <c r="J11" s="3">
        <v>0</v>
      </c>
      <c r="K11" s="3">
        <v>15</v>
      </c>
      <c r="L11" s="3">
        <v>0</v>
      </c>
      <c r="M11" s="3">
        <v>0</v>
      </c>
      <c r="N11" s="3">
        <v>45</v>
      </c>
      <c r="O11" s="3">
        <v>14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10</v>
      </c>
      <c r="X11" s="18" t="s">
        <v>232</v>
      </c>
    </row>
    <row r="12" spans="1:46" ht="31.5" x14ac:dyDescent="0.25">
      <c r="A12" s="3">
        <v>7</v>
      </c>
      <c r="B12" s="3" t="s">
        <v>8</v>
      </c>
      <c r="C12" s="4" t="s">
        <v>32</v>
      </c>
      <c r="D12" s="5" t="s">
        <v>33</v>
      </c>
      <c r="E12" s="3">
        <v>2</v>
      </c>
      <c r="F12" s="7">
        <v>3</v>
      </c>
      <c r="G12" s="7">
        <v>0</v>
      </c>
      <c r="H12" s="7">
        <v>0</v>
      </c>
      <c r="I12" s="3">
        <v>30</v>
      </c>
      <c r="J12" s="3">
        <v>0</v>
      </c>
      <c r="K12" s="3">
        <v>15</v>
      </c>
      <c r="L12" s="3">
        <v>0</v>
      </c>
      <c r="M12" s="3">
        <v>0</v>
      </c>
      <c r="N12" s="3">
        <v>45</v>
      </c>
      <c r="O12" s="3">
        <v>15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</v>
      </c>
      <c r="X12" s="18" t="s">
        <v>232</v>
      </c>
    </row>
    <row r="13" spans="1:46" ht="31.5" x14ac:dyDescent="0.25">
      <c r="A13" s="3">
        <v>7</v>
      </c>
      <c r="B13" s="3" t="s">
        <v>8</v>
      </c>
      <c r="C13" s="4" t="s">
        <v>204</v>
      </c>
      <c r="D13" s="5" t="s">
        <v>33</v>
      </c>
      <c r="E13" s="3">
        <v>2</v>
      </c>
      <c r="F13" s="7">
        <v>3</v>
      </c>
      <c r="G13" s="7">
        <v>0</v>
      </c>
      <c r="H13" s="7">
        <v>1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45</v>
      </c>
      <c r="O13" s="3">
        <v>15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10</v>
      </c>
      <c r="X13" s="18" t="s">
        <v>232</v>
      </c>
    </row>
    <row r="14" spans="1:46" ht="31.5" x14ac:dyDescent="0.25">
      <c r="A14" s="3">
        <v>8</v>
      </c>
      <c r="B14" s="3" t="s">
        <v>8</v>
      </c>
      <c r="C14" s="4" t="s">
        <v>129</v>
      </c>
      <c r="D14" s="5" t="s">
        <v>35</v>
      </c>
      <c r="E14" s="3">
        <v>3</v>
      </c>
      <c r="F14" s="7">
        <v>3</v>
      </c>
      <c r="G14" s="7">
        <v>0</v>
      </c>
      <c r="H14" s="7">
        <v>0</v>
      </c>
      <c r="I14" s="3">
        <v>30</v>
      </c>
      <c r="J14" s="3">
        <v>0</v>
      </c>
      <c r="K14" s="3">
        <v>15</v>
      </c>
      <c r="L14" s="3">
        <v>0</v>
      </c>
      <c r="M14" s="3">
        <v>0</v>
      </c>
      <c r="N14" s="3">
        <v>45</v>
      </c>
      <c r="O14" s="3">
        <v>16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10</v>
      </c>
      <c r="X14" s="18" t="s">
        <v>232</v>
      </c>
    </row>
    <row r="15" spans="1:46" ht="31.5" x14ac:dyDescent="0.25">
      <c r="A15" s="3">
        <v>8</v>
      </c>
      <c r="B15" s="3" t="s">
        <v>8</v>
      </c>
      <c r="C15" s="4" t="s">
        <v>205</v>
      </c>
      <c r="D15" s="5" t="s">
        <v>35</v>
      </c>
      <c r="E15" s="3">
        <v>3</v>
      </c>
      <c r="F15" s="7">
        <v>3</v>
      </c>
      <c r="G15" s="7">
        <v>0</v>
      </c>
      <c r="H15" s="7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16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</v>
      </c>
      <c r="X15" s="18" t="s">
        <v>232</v>
      </c>
    </row>
    <row r="16" spans="1:46" ht="31.5" x14ac:dyDescent="0.25">
      <c r="A16" s="3">
        <v>9</v>
      </c>
      <c r="B16" s="3" t="s">
        <v>8</v>
      </c>
      <c r="C16" s="4" t="s">
        <v>20</v>
      </c>
      <c r="D16" s="5" t="s">
        <v>21</v>
      </c>
      <c r="E16" s="3">
        <v>1</v>
      </c>
      <c r="F16" s="7">
        <v>2</v>
      </c>
      <c r="G16" s="7">
        <v>0</v>
      </c>
      <c r="H16" s="7">
        <v>0</v>
      </c>
      <c r="I16" s="3">
        <v>20</v>
      </c>
      <c r="J16" s="3">
        <v>0</v>
      </c>
      <c r="K16" s="3">
        <v>10</v>
      </c>
      <c r="L16" s="3">
        <v>0</v>
      </c>
      <c r="M16" s="3">
        <v>0</v>
      </c>
      <c r="N16" s="3">
        <v>30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10</v>
      </c>
      <c r="X16" s="18" t="s">
        <v>232</v>
      </c>
    </row>
    <row r="17" spans="1:24" ht="15.75" x14ac:dyDescent="0.25">
      <c r="A17" s="3">
        <v>10</v>
      </c>
      <c r="B17" s="3" t="s">
        <v>46</v>
      </c>
      <c r="C17" s="4" t="s">
        <v>130</v>
      </c>
      <c r="D17" s="5" t="s">
        <v>131</v>
      </c>
      <c r="E17" s="3">
        <v>1</v>
      </c>
      <c r="F17" s="7">
        <v>1</v>
      </c>
      <c r="G17" s="7">
        <v>0</v>
      </c>
      <c r="H17" s="7">
        <v>0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15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10</v>
      </c>
      <c r="X17" s="18" t="s">
        <v>232</v>
      </c>
    </row>
    <row r="18" spans="1:24" ht="31.5" x14ac:dyDescent="0.25">
      <c r="A18" s="3">
        <v>11</v>
      </c>
      <c r="B18" s="3" t="s">
        <v>8</v>
      </c>
      <c r="C18" s="4" t="s">
        <v>132</v>
      </c>
      <c r="D18" s="5" t="s">
        <v>23</v>
      </c>
      <c r="E18" s="3">
        <v>2</v>
      </c>
      <c r="F18" s="7">
        <v>3</v>
      </c>
      <c r="G18" s="7">
        <v>0</v>
      </c>
      <c r="H18" s="7">
        <v>1</v>
      </c>
      <c r="I18" s="3">
        <v>30</v>
      </c>
      <c r="J18" s="3">
        <v>15</v>
      </c>
      <c r="K18" s="3">
        <v>0</v>
      </c>
      <c r="L18" s="3">
        <v>0</v>
      </c>
      <c r="M18" s="3">
        <v>0</v>
      </c>
      <c r="N18" s="3">
        <v>45</v>
      </c>
      <c r="O18" s="3">
        <v>17</v>
      </c>
      <c r="P18" s="3">
        <v>1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10</v>
      </c>
      <c r="X18" s="18" t="s">
        <v>232</v>
      </c>
    </row>
    <row r="19" spans="1:24" ht="31.5" x14ac:dyDescent="0.25">
      <c r="A19" s="3">
        <v>11</v>
      </c>
      <c r="B19" s="3" t="s">
        <v>8</v>
      </c>
      <c r="C19" s="4" t="s">
        <v>199</v>
      </c>
      <c r="D19" s="5" t="s">
        <v>23</v>
      </c>
      <c r="E19" s="3">
        <v>2</v>
      </c>
      <c r="F19" s="7">
        <v>3</v>
      </c>
      <c r="G19" s="7">
        <v>0</v>
      </c>
      <c r="H19" s="7">
        <v>1</v>
      </c>
      <c r="I19" s="3">
        <v>30</v>
      </c>
      <c r="J19" s="3">
        <v>15</v>
      </c>
      <c r="K19" s="3">
        <v>0</v>
      </c>
      <c r="L19" s="3">
        <v>0</v>
      </c>
      <c r="M19" s="3">
        <v>0</v>
      </c>
      <c r="N19" s="3">
        <v>45</v>
      </c>
      <c r="O19" s="3">
        <v>17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10</v>
      </c>
      <c r="X19" s="18" t="s">
        <v>232</v>
      </c>
    </row>
    <row r="20" spans="1:24" ht="31.5" x14ac:dyDescent="0.25">
      <c r="A20" s="3">
        <v>12</v>
      </c>
      <c r="B20" s="3" t="s">
        <v>8</v>
      </c>
      <c r="C20" s="4" t="s">
        <v>334</v>
      </c>
      <c r="D20" s="5" t="s">
        <v>134</v>
      </c>
      <c r="E20" s="3">
        <v>1</v>
      </c>
      <c r="F20" s="7">
        <v>2</v>
      </c>
      <c r="G20" s="7">
        <v>0</v>
      </c>
      <c r="H20" s="7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18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</v>
      </c>
      <c r="X20" s="18" t="s">
        <v>232</v>
      </c>
    </row>
    <row r="21" spans="1:24" ht="15.75" customHeight="1" x14ac:dyDescent="0.25">
      <c r="A21" s="3">
        <v>12</v>
      </c>
      <c r="B21" s="3" t="s">
        <v>8</v>
      </c>
      <c r="C21" s="4" t="s">
        <v>133</v>
      </c>
      <c r="D21" s="5" t="s">
        <v>134</v>
      </c>
      <c r="E21" s="3">
        <v>1</v>
      </c>
      <c r="F21" s="7">
        <v>2</v>
      </c>
      <c r="G21" s="7">
        <v>0</v>
      </c>
      <c r="H21" s="7">
        <v>0</v>
      </c>
      <c r="I21" s="3">
        <v>21</v>
      </c>
      <c r="J21" s="3">
        <v>0</v>
      </c>
      <c r="K21" s="3">
        <v>9</v>
      </c>
      <c r="L21" s="3">
        <v>0</v>
      </c>
      <c r="M21" s="3">
        <v>0</v>
      </c>
      <c r="N21" s="3">
        <v>30</v>
      </c>
      <c r="O21" s="3">
        <v>18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10</v>
      </c>
      <c r="X21" s="18" t="s">
        <v>232</v>
      </c>
    </row>
    <row r="22" spans="1:24" ht="15.75" customHeight="1" x14ac:dyDescent="0.25">
      <c r="A22" s="3">
        <v>12</v>
      </c>
      <c r="B22" s="3" t="s">
        <v>8</v>
      </c>
      <c r="C22" s="4" t="s">
        <v>137</v>
      </c>
      <c r="D22" s="5" t="s">
        <v>200</v>
      </c>
      <c r="E22" s="3">
        <v>1</v>
      </c>
      <c r="F22" s="7">
        <v>2</v>
      </c>
      <c r="G22" s="7">
        <v>0</v>
      </c>
      <c r="H22" s="7">
        <v>1</v>
      </c>
      <c r="I22" s="3">
        <v>21</v>
      </c>
      <c r="J22" s="3">
        <v>0</v>
      </c>
      <c r="K22" s="3">
        <v>9</v>
      </c>
      <c r="L22" s="3">
        <v>0</v>
      </c>
      <c r="M22" s="3">
        <v>0</v>
      </c>
      <c r="N22" s="3">
        <v>30</v>
      </c>
      <c r="O22" s="3">
        <v>18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</v>
      </c>
      <c r="X22" s="18" t="s">
        <v>232</v>
      </c>
    </row>
    <row r="23" spans="1:24" ht="15.75" customHeight="1" x14ac:dyDescent="0.25">
      <c r="A23" s="3">
        <v>13</v>
      </c>
      <c r="B23" s="3" t="s">
        <v>8</v>
      </c>
      <c r="C23" s="4" t="s">
        <v>135</v>
      </c>
      <c r="D23" s="5" t="s">
        <v>136</v>
      </c>
      <c r="E23" s="3">
        <v>1</v>
      </c>
      <c r="F23" s="7">
        <v>2</v>
      </c>
      <c r="G23" s="7">
        <v>0</v>
      </c>
      <c r="H23" s="7">
        <v>0</v>
      </c>
      <c r="I23" s="3">
        <v>21</v>
      </c>
      <c r="J23" s="3">
        <v>9</v>
      </c>
      <c r="K23" s="3">
        <v>0</v>
      </c>
      <c r="L23" s="3">
        <v>0</v>
      </c>
      <c r="M23" s="3">
        <v>0</v>
      </c>
      <c r="N23" s="3">
        <v>30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10</v>
      </c>
      <c r="X23" s="18" t="s">
        <v>232</v>
      </c>
    </row>
    <row r="24" spans="1:24" ht="15.75" customHeight="1" x14ac:dyDescent="0.25">
      <c r="A24" s="3">
        <v>14</v>
      </c>
      <c r="B24" s="3" t="s">
        <v>46</v>
      </c>
      <c r="C24" s="4" t="s">
        <v>138</v>
      </c>
      <c r="D24" s="5" t="s">
        <v>139</v>
      </c>
      <c r="E24" s="3">
        <v>1</v>
      </c>
      <c r="F24" s="7">
        <v>1</v>
      </c>
      <c r="G24" s="7">
        <v>0</v>
      </c>
      <c r="H24" s="7">
        <v>0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15</v>
      </c>
      <c r="O24" s="3">
        <v>9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10</v>
      </c>
      <c r="X24" s="18" t="s">
        <v>232</v>
      </c>
    </row>
    <row r="25" spans="1:24" ht="15.75" customHeight="1" x14ac:dyDescent="0.25">
      <c r="A25" s="3">
        <v>14</v>
      </c>
      <c r="B25" s="3" t="s">
        <v>8</v>
      </c>
      <c r="C25" s="4" t="s">
        <v>213</v>
      </c>
      <c r="D25" s="5" t="s">
        <v>139</v>
      </c>
      <c r="E25" s="3">
        <v>1</v>
      </c>
      <c r="F25" s="7">
        <v>1</v>
      </c>
      <c r="G25" s="7">
        <v>0</v>
      </c>
      <c r="H25" s="7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9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10</v>
      </c>
      <c r="X25" s="18" t="s">
        <v>232</v>
      </c>
    </row>
    <row r="26" spans="1:24" ht="15.75" customHeight="1" x14ac:dyDescent="0.25">
      <c r="A26" s="3">
        <v>15</v>
      </c>
      <c r="B26" s="3" t="s">
        <v>8</v>
      </c>
      <c r="C26" s="4" t="s">
        <v>49</v>
      </c>
      <c r="D26" s="5" t="s">
        <v>50</v>
      </c>
      <c r="E26" s="3">
        <v>2</v>
      </c>
      <c r="F26" s="7">
        <v>3</v>
      </c>
      <c r="G26" s="7">
        <v>0</v>
      </c>
      <c r="H26" s="7">
        <v>1</v>
      </c>
      <c r="I26" s="3">
        <v>30</v>
      </c>
      <c r="J26" s="3">
        <v>15</v>
      </c>
      <c r="K26" s="3">
        <v>0</v>
      </c>
      <c r="L26" s="3">
        <v>0</v>
      </c>
      <c r="M26" s="3">
        <v>0</v>
      </c>
      <c r="N26" s="3">
        <v>45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10</v>
      </c>
      <c r="X26" s="18" t="s">
        <v>232</v>
      </c>
    </row>
    <row r="27" spans="1:24" ht="15.75" customHeight="1" x14ac:dyDescent="0.25">
      <c r="A27" s="3">
        <v>16</v>
      </c>
      <c r="B27" s="3" t="s">
        <v>46</v>
      </c>
      <c r="C27" s="4" t="s">
        <v>55</v>
      </c>
      <c r="D27" s="5" t="s">
        <v>56</v>
      </c>
      <c r="E27" s="3">
        <v>2</v>
      </c>
      <c r="F27" s="7">
        <v>2</v>
      </c>
      <c r="G27" s="7">
        <v>0</v>
      </c>
      <c r="H27" s="7">
        <v>1</v>
      </c>
      <c r="I27" s="3">
        <v>20</v>
      </c>
      <c r="J27" s="3">
        <v>10</v>
      </c>
      <c r="K27" s="3">
        <v>0</v>
      </c>
      <c r="L27" s="3">
        <v>0</v>
      </c>
      <c r="M27" s="3">
        <v>0</v>
      </c>
      <c r="N27" s="3">
        <v>30</v>
      </c>
      <c r="O27" s="3">
        <v>7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10</v>
      </c>
      <c r="X27" s="18" t="s">
        <v>232</v>
      </c>
    </row>
    <row r="28" spans="1:24" ht="15.75" customHeight="1" x14ac:dyDescent="0.25">
      <c r="A28" s="3">
        <v>16</v>
      </c>
      <c r="B28" s="3" t="s">
        <v>8</v>
      </c>
      <c r="C28" s="4" t="s">
        <v>206</v>
      </c>
      <c r="D28" s="5" t="s">
        <v>56</v>
      </c>
      <c r="E28" s="3">
        <v>2</v>
      </c>
      <c r="F28" s="7">
        <v>2</v>
      </c>
      <c r="G28" s="7">
        <v>0</v>
      </c>
      <c r="H28" s="7">
        <v>1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30</v>
      </c>
      <c r="O28" s="3">
        <v>7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10</v>
      </c>
      <c r="X28" s="18" t="s">
        <v>232</v>
      </c>
    </row>
    <row r="29" spans="1:24" ht="15.75" customHeight="1" x14ac:dyDescent="0.25">
      <c r="A29" s="3">
        <v>17</v>
      </c>
      <c r="B29" s="3" t="s">
        <v>46</v>
      </c>
      <c r="C29" s="4" t="s">
        <v>61</v>
      </c>
      <c r="D29" s="5" t="s">
        <v>62</v>
      </c>
      <c r="E29" s="3">
        <v>2</v>
      </c>
      <c r="F29" s="7">
        <v>2</v>
      </c>
      <c r="G29" s="7">
        <v>0</v>
      </c>
      <c r="H29" s="7">
        <v>1</v>
      </c>
      <c r="I29" s="3">
        <v>20</v>
      </c>
      <c r="J29" s="3">
        <v>10</v>
      </c>
      <c r="K29" s="3">
        <v>0</v>
      </c>
      <c r="L29" s="3">
        <v>0</v>
      </c>
      <c r="M29" s="3">
        <v>0</v>
      </c>
      <c r="N29" s="3">
        <v>30</v>
      </c>
      <c r="O29" s="3">
        <v>8</v>
      </c>
      <c r="P29" s="3">
        <v>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10</v>
      </c>
      <c r="X29" s="18" t="s">
        <v>232</v>
      </c>
    </row>
    <row r="30" spans="1:24" ht="15.75" customHeight="1" x14ac:dyDescent="0.25">
      <c r="A30" s="3">
        <v>17</v>
      </c>
      <c r="B30" s="3" t="s">
        <v>46</v>
      </c>
      <c r="C30" s="4" t="s">
        <v>209</v>
      </c>
      <c r="D30" s="5" t="s">
        <v>62</v>
      </c>
      <c r="E30" s="3">
        <v>2</v>
      </c>
      <c r="F30" s="7">
        <v>2</v>
      </c>
      <c r="G30" s="7">
        <v>0</v>
      </c>
      <c r="H30" s="7">
        <v>1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30</v>
      </c>
      <c r="O30" s="3">
        <v>8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10</v>
      </c>
      <c r="X30" s="18" t="s">
        <v>232</v>
      </c>
    </row>
    <row r="31" spans="1:24" ht="15.75" customHeight="1" x14ac:dyDescent="0.25">
      <c r="A31" s="3">
        <v>18</v>
      </c>
      <c r="B31" s="3" t="s">
        <v>46</v>
      </c>
      <c r="C31" s="4" t="s">
        <v>47</v>
      </c>
      <c r="D31" s="5" t="s">
        <v>48</v>
      </c>
      <c r="E31" s="3">
        <v>2</v>
      </c>
      <c r="F31" s="7">
        <v>3</v>
      </c>
      <c r="G31" s="7">
        <v>0</v>
      </c>
      <c r="H31" s="7">
        <v>1</v>
      </c>
      <c r="I31" s="3">
        <v>30</v>
      </c>
      <c r="J31" s="3">
        <v>15</v>
      </c>
      <c r="K31" s="3">
        <v>0</v>
      </c>
      <c r="L31" s="3">
        <v>0</v>
      </c>
      <c r="M31" s="3">
        <v>0</v>
      </c>
      <c r="N31" s="3">
        <v>45</v>
      </c>
      <c r="O31" s="3">
        <v>11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10</v>
      </c>
      <c r="X31" s="18" t="s">
        <v>232</v>
      </c>
    </row>
    <row r="32" spans="1:24" ht="15.75" customHeight="1" x14ac:dyDescent="0.25">
      <c r="A32" s="3">
        <v>18</v>
      </c>
      <c r="B32" s="3" t="s">
        <v>46</v>
      </c>
      <c r="C32" s="4" t="s">
        <v>210</v>
      </c>
      <c r="D32" s="5" t="s">
        <v>48</v>
      </c>
      <c r="E32" s="3">
        <v>2</v>
      </c>
      <c r="F32" s="7">
        <v>3</v>
      </c>
      <c r="G32" s="7">
        <v>0</v>
      </c>
      <c r="H32" s="7">
        <v>1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45</v>
      </c>
      <c r="O32" s="3">
        <v>11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</v>
      </c>
      <c r="X32" s="18" t="s">
        <v>232</v>
      </c>
    </row>
    <row r="33" spans="1:24" ht="15.75" customHeight="1" x14ac:dyDescent="0.25">
      <c r="A33" s="3">
        <v>19</v>
      </c>
      <c r="B33" s="3" t="s">
        <v>46</v>
      </c>
      <c r="C33" s="4" t="s">
        <v>57</v>
      </c>
      <c r="D33" s="5" t="s">
        <v>58</v>
      </c>
      <c r="E33" s="3">
        <v>3</v>
      </c>
      <c r="F33" s="7">
        <v>2</v>
      </c>
      <c r="G33" s="7">
        <v>0</v>
      </c>
      <c r="H33" s="7">
        <v>1</v>
      </c>
      <c r="I33" s="3">
        <v>21</v>
      </c>
      <c r="J33" s="3">
        <v>0</v>
      </c>
      <c r="K33" s="3">
        <v>9</v>
      </c>
      <c r="L33" s="3">
        <v>0</v>
      </c>
      <c r="M33" s="3">
        <v>0</v>
      </c>
      <c r="N33" s="3">
        <v>30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10</v>
      </c>
      <c r="X33" s="18" t="s">
        <v>232</v>
      </c>
    </row>
    <row r="34" spans="1:24" ht="15.75" customHeight="1" x14ac:dyDescent="0.25">
      <c r="A34" s="3">
        <v>20</v>
      </c>
      <c r="B34" s="3" t="s">
        <v>46</v>
      </c>
      <c r="C34" s="4" t="s">
        <v>142</v>
      </c>
      <c r="D34" s="5" t="s">
        <v>52</v>
      </c>
      <c r="E34" s="3">
        <v>3</v>
      </c>
      <c r="F34" s="7">
        <v>3</v>
      </c>
      <c r="G34" s="7">
        <v>0</v>
      </c>
      <c r="H34" s="7">
        <v>0</v>
      </c>
      <c r="I34" s="3">
        <v>30</v>
      </c>
      <c r="J34" s="3">
        <v>15</v>
      </c>
      <c r="K34" s="3">
        <v>0</v>
      </c>
      <c r="L34" s="3">
        <v>0</v>
      </c>
      <c r="M34" s="3">
        <v>0</v>
      </c>
      <c r="N34" s="3">
        <v>45</v>
      </c>
      <c r="O34" s="3">
        <v>5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10</v>
      </c>
      <c r="X34" s="18" t="s">
        <v>232</v>
      </c>
    </row>
    <row r="35" spans="1:24" ht="15.75" customHeight="1" x14ac:dyDescent="0.25">
      <c r="A35" s="3">
        <v>20</v>
      </c>
      <c r="B35" s="3" t="s">
        <v>46</v>
      </c>
      <c r="C35" s="4" t="s">
        <v>212</v>
      </c>
      <c r="D35" s="5" t="s">
        <v>52</v>
      </c>
      <c r="E35" s="3">
        <v>5</v>
      </c>
      <c r="F35" s="7">
        <v>3</v>
      </c>
      <c r="G35" s="7">
        <v>0</v>
      </c>
      <c r="H35" s="7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5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10</v>
      </c>
      <c r="X35" s="18" t="s">
        <v>232</v>
      </c>
    </row>
    <row r="36" spans="1:24" ht="15.75" customHeight="1" x14ac:dyDescent="0.25">
      <c r="A36" s="3">
        <v>21</v>
      </c>
      <c r="B36" s="3" t="s">
        <v>46</v>
      </c>
      <c r="C36" s="4" t="s">
        <v>143</v>
      </c>
      <c r="D36" s="5" t="s">
        <v>60</v>
      </c>
      <c r="E36" s="3">
        <v>3</v>
      </c>
      <c r="F36" s="7">
        <v>3</v>
      </c>
      <c r="G36" s="7">
        <v>0</v>
      </c>
      <c r="H36" s="7">
        <v>0</v>
      </c>
      <c r="I36" s="3">
        <v>30</v>
      </c>
      <c r="J36" s="3">
        <v>15</v>
      </c>
      <c r="K36" s="3">
        <v>0</v>
      </c>
      <c r="L36" s="3">
        <v>0</v>
      </c>
      <c r="M36" s="3">
        <v>0</v>
      </c>
      <c r="N36" s="3">
        <v>45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10</v>
      </c>
      <c r="X36" s="18" t="s">
        <v>232</v>
      </c>
    </row>
    <row r="37" spans="1:24" ht="15.75" customHeight="1" x14ac:dyDescent="0.25">
      <c r="A37" s="3">
        <v>22</v>
      </c>
      <c r="B37" s="3" t="s">
        <v>46</v>
      </c>
      <c r="C37" s="4" t="s">
        <v>145</v>
      </c>
      <c r="D37" s="5" t="s">
        <v>64</v>
      </c>
      <c r="E37" s="3">
        <v>3</v>
      </c>
      <c r="F37" s="7">
        <v>2</v>
      </c>
      <c r="G37" s="7">
        <v>0</v>
      </c>
      <c r="H37" s="7">
        <v>1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30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10</v>
      </c>
      <c r="X37" s="18" t="s">
        <v>232</v>
      </c>
    </row>
    <row r="38" spans="1:24" ht="15.75" customHeight="1" x14ac:dyDescent="0.25">
      <c r="A38" s="3">
        <v>23</v>
      </c>
      <c r="B38" s="3" t="s">
        <v>46</v>
      </c>
      <c r="C38" s="4" t="s">
        <v>146</v>
      </c>
      <c r="D38" s="5" t="s">
        <v>147</v>
      </c>
      <c r="E38" s="3">
        <v>4</v>
      </c>
      <c r="F38" s="7">
        <v>3</v>
      </c>
      <c r="G38" s="7">
        <v>0</v>
      </c>
      <c r="H38" s="7">
        <v>1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45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10</v>
      </c>
      <c r="X38" s="18" t="s">
        <v>232</v>
      </c>
    </row>
    <row r="39" spans="1:24" ht="15.75" customHeight="1" x14ac:dyDescent="0.25">
      <c r="A39" s="3">
        <v>24</v>
      </c>
      <c r="B39" s="3" t="s">
        <v>46</v>
      </c>
      <c r="C39" s="4" t="s">
        <v>148</v>
      </c>
      <c r="D39" s="5" t="s">
        <v>149</v>
      </c>
      <c r="E39" s="3">
        <v>4</v>
      </c>
      <c r="F39" s="7">
        <v>3</v>
      </c>
      <c r="G39" s="7">
        <v>0</v>
      </c>
      <c r="H39" s="7">
        <v>1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45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10</v>
      </c>
      <c r="X39" s="18" t="s">
        <v>232</v>
      </c>
    </row>
    <row r="40" spans="1:24" ht="15.75" customHeight="1" x14ac:dyDescent="0.25">
      <c r="A40" s="3">
        <v>25</v>
      </c>
      <c r="B40" s="3" t="s">
        <v>46</v>
      </c>
      <c r="C40" s="4" t="s">
        <v>151</v>
      </c>
      <c r="D40" s="5" t="s">
        <v>117</v>
      </c>
      <c r="E40" s="3">
        <v>2</v>
      </c>
      <c r="F40" s="7">
        <v>2</v>
      </c>
      <c r="G40" s="7">
        <v>0</v>
      </c>
      <c r="H40" s="7">
        <v>1</v>
      </c>
      <c r="I40" s="3">
        <v>20</v>
      </c>
      <c r="J40" s="3">
        <v>10</v>
      </c>
      <c r="K40" s="3">
        <v>0</v>
      </c>
      <c r="L40" s="3">
        <v>0</v>
      </c>
      <c r="M40" s="3">
        <v>0</v>
      </c>
      <c r="N40" s="3">
        <v>30</v>
      </c>
      <c r="O40" s="3">
        <v>0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10</v>
      </c>
      <c r="X40" s="18" t="s">
        <v>232</v>
      </c>
    </row>
    <row r="41" spans="1:24" ht="15.75" customHeight="1" x14ac:dyDescent="0.25">
      <c r="A41" s="3">
        <v>26</v>
      </c>
      <c r="B41" s="3" t="s">
        <v>46</v>
      </c>
      <c r="C41" s="4" t="s">
        <v>41</v>
      </c>
      <c r="D41" s="5" t="s">
        <v>42</v>
      </c>
      <c r="E41" s="3">
        <v>3</v>
      </c>
      <c r="F41" s="7">
        <v>2</v>
      </c>
      <c r="G41" s="7">
        <v>0</v>
      </c>
      <c r="H41" s="7">
        <v>1</v>
      </c>
      <c r="I41" s="3">
        <v>20</v>
      </c>
      <c r="J41" s="3">
        <v>0</v>
      </c>
      <c r="K41" s="3">
        <v>15</v>
      </c>
      <c r="L41" s="3">
        <v>0</v>
      </c>
      <c r="M41" s="3">
        <v>0</v>
      </c>
      <c r="N41" s="3">
        <v>35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</v>
      </c>
      <c r="X41" s="18" t="s">
        <v>232</v>
      </c>
    </row>
    <row r="42" spans="1:24" ht="15.75" customHeight="1" x14ac:dyDescent="0.25">
      <c r="A42" s="3">
        <v>27</v>
      </c>
      <c r="B42" s="3" t="s">
        <v>46</v>
      </c>
      <c r="C42" s="4" t="s">
        <v>153</v>
      </c>
      <c r="D42" s="5" t="s">
        <v>154</v>
      </c>
      <c r="E42" s="3">
        <v>0</v>
      </c>
      <c r="F42" s="7">
        <v>2</v>
      </c>
      <c r="G42" s="7">
        <v>0</v>
      </c>
      <c r="H42" s="7">
        <v>0</v>
      </c>
      <c r="I42" s="3">
        <v>20</v>
      </c>
      <c r="J42" s="3">
        <v>10</v>
      </c>
      <c r="K42" s="3">
        <v>0</v>
      </c>
      <c r="L42" s="3">
        <v>0</v>
      </c>
      <c r="M42" s="3">
        <v>0</v>
      </c>
      <c r="N42" s="3">
        <v>30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10</v>
      </c>
      <c r="X42" s="18" t="s">
        <v>232</v>
      </c>
    </row>
    <row r="43" spans="1:24" ht="15.75" customHeight="1" x14ac:dyDescent="0.25">
      <c r="A43" s="3">
        <v>28</v>
      </c>
      <c r="B43" s="3" t="s">
        <v>46</v>
      </c>
      <c r="C43" s="4" t="s">
        <v>156</v>
      </c>
      <c r="D43" s="5" t="s">
        <v>157</v>
      </c>
      <c r="E43" s="3">
        <v>3</v>
      </c>
      <c r="F43" s="7">
        <v>2</v>
      </c>
      <c r="G43" s="7">
        <v>0</v>
      </c>
      <c r="H43" s="7">
        <v>1</v>
      </c>
      <c r="I43" s="3">
        <v>20</v>
      </c>
      <c r="J43" s="3">
        <v>0</v>
      </c>
      <c r="K43" s="3">
        <v>10</v>
      </c>
      <c r="L43" s="3">
        <v>0</v>
      </c>
      <c r="M43" s="3">
        <v>0</v>
      </c>
      <c r="N43" s="3">
        <v>30</v>
      </c>
      <c r="O43" s="3">
        <v>0</v>
      </c>
      <c r="P43" s="3">
        <v>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</v>
      </c>
      <c r="X43" s="18" t="s">
        <v>232</v>
      </c>
    </row>
    <row r="44" spans="1:24" ht="15.75" customHeight="1" x14ac:dyDescent="0.25">
      <c r="A44" s="3">
        <v>29</v>
      </c>
      <c r="B44" s="3" t="s">
        <v>46</v>
      </c>
      <c r="C44" s="4" t="s">
        <v>158</v>
      </c>
      <c r="D44" s="5" t="s">
        <v>159</v>
      </c>
      <c r="E44" s="3">
        <v>0</v>
      </c>
      <c r="F44" s="7">
        <v>2</v>
      </c>
      <c r="G44" s="7">
        <v>0</v>
      </c>
      <c r="H44" s="7">
        <v>0</v>
      </c>
      <c r="I44" s="3">
        <v>20</v>
      </c>
      <c r="J44" s="3">
        <v>10</v>
      </c>
      <c r="K44" s="3">
        <v>0</v>
      </c>
      <c r="L44" s="3">
        <v>0</v>
      </c>
      <c r="M44" s="3">
        <v>0</v>
      </c>
      <c r="N44" s="3">
        <v>30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</v>
      </c>
      <c r="X44" s="18" t="s">
        <v>232</v>
      </c>
    </row>
    <row r="45" spans="1:24" ht="15.75" customHeight="1" x14ac:dyDescent="0.25">
      <c r="A45" s="3">
        <v>30</v>
      </c>
      <c r="B45" s="3" t="s">
        <v>46</v>
      </c>
      <c r="C45" s="4" t="s">
        <v>160</v>
      </c>
      <c r="D45" s="5" t="s">
        <v>66</v>
      </c>
      <c r="E45" s="3">
        <v>4</v>
      </c>
      <c r="F45" s="7">
        <v>2</v>
      </c>
      <c r="G45" s="7">
        <v>0</v>
      </c>
      <c r="H45" s="7">
        <v>1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30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10</v>
      </c>
      <c r="X45" s="18" t="s">
        <v>232</v>
      </c>
    </row>
    <row r="46" spans="1:24" ht="15.75" customHeight="1" x14ac:dyDescent="0.25">
      <c r="A46" s="3">
        <v>31</v>
      </c>
      <c r="B46" s="3" t="s">
        <v>46</v>
      </c>
      <c r="C46" s="4" t="s">
        <v>162</v>
      </c>
      <c r="D46" s="5" t="s">
        <v>163</v>
      </c>
      <c r="E46" s="3">
        <v>3</v>
      </c>
      <c r="F46" s="7">
        <v>2</v>
      </c>
      <c r="G46" s="7">
        <v>0</v>
      </c>
      <c r="H46" s="7">
        <v>1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30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</v>
      </c>
      <c r="X46" s="18" t="s">
        <v>232</v>
      </c>
    </row>
    <row r="47" spans="1:24" ht="15.75" customHeight="1" x14ac:dyDescent="0.25">
      <c r="A47" s="3">
        <v>32</v>
      </c>
      <c r="B47" s="3" t="s">
        <v>74</v>
      </c>
      <c r="C47" s="4" t="s">
        <v>164</v>
      </c>
      <c r="D47" s="5" t="s">
        <v>76</v>
      </c>
      <c r="E47" s="3">
        <v>4</v>
      </c>
      <c r="F47" s="7">
        <v>2</v>
      </c>
      <c r="G47" s="7">
        <v>0</v>
      </c>
      <c r="H47" s="7">
        <v>1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30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10</v>
      </c>
      <c r="X47" s="18" t="s">
        <v>232</v>
      </c>
    </row>
    <row r="48" spans="1:24" ht="15.75" customHeight="1" x14ac:dyDescent="0.25">
      <c r="A48" s="3">
        <v>33</v>
      </c>
      <c r="B48" s="3" t="s">
        <v>74</v>
      </c>
      <c r="C48" s="4" t="s">
        <v>165</v>
      </c>
      <c r="D48" s="5" t="s">
        <v>78</v>
      </c>
      <c r="E48" s="3">
        <v>4</v>
      </c>
      <c r="F48" s="7">
        <v>3</v>
      </c>
      <c r="G48" s="7">
        <v>0</v>
      </c>
      <c r="H48" s="7">
        <v>1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45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</v>
      </c>
      <c r="X48" s="18" t="s">
        <v>232</v>
      </c>
    </row>
    <row r="49" spans="1:24" ht="15.75" customHeight="1" x14ac:dyDescent="0.25">
      <c r="A49" s="3">
        <v>34</v>
      </c>
      <c r="B49" s="3" t="s">
        <v>74</v>
      </c>
      <c r="C49" s="4" t="s">
        <v>167</v>
      </c>
      <c r="D49" s="5" t="s">
        <v>86</v>
      </c>
      <c r="E49" s="3">
        <v>4</v>
      </c>
      <c r="F49" s="7">
        <v>3</v>
      </c>
      <c r="G49" s="7">
        <v>0</v>
      </c>
      <c r="H49" s="7">
        <v>1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45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</v>
      </c>
      <c r="X49" s="18" t="s">
        <v>232</v>
      </c>
    </row>
    <row r="50" spans="1:24" ht="15.75" customHeight="1" x14ac:dyDescent="0.25">
      <c r="A50" s="3">
        <v>35</v>
      </c>
      <c r="B50" s="3" t="s">
        <v>74</v>
      </c>
      <c r="C50" s="4" t="s">
        <v>168</v>
      </c>
      <c r="D50" s="5" t="s">
        <v>169</v>
      </c>
      <c r="E50" s="3">
        <v>4</v>
      </c>
      <c r="F50" s="7">
        <v>2</v>
      </c>
      <c r="G50" s="7">
        <v>0</v>
      </c>
      <c r="H50" s="7">
        <v>1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30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10</v>
      </c>
      <c r="X50" s="18" t="s">
        <v>232</v>
      </c>
    </row>
    <row r="51" spans="1:24" ht="15.75" customHeight="1" x14ac:dyDescent="0.25">
      <c r="A51" s="3">
        <v>36</v>
      </c>
      <c r="B51" s="3" t="s">
        <v>74</v>
      </c>
      <c r="C51" s="4" t="s">
        <v>87</v>
      </c>
      <c r="D51" s="5" t="s">
        <v>88</v>
      </c>
      <c r="E51" s="3">
        <v>5</v>
      </c>
      <c r="F51" s="7">
        <v>3</v>
      </c>
      <c r="G51" s="7">
        <v>0</v>
      </c>
      <c r="H51" s="7">
        <v>1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45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10</v>
      </c>
      <c r="X51" s="18" t="s">
        <v>232</v>
      </c>
    </row>
    <row r="52" spans="1:24" ht="15.75" customHeight="1" x14ac:dyDescent="0.25">
      <c r="A52" s="3">
        <v>37</v>
      </c>
      <c r="B52" s="3" t="s">
        <v>74</v>
      </c>
      <c r="C52" s="4" t="s">
        <v>97</v>
      </c>
      <c r="D52" s="5" t="s">
        <v>98</v>
      </c>
      <c r="E52" s="3">
        <v>5</v>
      </c>
      <c r="F52" s="7">
        <v>3</v>
      </c>
      <c r="G52" s="7">
        <v>0</v>
      </c>
      <c r="H52" s="7">
        <v>1</v>
      </c>
      <c r="I52" s="3">
        <v>30</v>
      </c>
      <c r="J52" s="3">
        <v>0</v>
      </c>
      <c r="K52" s="3">
        <v>15</v>
      </c>
      <c r="L52" s="3">
        <v>0</v>
      </c>
      <c r="M52" s="3">
        <v>0</v>
      </c>
      <c r="N52" s="3">
        <v>45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</v>
      </c>
      <c r="X52" s="18" t="s">
        <v>232</v>
      </c>
    </row>
    <row r="53" spans="1:24" ht="15.75" customHeight="1" x14ac:dyDescent="0.25">
      <c r="A53" s="3">
        <v>38</v>
      </c>
      <c r="B53" s="3" t="s">
        <v>74</v>
      </c>
      <c r="C53" s="4" t="s">
        <v>89</v>
      </c>
      <c r="D53" s="5" t="s">
        <v>90</v>
      </c>
      <c r="E53" s="3">
        <v>5</v>
      </c>
      <c r="F53" s="7">
        <v>3</v>
      </c>
      <c r="G53" s="7">
        <v>0</v>
      </c>
      <c r="H53" s="7">
        <v>1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45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10</v>
      </c>
      <c r="X53" s="18" t="s">
        <v>232</v>
      </c>
    </row>
    <row r="54" spans="1:24" ht="15.75" customHeight="1" x14ac:dyDescent="0.25">
      <c r="A54" s="3">
        <v>39</v>
      </c>
      <c r="B54" s="3" t="s">
        <v>74</v>
      </c>
      <c r="C54" s="4" t="s">
        <v>171</v>
      </c>
      <c r="D54" s="5" t="s">
        <v>172</v>
      </c>
      <c r="E54" s="3">
        <v>5</v>
      </c>
      <c r="F54" s="7">
        <v>3</v>
      </c>
      <c r="G54" s="7">
        <v>0</v>
      </c>
      <c r="H54" s="7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10</v>
      </c>
      <c r="X54" s="18" t="s">
        <v>232</v>
      </c>
    </row>
    <row r="55" spans="1:24" ht="15.75" customHeight="1" x14ac:dyDescent="0.25">
      <c r="A55" s="3">
        <v>40</v>
      </c>
      <c r="B55" s="3" t="s">
        <v>74</v>
      </c>
      <c r="C55" s="4" t="s">
        <v>173</v>
      </c>
      <c r="D55" s="5" t="s">
        <v>115</v>
      </c>
      <c r="E55" s="3">
        <v>5</v>
      </c>
      <c r="F55" s="7">
        <v>2</v>
      </c>
      <c r="G55" s="7">
        <v>0</v>
      </c>
      <c r="H55" s="7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12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10</v>
      </c>
      <c r="X55" s="18" t="s">
        <v>232</v>
      </c>
    </row>
    <row r="56" spans="1:24" ht="15.75" customHeight="1" x14ac:dyDescent="0.25">
      <c r="A56" s="3">
        <v>40</v>
      </c>
      <c r="B56" s="3" t="s">
        <v>74</v>
      </c>
      <c r="C56" s="4" t="s">
        <v>220</v>
      </c>
      <c r="D56" s="5" t="s">
        <v>335</v>
      </c>
      <c r="E56" s="3">
        <v>5</v>
      </c>
      <c r="F56" s="7">
        <v>2</v>
      </c>
      <c r="G56" s="7">
        <v>0</v>
      </c>
      <c r="H56" s="7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12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10</v>
      </c>
      <c r="X56" s="18" t="s">
        <v>232</v>
      </c>
    </row>
    <row r="57" spans="1:24" ht="15.75" customHeight="1" x14ac:dyDescent="0.25">
      <c r="A57" s="3">
        <v>41</v>
      </c>
      <c r="B57" s="3" t="s">
        <v>74</v>
      </c>
      <c r="C57" s="4" t="s">
        <v>174</v>
      </c>
      <c r="D57" s="5" t="s">
        <v>175</v>
      </c>
      <c r="E57" s="3">
        <v>6</v>
      </c>
      <c r="F57" s="7">
        <v>3</v>
      </c>
      <c r="G57" s="7">
        <v>0</v>
      </c>
      <c r="H57" s="7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10</v>
      </c>
      <c r="X57" s="18" t="s">
        <v>232</v>
      </c>
    </row>
    <row r="58" spans="1:24" ht="15.75" customHeight="1" x14ac:dyDescent="0.25">
      <c r="A58" s="3">
        <v>42</v>
      </c>
      <c r="B58" s="3" t="s">
        <v>74</v>
      </c>
      <c r="C58" s="4" t="s">
        <v>106</v>
      </c>
      <c r="D58" s="5" t="s">
        <v>107</v>
      </c>
      <c r="E58" s="3">
        <v>6</v>
      </c>
      <c r="F58" s="7">
        <v>3</v>
      </c>
      <c r="G58" s="7">
        <v>0</v>
      </c>
      <c r="H58" s="7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</v>
      </c>
      <c r="X58" s="18" t="s">
        <v>232</v>
      </c>
    </row>
    <row r="59" spans="1:24" ht="15.75" customHeight="1" x14ac:dyDescent="0.25">
      <c r="A59" s="3">
        <v>43</v>
      </c>
      <c r="B59" s="3" t="s">
        <v>74</v>
      </c>
      <c r="C59" s="4" t="s">
        <v>177</v>
      </c>
      <c r="D59" s="5" t="s">
        <v>178</v>
      </c>
      <c r="E59" s="3">
        <v>6</v>
      </c>
      <c r="F59" s="7">
        <v>3</v>
      </c>
      <c r="G59" s="7">
        <v>0</v>
      </c>
      <c r="H59" s="7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</v>
      </c>
      <c r="X59" s="18" t="s">
        <v>232</v>
      </c>
    </row>
    <row r="60" spans="1:24" ht="15.75" customHeight="1" x14ac:dyDescent="0.25">
      <c r="A60" s="3">
        <v>44</v>
      </c>
      <c r="B60" s="3" t="s">
        <v>74</v>
      </c>
      <c r="C60" s="4" t="s">
        <v>95</v>
      </c>
      <c r="D60" s="5" t="s">
        <v>96</v>
      </c>
      <c r="E60" s="3">
        <v>7</v>
      </c>
      <c r="F60" s="7">
        <v>3</v>
      </c>
      <c r="G60" s="7">
        <v>0</v>
      </c>
      <c r="H60" s="7">
        <v>1</v>
      </c>
      <c r="I60" s="3">
        <v>30</v>
      </c>
      <c r="J60" s="3">
        <v>0</v>
      </c>
      <c r="K60" s="3">
        <v>15</v>
      </c>
      <c r="L60" s="3">
        <v>0</v>
      </c>
      <c r="M60" s="3">
        <v>0</v>
      </c>
      <c r="N60" s="3">
        <v>45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10</v>
      </c>
      <c r="X60" s="18" t="s">
        <v>232</v>
      </c>
    </row>
    <row r="61" spans="1:24" ht="15.75" customHeight="1" x14ac:dyDescent="0.25">
      <c r="A61" s="3">
        <v>45</v>
      </c>
      <c r="B61" s="3" t="s">
        <v>74</v>
      </c>
      <c r="C61" s="4" t="s">
        <v>180</v>
      </c>
      <c r="D61" s="5" t="s">
        <v>181</v>
      </c>
      <c r="E61" s="3">
        <v>6</v>
      </c>
      <c r="F61" s="7">
        <v>3</v>
      </c>
      <c r="G61" s="7">
        <v>0</v>
      </c>
      <c r="H61" s="7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</v>
      </c>
      <c r="X61" s="18" t="s">
        <v>232</v>
      </c>
    </row>
    <row r="62" spans="1:24" ht="15.75" customHeight="1" x14ac:dyDescent="0.25">
      <c r="A62" s="3">
        <v>46</v>
      </c>
      <c r="B62" s="3" t="s">
        <v>74</v>
      </c>
      <c r="C62" s="4" t="s">
        <v>180</v>
      </c>
      <c r="D62" s="5" t="s">
        <v>182</v>
      </c>
      <c r="E62" s="3">
        <v>7</v>
      </c>
      <c r="F62" s="7">
        <v>3</v>
      </c>
      <c r="G62" s="7">
        <v>0</v>
      </c>
      <c r="H62" s="7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</v>
      </c>
      <c r="X62" s="18" t="s">
        <v>232</v>
      </c>
    </row>
    <row r="63" spans="1:24" ht="15.75" customHeight="1" x14ac:dyDescent="0.25">
      <c r="A63" s="3">
        <v>47</v>
      </c>
      <c r="B63" s="3" t="s">
        <v>74</v>
      </c>
      <c r="C63" s="4" t="s">
        <v>104</v>
      </c>
      <c r="D63" s="5" t="s">
        <v>105</v>
      </c>
      <c r="E63" s="3">
        <v>6</v>
      </c>
      <c r="F63" s="7">
        <v>2</v>
      </c>
      <c r="G63" s="7">
        <v>0</v>
      </c>
      <c r="H63" s="7">
        <v>1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45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10</v>
      </c>
      <c r="X63" s="18" t="s">
        <v>232</v>
      </c>
    </row>
    <row r="64" spans="1:24" ht="15.75" customHeight="1" x14ac:dyDescent="0.25">
      <c r="A64" s="3">
        <v>48</v>
      </c>
      <c r="B64" s="3" t="s">
        <v>74</v>
      </c>
      <c r="C64" s="4" t="s">
        <v>110</v>
      </c>
      <c r="D64" s="5" t="s">
        <v>184</v>
      </c>
      <c r="E64" s="3">
        <v>5</v>
      </c>
      <c r="F64" s="7">
        <v>2</v>
      </c>
      <c r="G64" s="7">
        <v>0</v>
      </c>
      <c r="H64" s="7">
        <v>0</v>
      </c>
      <c r="I64" s="3">
        <v>20</v>
      </c>
      <c r="J64" s="3">
        <v>0</v>
      </c>
      <c r="K64" s="3">
        <v>10</v>
      </c>
      <c r="L64" s="3">
        <v>0</v>
      </c>
      <c r="M64" s="3">
        <v>60</v>
      </c>
      <c r="N64" s="3">
        <v>30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10</v>
      </c>
      <c r="X64" s="18" t="s">
        <v>232</v>
      </c>
    </row>
    <row r="65" spans="1:24" ht="15.75" customHeight="1" x14ac:dyDescent="0.25">
      <c r="A65" s="3">
        <v>49</v>
      </c>
      <c r="B65" s="3" t="s">
        <v>74</v>
      </c>
      <c r="C65" s="4" t="s">
        <v>185</v>
      </c>
      <c r="D65" s="5" t="s">
        <v>84</v>
      </c>
      <c r="E65" s="3">
        <v>6</v>
      </c>
      <c r="F65" s="7">
        <v>2</v>
      </c>
      <c r="G65" s="7">
        <v>0</v>
      </c>
      <c r="H65" s="7">
        <v>1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45</v>
      </c>
      <c r="O65" s="3">
        <v>0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10</v>
      </c>
      <c r="X65" s="18" t="s">
        <v>232</v>
      </c>
    </row>
    <row r="66" spans="1:24" ht="15.75" customHeight="1" x14ac:dyDescent="0.25">
      <c r="A66" s="3">
        <v>50</v>
      </c>
      <c r="B66" s="3" t="s">
        <v>74</v>
      </c>
      <c r="C66" s="4" t="s">
        <v>112</v>
      </c>
      <c r="D66" s="5" t="s">
        <v>186</v>
      </c>
      <c r="E66" s="3">
        <v>6</v>
      </c>
      <c r="F66" s="7">
        <v>2</v>
      </c>
      <c r="G66" s="7">
        <v>0</v>
      </c>
      <c r="H66" s="7">
        <v>0</v>
      </c>
      <c r="I66" s="3">
        <v>20</v>
      </c>
      <c r="J66" s="3">
        <v>0</v>
      </c>
      <c r="K66" s="3">
        <v>10</v>
      </c>
      <c r="L66" s="3">
        <v>0</v>
      </c>
      <c r="M66" s="3">
        <v>60</v>
      </c>
      <c r="N66" s="3">
        <v>30</v>
      </c>
      <c r="O66" s="3">
        <v>0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10</v>
      </c>
      <c r="X66" s="18" t="s">
        <v>232</v>
      </c>
    </row>
    <row r="67" spans="1:24" ht="15.75" customHeight="1" x14ac:dyDescent="0.25">
      <c r="A67" s="3">
        <v>51</v>
      </c>
      <c r="B67" s="3" t="s">
        <v>74</v>
      </c>
      <c r="C67" s="4" t="s">
        <v>187</v>
      </c>
      <c r="D67" s="5" t="s">
        <v>82</v>
      </c>
      <c r="E67" s="3">
        <v>7</v>
      </c>
      <c r="F67" s="7">
        <v>2</v>
      </c>
      <c r="G67" s="7">
        <v>0</v>
      </c>
      <c r="H67" s="7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10</v>
      </c>
      <c r="X67" s="18" t="s">
        <v>232</v>
      </c>
    </row>
    <row r="68" spans="1:24" ht="15.75" customHeight="1" x14ac:dyDescent="0.25">
      <c r="A68" s="3">
        <v>52</v>
      </c>
      <c r="B68" s="3" t="s">
        <v>74</v>
      </c>
      <c r="C68" s="4" t="s">
        <v>188</v>
      </c>
      <c r="D68" s="5" t="s">
        <v>189</v>
      </c>
      <c r="E68" s="3">
        <v>0</v>
      </c>
      <c r="F68" s="7">
        <v>2</v>
      </c>
      <c r="G68" s="7">
        <v>0</v>
      </c>
      <c r="H68" s="7">
        <v>0</v>
      </c>
      <c r="I68" s="3">
        <v>20</v>
      </c>
      <c r="J68" s="3">
        <v>10</v>
      </c>
      <c r="K68" s="3">
        <v>0</v>
      </c>
      <c r="L68" s="3">
        <v>0</v>
      </c>
      <c r="M68" s="3">
        <v>0</v>
      </c>
      <c r="N68" s="3">
        <v>30</v>
      </c>
      <c r="O68" s="3">
        <v>0</v>
      </c>
      <c r="P68" s="3">
        <v>1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10</v>
      </c>
      <c r="X68" s="18" t="s">
        <v>232</v>
      </c>
    </row>
    <row r="69" spans="1:24" ht="15.75" customHeight="1" x14ac:dyDescent="0.25">
      <c r="A69" s="3">
        <v>53</v>
      </c>
      <c r="B69" s="3" t="s">
        <v>74</v>
      </c>
      <c r="C69" s="4" t="s">
        <v>190</v>
      </c>
      <c r="D69" s="5" t="s">
        <v>191</v>
      </c>
      <c r="E69" s="3">
        <v>0</v>
      </c>
      <c r="F69" s="7">
        <v>2</v>
      </c>
      <c r="G69" s="7">
        <v>0</v>
      </c>
      <c r="H69" s="7">
        <v>0</v>
      </c>
      <c r="I69" s="3">
        <v>20</v>
      </c>
      <c r="J69" s="3">
        <v>10</v>
      </c>
      <c r="K69" s="3">
        <v>0</v>
      </c>
      <c r="L69" s="3">
        <v>0</v>
      </c>
      <c r="M69" s="3">
        <v>0</v>
      </c>
      <c r="N69" s="3">
        <v>30</v>
      </c>
      <c r="O69" s="3">
        <v>0</v>
      </c>
      <c r="P69" s="3">
        <v>1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10</v>
      </c>
      <c r="X69" s="18" t="s">
        <v>232</v>
      </c>
    </row>
    <row r="70" spans="1:24" ht="15.75" customHeight="1" x14ac:dyDescent="0.25">
      <c r="A70" s="3">
        <v>54</v>
      </c>
      <c r="B70" s="3" t="s">
        <v>74</v>
      </c>
      <c r="C70" s="4" t="s">
        <v>192</v>
      </c>
      <c r="D70" s="5" t="s">
        <v>193</v>
      </c>
      <c r="E70" s="3">
        <v>5</v>
      </c>
      <c r="F70" s="7">
        <v>2</v>
      </c>
      <c r="G70" s="7">
        <v>0</v>
      </c>
      <c r="H70" s="7">
        <v>0</v>
      </c>
      <c r="I70" s="3">
        <v>20</v>
      </c>
      <c r="J70" s="3">
        <v>0</v>
      </c>
      <c r="K70" s="3">
        <v>10</v>
      </c>
      <c r="L70" s="3">
        <v>0</v>
      </c>
      <c r="M70" s="3">
        <v>60</v>
      </c>
      <c r="N70" s="3">
        <v>30</v>
      </c>
      <c r="O70" s="3">
        <v>0</v>
      </c>
      <c r="P70" s="3">
        <v>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</v>
      </c>
      <c r="X70" s="18" t="s">
        <v>232</v>
      </c>
    </row>
    <row r="71" spans="1:24" ht="15.75" customHeight="1" x14ac:dyDescent="0.25">
      <c r="A71" s="3">
        <v>55</v>
      </c>
      <c r="B71" s="3" t="s">
        <v>74</v>
      </c>
      <c r="C71" s="4" t="s">
        <v>101</v>
      </c>
      <c r="D71" s="5" t="s">
        <v>102</v>
      </c>
      <c r="E71" s="3">
        <v>6</v>
      </c>
      <c r="F71" s="7">
        <v>2</v>
      </c>
      <c r="G71" s="7">
        <v>0</v>
      </c>
      <c r="H71" s="7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10</v>
      </c>
      <c r="X71" s="18" t="s">
        <v>232</v>
      </c>
    </row>
    <row r="72" spans="1:24" ht="15.75" customHeight="1" x14ac:dyDescent="0.25">
      <c r="A72" s="3">
        <v>56</v>
      </c>
      <c r="B72" s="3" t="s">
        <v>74</v>
      </c>
      <c r="C72" s="4" t="s">
        <v>194</v>
      </c>
      <c r="D72" s="5" t="s">
        <v>195</v>
      </c>
      <c r="E72" s="3">
        <v>7</v>
      </c>
      <c r="F72" s="7">
        <v>2</v>
      </c>
      <c r="G72" s="7">
        <v>0</v>
      </c>
      <c r="H72" s="7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10</v>
      </c>
      <c r="X72" s="18" t="s">
        <v>232</v>
      </c>
    </row>
    <row r="73" spans="1:24" ht="15.75" customHeight="1" x14ac:dyDescent="0.25">
      <c r="A73" s="3">
        <v>57</v>
      </c>
      <c r="B73" s="3" t="s">
        <v>74</v>
      </c>
      <c r="C73" s="4" t="s">
        <v>196</v>
      </c>
      <c r="D73" s="5" t="s">
        <v>113</v>
      </c>
      <c r="E73" s="3">
        <v>7</v>
      </c>
      <c r="F73" s="7">
        <v>2</v>
      </c>
      <c r="G73" s="7">
        <v>0</v>
      </c>
      <c r="H73" s="7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10</v>
      </c>
      <c r="X73" s="18" t="s">
        <v>232</v>
      </c>
    </row>
    <row r="74" spans="1:24" ht="15.75" customHeight="1" x14ac:dyDescent="0.25">
      <c r="A74" s="3">
        <v>58</v>
      </c>
      <c r="B74" s="3" t="s">
        <v>119</v>
      </c>
      <c r="C74" s="4" t="s">
        <v>120</v>
      </c>
      <c r="D74" s="5" t="s">
        <v>121</v>
      </c>
      <c r="E74" s="3">
        <v>7</v>
      </c>
      <c r="F74" s="7">
        <v>4</v>
      </c>
      <c r="G74" s="7">
        <v>0</v>
      </c>
      <c r="H74" s="7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10</v>
      </c>
      <c r="X74" s="18" t="s">
        <v>232</v>
      </c>
    </row>
    <row r="75" spans="1:24" ht="15.75" customHeight="1" x14ac:dyDescent="0.25">
      <c r="A75" s="3">
        <v>59</v>
      </c>
      <c r="B75" s="3" t="s">
        <v>119</v>
      </c>
      <c r="C75" s="4" t="s">
        <v>122</v>
      </c>
      <c r="D75" s="5" t="s">
        <v>123</v>
      </c>
      <c r="E75" s="3">
        <v>8</v>
      </c>
      <c r="F75" s="7">
        <v>6</v>
      </c>
      <c r="G75" s="7">
        <v>0</v>
      </c>
      <c r="H75" s="7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10</v>
      </c>
      <c r="X75" s="18" t="s">
        <v>232</v>
      </c>
    </row>
    <row r="76" spans="1:24" ht="15.75" customHeight="1" x14ac:dyDescent="0.25">
      <c r="A76" s="3">
        <v>60</v>
      </c>
      <c r="B76" s="3" t="s">
        <v>8</v>
      </c>
      <c r="C76" s="4" t="s">
        <v>16</v>
      </c>
      <c r="D76" s="5" t="s">
        <v>332</v>
      </c>
      <c r="E76" s="3">
        <v>6</v>
      </c>
      <c r="F76" s="7">
        <v>3</v>
      </c>
      <c r="G76" s="7">
        <v>0</v>
      </c>
      <c r="H76" s="7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10</v>
      </c>
      <c r="X76" s="18" t="s">
        <v>232</v>
      </c>
    </row>
    <row r="77" spans="1:24" ht="15.75" customHeight="1" x14ac:dyDescent="0.25">
      <c r="A77" s="3">
        <v>61</v>
      </c>
      <c r="B77" s="3" t="s">
        <v>8</v>
      </c>
      <c r="C77" s="4" t="s">
        <v>18</v>
      </c>
      <c r="D77" s="5" t="s">
        <v>328</v>
      </c>
      <c r="E77" s="3">
        <v>1</v>
      </c>
      <c r="F77" s="7">
        <v>8</v>
      </c>
      <c r="G77" s="7">
        <v>0</v>
      </c>
      <c r="H77" s="7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1</v>
      </c>
      <c r="T77" s="3">
        <v>0</v>
      </c>
      <c r="U77" s="3">
        <v>0</v>
      </c>
      <c r="V77" s="3">
        <v>0</v>
      </c>
      <c r="W77" s="3">
        <v>10</v>
      </c>
      <c r="X77" s="18" t="s">
        <v>232</v>
      </c>
    </row>
    <row r="78" spans="1:24" ht="15.75" customHeight="1" x14ac:dyDescent="0.25">
      <c r="A78" s="3">
        <v>62</v>
      </c>
      <c r="B78" s="3" t="s">
        <v>8</v>
      </c>
      <c r="C78" s="4" t="s">
        <v>336</v>
      </c>
      <c r="D78" s="5" t="s">
        <v>337</v>
      </c>
      <c r="E78" s="3">
        <v>1</v>
      </c>
      <c r="F78" s="7">
        <v>5</v>
      </c>
      <c r="G78" s="7">
        <v>0</v>
      </c>
      <c r="H78" s="7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10</v>
      </c>
      <c r="X78" s="18" t="s">
        <v>232</v>
      </c>
    </row>
    <row r="79" spans="1:24" ht="15.75" customHeight="1" x14ac:dyDescent="0.25"/>
    <row r="80" spans="1:2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X1"/>
    <mergeCell ref="A2:X2"/>
    <mergeCell ref="Y2:AT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KETOAN_ApisK10</vt:lpstr>
      <vt:lpstr>KETOAN_ApisK11</vt:lpstr>
      <vt:lpstr>KETOAN_ApisK12</vt:lpstr>
      <vt:lpstr>KETOAN_ApisK13</vt:lpstr>
      <vt:lpstr>KETOAN_ApisK14</vt:lpstr>
      <vt:lpstr>KETOAN_ApisK15</vt:lpstr>
      <vt:lpstr>KETOAN_ApisK16</vt:lpstr>
      <vt:lpstr>Khóa 16</vt:lpstr>
      <vt:lpstr>Khóa 10</vt:lpstr>
      <vt:lpstr>Khóa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Nguyễn Minh</cp:lastModifiedBy>
  <dcterms:modified xsi:type="dcterms:W3CDTF">2026-02-01T06:41:33Z</dcterms:modified>
</cp:coreProperties>
</file>