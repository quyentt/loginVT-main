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35A04BE-132A-4077-81BD-900A5FE05FF5}" xr6:coauthVersionLast="36" xr6:coauthVersionMax="36" xr10:uidLastSave="{00000000-0000-0000-0000-000000000000}"/>
  <bookViews>
    <workbookView xWindow="0" yWindow="0" windowWidth="7725" windowHeight="4470" xr2:uid="{00000000-000D-0000-FFFF-FFFF00000000}"/>
  </bookViews>
  <sheets>
    <sheet name="tblNhapDiem_0_0_67_18_1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3" i="1"/>
  <c r="J7" i="1"/>
  <c r="J5" i="1" l="1"/>
  <c r="J6" i="1"/>
  <c r="J11" i="1"/>
  <c r="J13" i="1"/>
  <c r="J20" i="1"/>
  <c r="J23" i="1"/>
  <c r="J28" i="1"/>
  <c r="J29" i="1"/>
  <c r="J35" i="1"/>
  <c r="J38" i="1"/>
  <c r="J42" i="1"/>
  <c r="J48" i="1"/>
  <c r="J50" i="1"/>
  <c r="J61" i="1"/>
  <c r="J62" i="1"/>
  <c r="J6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df083ccf68af4c3eb3892eb979a5e821</t>
        </r>
      </text>
    </comment>
  </commentList>
</comments>
</file>

<file path=xl/sharedStrings.xml><?xml version="1.0" encoding="utf-8"?>
<sst xmlns="http://schemas.openxmlformats.org/spreadsheetml/2006/main" count="1208" uniqueCount="258">
  <si>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</si>
  <si>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</si>
  <si>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</si>
  <si>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</si>
  <si>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</si>
  <si>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</si>
  <si>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</si>
  <si>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</si>
  <si>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</si>
  <si>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LTM.03.K15.01.LH.C04.1_LT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</si>
  <si>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</si>
  <si>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</si>
  <si>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</si>
  <si>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</si>
  <si>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</si>
  <si>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</si>
  <si>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</si>
  <si>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</si>
  <si>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</si>
  <si>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</si>
  <si>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</si>
  <si>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Doãn Hoàng</t>
  </si>
  <si>
    <t>Anh</t>
  </si>
  <si>
    <t>19/10/2003</t>
  </si>
  <si>
    <t>DCCNTT12.10.7</t>
  </si>
  <si>
    <t/>
  </si>
  <si>
    <t>2</t>
  </si>
  <si>
    <t>Đỗ Hoàng</t>
  </si>
  <si>
    <t>09/09/2005</t>
  </si>
  <si>
    <t>DCCNTT.15.1</t>
  </si>
  <si>
    <t>3</t>
  </si>
  <si>
    <t>Lương Hoàng</t>
  </si>
  <si>
    <t>28/12/2006</t>
  </si>
  <si>
    <t>4</t>
  </si>
  <si>
    <t>14/02/2006</t>
  </si>
  <si>
    <t>5</t>
  </si>
  <si>
    <t>Nguyễn Viết</t>
  </si>
  <si>
    <t>Bằng</t>
  </si>
  <si>
    <t>17/08/2006</t>
  </si>
  <si>
    <t>6</t>
  </si>
  <si>
    <t>Lê Đức</t>
  </si>
  <si>
    <t>Bình</t>
  </si>
  <si>
    <t>25/04/2006</t>
  </si>
  <si>
    <t>7</t>
  </si>
  <si>
    <t>Nguyễn Thiện</t>
  </si>
  <si>
    <t>Chiến</t>
  </si>
  <si>
    <t>27/09/2006</t>
  </si>
  <si>
    <t>8</t>
  </si>
  <si>
    <t>Đinh Công</t>
  </si>
  <si>
    <t>Chính</t>
  </si>
  <si>
    <t>21/02/2006</t>
  </si>
  <si>
    <t>9</t>
  </si>
  <si>
    <t>Nguyễn Mạnh</t>
  </si>
  <si>
    <t>Cường</t>
  </si>
  <si>
    <t>22/06/2006</t>
  </si>
  <si>
    <t>10</t>
  </si>
  <si>
    <t>24/03/2006</t>
  </si>
  <si>
    <t>11</t>
  </si>
  <si>
    <t>Đinh Xuân</t>
  </si>
  <si>
    <t>Dũng</t>
  </si>
  <si>
    <t>16/08/2006</t>
  </si>
  <si>
    <t>12</t>
  </si>
  <si>
    <t>Đào Tiến</t>
  </si>
  <si>
    <t>Dư</t>
  </si>
  <si>
    <t>19/09/2006</t>
  </si>
  <si>
    <t>13</t>
  </si>
  <si>
    <t>Nguyễn Tùng</t>
  </si>
  <si>
    <t>Dương</t>
  </si>
  <si>
    <t>19/11/2004</t>
  </si>
  <si>
    <t>DCCNTT13.10.20</t>
  </si>
  <si>
    <t>14</t>
  </si>
  <si>
    <t>Nguyễn Văn</t>
  </si>
  <si>
    <t>23/08/2006</t>
  </si>
  <si>
    <t>15</t>
  </si>
  <si>
    <t>Lưu Kim</t>
  </si>
  <si>
    <t>Đạt</t>
  </si>
  <si>
    <t>04/11/2006</t>
  </si>
  <si>
    <t>16</t>
  </si>
  <si>
    <t>Đoàn</t>
  </si>
  <si>
    <t>26/03/2003</t>
  </si>
  <si>
    <t>17</t>
  </si>
  <si>
    <t>Nguyễn Minh</t>
  </si>
  <si>
    <t>Đức</t>
  </si>
  <si>
    <t>29/04/2006</t>
  </si>
  <si>
    <t>18</t>
  </si>
  <si>
    <t>Trần Văn</t>
  </si>
  <si>
    <t>13/10/2005</t>
  </si>
  <si>
    <t>DCCNTT.14.8</t>
  </si>
  <si>
    <t>19</t>
  </si>
  <si>
    <t>Nguyễn Trường</t>
  </si>
  <si>
    <t>Giang</t>
  </si>
  <si>
    <t>09/01/2006</t>
  </si>
  <si>
    <t>20</t>
  </si>
  <si>
    <t>Trần Trường</t>
  </si>
  <si>
    <t>18/10/2003</t>
  </si>
  <si>
    <t>DCCNTT12.10.11</t>
  </si>
  <si>
    <t>21</t>
  </si>
  <si>
    <t>Hiện</t>
  </si>
  <si>
    <t>23/12/2006</t>
  </si>
  <si>
    <t>22</t>
  </si>
  <si>
    <t>Hiệp</t>
  </si>
  <si>
    <t>23/09/2006</t>
  </si>
  <si>
    <t>23</t>
  </si>
  <si>
    <t>Nguyễn Việt</t>
  </si>
  <si>
    <t>Hiếu</t>
  </si>
  <si>
    <t>18/04/2006</t>
  </si>
  <si>
    <t>24</t>
  </si>
  <si>
    <t>Nguyễn Viết Trung</t>
  </si>
  <si>
    <t>22/10/2006</t>
  </si>
  <si>
    <t>25</t>
  </si>
  <si>
    <t>Phạm Trung</t>
  </si>
  <si>
    <t>09/05/2006</t>
  </si>
  <si>
    <t>26</t>
  </si>
  <si>
    <t>Phùng Quốc</t>
  </si>
  <si>
    <t>22/12/2006</t>
  </si>
  <si>
    <t>27</t>
  </si>
  <si>
    <t>Trương Minh</t>
  </si>
  <si>
    <t>29/12/2005</t>
  </si>
  <si>
    <t>28</t>
  </si>
  <si>
    <t>Nguyễn Thái</t>
  </si>
  <si>
    <t>Hoàng</t>
  </si>
  <si>
    <t>21/11/2001</t>
  </si>
  <si>
    <t>29</t>
  </si>
  <si>
    <t>Trần Huy</t>
  </si>
  <si>
    <t>30/04/2006</t>
  </si>
  <si>
    <t>30</t>
  </si>
  <si>
    <t>Nguyễn Tiến</t>
  </si>
  <si>
    <t>Hùng</t>
  </si>
  <si>
    <t>26/10/2006</t>
  </si>
  <si>
    <t>31</t>
  </si>
  <si>
    <t>Lê Mạnh</t>
  </si>
  <si>
    <t>Huy</t>
  </si>
  <si>
    <t>07/11/2006</t>
  </si>
  <si>
    <t>32</t>
  </si>
  <si>
    <t>Nguyễn Bá</t>
  </si>
  <si>
    <t>21/02/2003</t>
  </si>
  <si>
    <t>DCCNTT12.10.13</t>
  </si>
  <si>
    <t>33</t>
  </si>
  <si>
    <t>Nguyễn Xuân</t>
  </si>
  <si>
    <t>25/08/2006</t>
  </si>
  <si>
    <t>34</t>
  </si>
  <si>
    <t>Trần Quang</t>
  </si>
  <si>
    <t>01/03/2006</t>
  </si>
  <si>
    <t>35</t>
  </si>
  <si>
    <t>Trịnh Xuân</t>
  </si>
  <si>
    <t>06/12/2006</t>
  </si>
  <si>
    <t>36</t>
  </si>
  <si>
    <t>Nguyễn Trần Việt</t>
  </si>
  <si>
    <t>Hưng</t>
  </si>
  <si>
    <t>29/08/2006</t>
  </si>
  <si>
    <t>37</t>
  </si>
  <si>
    <t>Vũ Đình</t>
  </si>
  <si>
    <t>28/05/2006</t>
  </si>
  <si>
    <t>38</t>
  </si>
  <si>
    <t>Hoàng Trung</t>
  </si>
  <si>
    <t>Kiên</t>
  </si>
  <si>
    <t>18/09/2006</t>
  </si>
  <si>
    <t>39</t>
  </si>
  <si>
    <t>Lưu Tăng</t>
  </si>
  <si>
    <t>20/12/2006</t>
  </si>
  <si>
    <t>40</t>
  </si>
  <si>
    <t>Nguyễn Chí</t>
  </si>
  <si>
    <t>14/09/2006</t>
  </si>
  <si>
    <t>41</t>
  </si>
  <si>
    <t>Phạm Nguyễn Hoàng</t>
  </si>
  <si>
    <t>Lâm</t>
  </si>
  <si>
    <t>06/11/2006</t>
  </si>
  <si>
    <t>42</t>
  </si>
  <si>
    <t>Hoàng Ngọc</t>
  </si>
  <si>
    <t>Linh</t>
  </si>
  <si>
    <t>18/08/2006</t>
  </si>
  <si>
    <t>43</t>
  </si>
  <si>
    <t>Nguyễn Mai</t>
  </si>
  <si>
    <t>07/07/2004</t>
  </si>
  <si>
    <t>DCCNTT.14.3</t>
  </si>
  <si>
    <t>44</t>
  </si>
  <si>
    <t>Vũ Thanh</t>
  </si>
  <si>
    <t>Long</t>
  </si>
  <si>
    <t>13/05/2006</t>
  </si>
  <si>
    <t>45</t>
  </si>
  <si>
    <t>Nguyễn Thành</t>
  </si>
  <si>
    <t>Lợi</t>
  </si>
  <si>
    <t>09/09/2004</t>
  </si>
  <si>
    <t>46</t>
  </si>
  <si>
    <t>Quách Văn</t>
  </si>
  <si>
    <t>Lực</t>
  </si>
  <si>
    <t>08/03/2004</t>
  </si>
  <si>
    <t>DCCNTT13.10.17</t>
  </si>
  <si>
    <t>47</t>
  </si>
  <si>
    <t>Nguyễn Phú</t>
  </si>
  <si>
    <t>Mạnh</t>
  </si>
  <si>
    <t>27/05/2006</t>
  </si>
  <si>
    <t>48</t>
  </si>
  <si>
    <t>Nguyễn Công</t>
  </si>
  <si>
    <t>Minh</t>
  </si>
  <si>
    <t>10/12/2006</t>
  </si>
  <si>
    <t>49</t>
  </si>
  <si>
    <t>Phạm Ngọc</t>
  </si>
  <si>
    <t>21/05/2006</t>
  </si>
  <si>
    <t>50</t>
  </si>
  <si>
    <t>Tạ Lê Nhật</t>
  </si>
  <si>
    <t>30/12/2006</t>
  </si>
  <si>
    <t>51</t>
  </si>
  <si>
    <t>Nguyễn Mê</t>
  </si>
  <si>
    <t>Nhật</t>
  </si>
  <si>
    <t>12/04/2006</t>
  </si>
  <si>
    <t>52</t>
  </si>
  <si>
    <t>Đào Thị Yến</t>
  </si>
  <si>
    <t>Nhi</t>
  </si>
  <si>
    <t>03/04/2006</t>
  </si>
  <si>
    <t>53</t>
  </si>
  <si>
    <t>Dương Văn</t>
  </si>
  <si>
    <t>Ninh</t>
  </si>
  <si>
    <t>08/04/2004</t>
  </si>
  <si>
    <t>54</t>
  </si>
  <si>
    <t>Nguyễn Đức</t>
  </si>
  <si>
    <t>Phúc</t>
  </si>
  <si>
    <t>01/12/2006</t>
  </si>
  <si>
    <t>55</t>
  </si>
  <si>
    <t>Nguyễn Huy</t>
  </si>
  <si>
    <t>Phước</t>
  </si>
  <si>
    <t>11/03/2006</t>
  </si>
  <si>
    <t>56</t>
  </si>
  <si>
    <t>Đoàn Anh</t>
  </si>
  <si>
    <t>Quân</t>
  </si>
  <si>
    <t>05/02/2005</t>
  </si>
  <si>
    <t>57</t>
  </si>
  <si>
    <t>Đỗ Minh</t>
  </si>
  <si>
    <t>13/03/2006</t>
  </si>
  <si>
    <t>58</t>
  </si>
  <si>
    <t>Thái</t>
  </si>
  <si>
    <t>13/04/2006</t>
  </si>
  <si>
    <t>59</t>
  </si>
  <si>
    <t>Nguyễn Hoàng</t>
  </si>
  <si>
    <t>Thắng</t>
  </si>
  <si>
    <t>29/08/2004</t>
  </si>
  <si>
    <t>DCCNTT13.10.19</t>
  </si>
  <si>
    <t>60</t>
  </si>
  <si>
    <t>Thủy</t>
  </si>
  <si>
    <t>61</t>
  </si>
  <si>
    <t>Hà Xuân</t>
  </si>
  <si>
    <t>Triệu</t>
  </si>
  <si>
    <t>11/01/2006</t>
  </si>
  <si>
    <t>62</t>
  </si>
  <si>
    <t>Phạm Văn</t>
  </si>
  <si>
    <t>Trường</t>
  </si>
  <si>
    <t>09/11/2004</t>
  </si>
  <si>
    <t>DCCNTT13.10.21</t>
  </si>
  <si>
    <t>63</t>
  </si>
  <si>
    <t>02/01/2006</t>
  </si>
  <si>
    <t>64</t>
  </si>
  <si>
    <t>Tuấn</t>
  </si>
  <si>
    <t>21/10/2004</t>
  </si>
  <si>
    <t>65</t>
  </si>
  <si>
    <t>Nguyễn Đình</t>
  </si>
  <si>
    <t>66</t>
  </si>
  <si>
    <t>Đinh Quốc</t>
  </si>
  <si>
    <t>Vương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</si>
</sst>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"/>
  <sheetViews>
    <sheetView tabSelected="1" topLeftCell="A13" zoomScaleNormal="100" workbookViewId="0">
      <selection activeCell="K22" sqref="K22"/>
    </sheetView>
  </sheetViews>
  <sheetFormatPr defaultRowHeight="15" x14ac:dyDescent="0.25"/>
  <sheetData>
    <row r="1" spans="1: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2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0" x14ac:dyDescent="0.25">
      <c r="A3" s="2" t="s">
        <v>20</v>
      </c>
      <c r="B3" s="2">
        <v>20211933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20</v>
      </c>
      <c r="J3" s="3">
        <v>10</v>
      </c>
      <c r="K3" s="3">
        <f>VLOOKUP(B3,Sheet1!$A:$E,5,0)</f>
        <v>7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</row>
    <row r="4" spans="1:19" ht="30" x14ac:dyDescent="0.25">
      <c r="A4" s="2" t="s">
        <v>26</v>
      </c>
      <c r="B4" s="2">
        <v>24000107</v>
      </c>
      <c r="C4" s="2" t="s">
        <v>27</v>
      </c>
      <c r="D4" s="2" t="s">
        <v>22</v>
      </c>
      <c r="E4" s="2" t="s">
        <v>28</v>
      </c>
      <c r="F4" s="2" t="s">
        <v>29</v>
      </c>
      <c r="G4" s="2" t="s">
        <v>25</v>
      </c>
      <c r="H4" s="2" t="s">
        <v>20</v>
      </c>
      <c r="I4" s="2" t="s">
        <v>20</v>
      </c>
      <c r="J4" s="3">
        <v>7</v>
      </c>
      <c r="K4" s="3">
        <f>VLOOKUP(B4,Sheet1!$A:$E,5,0)</f>
        <v>0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</row>
    <row r="5" spans="1:19" ht="30" x14ac:dyDescent="0.25">
      <c r="A5" s="2" t="s">
        <v>30</v>
      </c>
      <c r="B5" s="2">
        <v>24000059</v>
      </c>
      <c r="C5" s="2" t="s">
        <v>31</v>
      </c>
      <c r="D5" s="2" t="s">
        <v>22</v>
      </c>
      <c r="E5" s="2" t="s">
        <v>32</v>
      </c>
      <c r="F5" s="2" t="s">
        <v>29</v>
      </c>
      <c r="G5" s="2" t="s">
        <v>25</v>
      </c>
      <c r="H5" s="2" t="s">
        <v>20</v>
      </c>
      <c r="I5" s="2" t="s">
        <v>20</v>
      </c>
      <c r="J5" s="3">
        <f>VLOOKUP(B5,Sheet1!$A:$E,4,0)</f>
        <v>8</v>
      </c>
      <c r="K5" s="3">
        <f>VLOOKUP(B5,Sheet1!$A:$E,5,0)</f>
        <v>3</v>
      </c>
      <c r="L5" s="2" t="s">
        <v>25</v>
      </c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</row>
    <row r="6" spans="1:19" ht="30" x14ac:dyDescent="0.25">
      <c r="A6" s="2" t="s">
        <v>33</v>
      </c>
      <c r="B6" s="2">
        <v>24004325</v>
      </c>
      <c r="C6" s="2" t="s">
        <v>31</v>
      </c>
      <c r="D6" s="2" t="s">
        <v>22</v>
      </c>
      <c r="E6" s="2" t="s">
        <v>34</v>
      </c>
      <c r="F6" s="2" t="s">
        <v>29</v>
      </c>
      <c r="G6" s="2" t="s">
        <v>25</v>
      </c>
      <c r="H6" s="2" t="s">
        <v>20</v>
      </c>
      <c r="I6" s="2" t="s">
        <v>20</v>
      </c>
      <c r="J6" s="3">
        <f>VLOOKUP(B6,Sheet1!$A:$E,4,0)</f>
        <v>0</v>
      </c>
      <c r="K6" s="3">
        <f>VLOOKUP(B6,Sheet1!$A:$E,5,0)</f>
        <v>0</v>
      </c>
      <c r="L6" s="2" t="s">
        <v>25</v>
      </c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 t="s">
        <v>25</v>
      </c>
    </row>
    <row r="7" spans="1:19" ht="30" x14ac:dyDescent="0.25">
      <c r="A7" s="2" t="s">
        <v>35</v>
      </c>
      <c r="B7" s="2">
        <v>24000113</v>
      </c>
      <c r="C7" s="2" t="s">
        <v>36</v>
      </c>
      <c r="D7" s="2" t="s">
        <v>37</v>
      </c>
      <c r="E7" s="2" t="s">
        <v>38</v>
      </c>
      <c r="F7" s="2" t="s">
        <v>29</v>
      </c>
      <c r="G7" s="2" t="s">
        <v>25</v>
      </c>
      <c r="H7" s="2" t="s">
        <v>20</v>
      </c>
      <c r="I7" s="2" t="s">
        <v>20</v>
      </c>
      <c r="J7" s="3">
        <f>VLOOKUP(B7,Sheet1!$A:$E,4,0)</f>
        <v>8</v>
      </c>
      <c r="K7" s="3">
        <f>VLOOKUP(B7,Sheet1!$A:$E,5,0)</f>
        <v>3</v>
      </c>
      <c r="L7" s="2" t="s">
        <v>25</v>
      </c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 t="s">
        <v>25</v>
      </c>
      <c r="S7" s="2" t="s">
        <v>25</v>
      </c>
    </row>
    <row r="8" spans="1:19" ht="30" x14ac:dyDescent="0.25">
      <c r="A8" s="2" t="s">
        <v>39</v>
      </c>
      <c r="B8" s="2">
        <v>24000465</v>
      </c>
      <c r="C8" s="2" t="s">
        <v>40</v>
      </c>
      <c r="D8" s="2" t="s">
        <v>41</v>
      </c>
      <c r="E8" s="2" t="s">
        <v>42</v>
      </c>
      <c r="F8" s="2" t="s">
        <v>29</v>
      </c>
      <c r="G8" s="2" t="s">
        <v>25</v>
      </c>
      <c r="H8" s="2" t="s">
        <v>20</v>
      </c>
      <c r="I8" s="2" t="s">
        <v>20</v>
      </c>
      <c r="J8" s="3">
        <v>8</v>
      </c>
      <c r="K8" s="3">
        <f>VLOOKUP(B8,Sheet1!$A:$E,5,0)</f>
        <v>6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</row>
    <row r="9" spans="1:19" ht="30" x14ac:dyDescent="0.25">
      <c r="A9" s="2" t="s">
        <v>43</v>
      </c>
      <c r="B9" s="2">
        <v>24000474</v>
      </c>
      <c r="C9" s="2" t="s">
        <v>44</v>
      </c>
      <c r="D9" s="2" t="s">
        <v>45</v>
      </c>
      <c r="E9" s="2" t="s">
        <v>46</v>
      </c>
      <c r="F9" s="2" t="s">
        <v>29</v>
      </c>
      <c r="G9" s="2" t="s">
        <v>25</v>
      </c>
      <c r="H9" s="2" t="s">
        <v>20</v>
      </c>
      <c r="I9" s="2" t="s">
        <v>20</v>
      </c>
      <c r="J9" s="3">
        <v>8</v>
      </c>
      <c r="K9" s="3">
        <f>VLOOKUP(B9,Sheet1!$A:$E,5,0)</f>
        <v>5</v>
      </c>
      <c r="L9" s="2" t="s">
        <v>25</v>
      </c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</row>
    <row r="10" spans="1:19" ht="30" x14ac:dyDescent="0.25">
      <c r="A10" s="2" t="s">
        <v>47</v>
      </c>
      <c r="B10" s="2">
        <v>24000211</v>
      </c>
      <c r="C10" s="2" t="s">
        <v>48</v>
      </c>
      <c r="D10" s="2" t="s">
        <v>49</v>
      </c>
      <c r="E10" s="2" t="s">
        <v>50</v>
      </c>
      <c r="F10" s="2" t="s">
        <v>29</v>
      </c>
      <c r="G10" s="2" t="s">
        <v>25</v>
      </c>
      <c r="H10" s="2" t="s">
        <v>20</v>
      </c>
      <c r="I10" s="2" t="s">
        <v>20</v>
      </c>
      <c r="J10" s="3">
        <v>7</v>
      </c>
      <c r="K10" s="3">
        <f>VLOOKUP(B10,Sheet1!$A:$E,5,0)</f>
        <v>3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</row>
    <row r="11" spans="1:19" ht="30" x14ac:dyDescent="0.25">
      <c r="A11" s="2" t="s">
        <v>51</v>
      </c>
      <c r="B11" s="2">
        <v>24000104</v>
      </c>
      <c r="C11" s="2" t="s">
        <v>52</v>
      </c>
      <c r="D11" s="2" t="s">
        <v>53</v>
      </c>
      <c r="E11" s="2" t="s">
        <v>54</v>
      </c>
      <c r="F11" s="2" t="s">
        <v>29</v>
      </c>
      <c r="G11" s="2" t="s">
        <v>25</v>
      </c>
      <c r="H11" s="2" t="s">
        <v>20</v>
      </c>
      <c r="I11" s="2" t="s">
        <v>20</v>
      </c>
      <c r="J11" s="3">
        <f>VLOOKUP(B11,Sheet1!$A:$E,4,0)</f>
        <v>8</v>
      </c>
      <c r="K11" s="3">
        <f>VLOOKUP(B11,Sheet1!$A:$E,5,0)</f>
        <v>5</v>
      </c>
      <c r="L11" s="2" t="s">
        <v>25</v>
      </c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</row>
    <row r="12" spans="1:19" ht="30" x14ac:dyDescent="0.25">
      <c r="A12" s="2" t="s">
        <v>55</v>
      </c>
      <c r="B12" s="2">
        <v>24000279</v>
      </c>
      <c r="C12" s="2" t="s">
        <v>52</v>
      </c>
      <c r="D12" s="2" t="s">
        <v>53</v>
      </c>
      <c r="E12" s="2" t="s">
        <v>56</v>
      </c>
      <c r="F12" s="2" t="s">
        <v>29</v>
      </c>
      <c r="G12" s="2" t="s">
        <v>25</v>
      </c>
      <c r="H12" s="2" t="s">
        <v>20</v>
      </c>
      <c r="I12" s="2" t="s">
        <v>20</v>
      </c>
      <c r="J12" s="3">
        <v>7</v>
      </c>
      <c r="K12" s="3">
        <f>VLOOKUP(B12,Sheet1!$A:$E,5,0)</f>
        <v>0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</row>
    <row r="13" spans="1:19" ht="30" x14ac:dyDescent="0.25">
      <c r="A13" s="2" t="s">
        <v>57</v>
      </c>
      <c r="B13" s="2">
        <v>24001341</v>
      </c>
      <c r="C13" s="2" t="s">
        <v>58</v>
      </c>
      <c r="D13" s="2" t="s">
        <v>59</v>
      </c>
      <c r="E13" s="2" t="s">
        <v>60</v>
      </c>
      <c r="F13" s="2" t="s">
        <v>29</v>
      </c>
      <c r="G13" s="2" t="s">
        <v>25</v>
      </c>
      <c r="H13" s="2" t="s">
        <v>20</v>
      </c>
      <c r="I13" s="2" t="s">
        <v>20</v>
      </c>
      <c r="J13" s="3">
        <f>VLOOKUP(B13,Sheet1!$A:$E,4,0)</f>
        <v>0</v>
      </c>
      <c r="K13" s="3">
        <f>VLOOKUP(B13,Sheet1!$A:$E,5,0)</f>
        <v>0</v>
      </c>
      <c r="L13" s="2" t="s">
        <v>25</v>
      </c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</row>
    <row r="14" spans="1:19" ht="30" x14ac:dyDescent="0.25">
      <c r="A14" s="2" t="s">
        <v>61</v>
      </c>
      <c r="B14" s="2">
        <v>24000123</v>
      </c>
      <c r="C14" s="2" t="s">
        <v>62</v>
      </c>
      <c r="D14" s="2" t="s">
        <v>63</v>
      </c>
      <c r="E14" s="2" t="s">
        <v>64</v>
      </c>
      <c r="F14" s="2" t="s">
        <v>29</v>
      </c>
      <c r="G14" s="2" t="s">
        <v>25</v>
      </c>
      <c r="H14" s="2" t="s">
        <v>20</v>
      </c>
      <c r="I14" s="2" t="s">
        <v>20</v>
      </c>
      <c r="J14" s="3">
        <v>9</v>
      </c>
      <c r="K14" s="3">
        <f>VLOOKUP(B14,Sheet1!$A:$E,5,0)</f>
        <v>6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</row>
    <row r="15" spans="1:19" ht="30" x14ac:dyDescent="0.25">
      <c r="A15" s="2" t="s">
        <v>65</v>
      </c>
      <c r="B15" s="2">
        <v>20223839</v>
      </c>
      <c r="C15" s="2" t="s">
        <v>66</v>
      </c>
      <c r="D15" s="2" t="s">
        <v>67</v>
      </c>
      <c r="E15" s="2" t="s">
        <v>68</v>
      </c>
      <c r="F15" s="2" t="s">
        <v>69</v>
      </c>
      <c r="G15" s="2" t="s">
        <v>25</v>
      </c>
      <c r="H15" s="2" t="s">
        <v>26</v>
      </c>
      <c r="I15" s="2" t="s">
        <v>20</v>
      </c>
      <c r="J15" s="3">
        <v>6</v>
      </c>
      <c r="K15" s="3">
        <f>VLOOKUP(B15,Sheet1!$A:$E,5,0)</f>
        <v>5</v>
      </c>
      <c r="L15" s="2" t="s">
        <v>25</v>
      </c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25</v>
      </c>
    </row>
    <row r="16" spans="1:19" ht="30" x14ac:dyDescent="0.25">
      <c r="A16" s="2" t="s">
        <v>70</v>
      </c>
      <c r="B16" s="2">
        <v>24000669</v>
      </c>
      <c r="C16" s="2" t="s">
        <v>71</v>
      </c>
      <c r="D16" s="2" t="s">
        <v>67</v>
      </c>
      <c r="E16" s="2" t="s">
        <v>72</v>
      </c>
      <c r="F16" s="2" t="s">
        <v>29</v>
      </c>
      <c r="G16" s="2" t="s">
        <v>25</v>
      </c>
      <c r="H16" s="2" t="s">
        <v>20</v>
      </c>
      <c r="I16" s="2" t="s">
        <v>20</v>
      </c>
      <c r="J16" s="3">
        <v>7</v>
      </c>
      <c r="K16" s="3">
        <f>VLOOKUP(B16,Sheet1!$A:$E,5,0)</f>
        <v>6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</row>
    <row r="17" spans="1:19" ht="30" x14ac:dyDescent="0.25">
      <c r="A17" s="2" t="s">
        <v>73</v>
      </c>
      <c r="B17" s="2">
        <v>24000320</v>
      </c>
      <c r="C17" s="2" t="s">
        <v>74</v>
      </c>
      <c r="D17" s="2" t="s">
        <v>75</v>
      </c>
      <c r="E17" s="2" t="s">
        <v>76</v>
      </c>
      <c r="F17" s="2" t="s">
        <v>29</v>
      </c>
      <c r="G17" s="2" t="s">
        <v>25</v>
      </c>
      <c r="H17" s="2" t="s">
        <v>20</v>
      </c>
      <c r="I17" s="2" t="s">
        <v>20</v>
      </c>
      <c r="J17" s="3">
        <v>7</v>
      </c>
      <c r="K17" s="3">
        <f>VLOOKUP(B17,Sheet1!$A:$E,5,0)</f>
        <v>0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</row>
    <row r="18" spans="1:19" ht="30" x14ac:dyDescent="0.25">
      <c r="A18" s="2" t="s">
        <v>77</v>
      </c>
      <c r="B18" s="2">
        <v>24000009</v>
      </c>
      <c r="C18" s="2" t="s">
        <v>48</v>
      </c>
      <c r="D18" s="2" t="s">
        <v>78</v>
      </c>
      <c r="E18" s="2" t="s">
        <v>79</v>
      </c>
      <c r="F18" s="2" t="s">
        <v>29</v>
      </c>
      <c r="G18" s="2" t="s">
        <v>25</v>
      </c>
      <c r="H18" s="2" t="s">
        <v>20</v>
      </c>
      <c r="I18" s="2" t="s">
        <v>20</v>
      </c>
      <c r="J18" s="3">
        <v>7</v>
      </c>
      <c r="K18" s="3">
        <f>VLOOKUP(B18,Sheet1!$A:$E,5,0)</f>
        <v>6</v>
      </c>
      <c r="L18" s="2" t="s">
        <v>25</v>
      </c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</row>
    <row r="19" spans="1:19" ht="30" x14ac:dyDescent="0.25">
      <c r="A19" s="2" t="s">
        <v>80</v>
      </c>
      <c r="B19" s="2">
        <v>24000462</v>
      </c>
      <c r="C19" s="2" t="s">
        <v>81</v>
      </c>
      <c r="D19" s="2" t="s">
        <v>82</v>
      </c>
      <c r="E19" s="2" t="s">
        <v>83</v>
      </c>
      <c r="F19" s="2" t="s">
        <v>29</v>
      </c>
      <c r="G19" s="2" t="s">
        <v>25</v>
      </c>
      <c r="H19" s="2" t="s">
        <v>20</v>
      </c>
      <c r="I19" s="2" t="s">
        <v>20</v>
      </c>
      <c r="J19" s="3">
        <v>8</v>
      </c>
      <c r="K19" s="3">
        <f>VLOOKUP(B19,Sheet1!$A:$E,5,0)</f>
        <v>3</v>
      </c>
      <c r="L19" s="2" t="s">
        <v>25</v>
      </c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</row>
    <row r="20" spans="1:19" ht="30" x14ac:dyDescent="0.25">
      <c r="A20" s="2" t="s">
        <v>84</v>
      </c>
      <c r="B20" s="2">
        <v>20233164</v>
      </c>
      <c r="C20" s="2" t="s">
        <v>85</v>
      </c>
      <c r="D20" s="2" t="s">
        <v>82</v>
      </c>
      <c r="E20" s="2" t="s">
        <v>86</v>
      </c>
      <c r="F20" s="2" t="s">
        <v>87</v>
      </c>
      <c r="G20" s="2" t="s">
        <v>25</v>
      </c>
      <c r="H20" s="2" t="s">
        <v>26</v>
      </c>
      <c r="I20" s="2" t="s">
        <v>20</v>
      </c>
      <c r="J20" s="3">
        <f>VLOOKUP(B20,Sheet1!$A:$E,4,0)</f>
        <v>0</v>
      </c>
      <c r="K20" s="3">
        <f>VLOOKUP(B20,Sheet1!$A:$E,5,0)</f>
        <v>0</v>
      </c>
      <c r="L20" s="2" t="s">
        <v>25</v>
      </c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25</v>
      </c>
      <c r="S20" s="2" t="s">
        <v>25</v>
      </c>
    </row>
    <row r="21" spans="1:19" ht="30" x14ac:dyDescent="0.25">
      <c r="A21" s="2" t="s">
        <v>88</v>
      </c>
      <c r="B21" s="2">
        <v>24000407</v>
      </c>
      <c r="C21" s="2" t="s">
        <v>89</v>
      </c>
      <c r="D21" s="2" t="s">
        <v>90</v>
      </c>
      <c r="E21" s="2" t="s">
        <v>91</v>
      </c>
      <c r="F21" s="2" t="s">
        <v>29</v>
      </c>
      <c r="G21" s="2" t="s">
        <v>25</v>
      </c>
      <c r="H21" s="2" t="s">
        <v>20</v>
      </c>
      <c r="I21" s="2" t="s">
        <v>20</v>
      </c>
      <c r="J21" s="3">
        <v>7</v>
      </c>
      <c r="K21" s="3">
        <f>VLOOKUP(B21,Sheet1!$A:$E,5,0)</f>
        <v>5</v>
      </c>
      <c r="L21" s="2" t="s">
        <v>25</v>
      </c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25</v>
      </c>
    </row>
    <row r="22" spans="1:19" ht="30" x14ac:dyDescent="0.25">
      <c r="A22" s="2" t="s">
        <v>92</v>
      </c>
      <c r="B22" s="2">
        <v>20213201</v>
      </c>
      <c r="C22" s="2" t="s">
        <v>93</v>
      </c>
      <c r="D22" s="2" t="s">
        <v>90</v>
      </c>
      <c r="E22" s="2" t="s">
        <v>94</v>
      </c>
      <c r="F22" s="2" t="s">
        <v>95</v>
      </c>
      <c r="G22" s="2" t="s">
        <v>25</v>
      </c>
      <c r="H22" s="2" t="s">
        <v>30</v>
      </c>
      <c r="I22" s="2" t="s">
        <v>20</v>
      </c>
      <c r="J22" s="3">
        <v>6</v>
      </c>
      <c r="K22" s="3">
        <f>VLOOKUP(B22,Sheet1!$A:$E,5,0)</f>
        <v>3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</row>
    <row r="23" spans="1:19" ht="30" x14ac:dyDescent="0.25">
      <c r="A23" s="2" t="s">
        <v>96</v>
      </c>
      <c r="B23" s="2">
        <v>24000144</v>
      </c>
      <c r="C23" s="2" t="s">
        <v>81</v>
      </c>
      <c r="D23" s="2" t="s">
        <v>97</v>
      </c>
      <c r="E23" s="2" t="s">
        <v>98</v>
      </c>
      <c r="F23" s="2" t="s">
        <v>29</v>
      </c>
      <c r="G23" s="2" t="s">
        <v>25</v>
      </c>
      <c r="H23" s="2" t="s">
        <v>20</v>
      </c>
      <c r="I23" s="2" t="s">
        <v>20</v>
      </c>
      <c r="J23" s="3">
        <f>VLOOKUP(B23,Sheet1!$A:$E,4,0)</f>
        <v>0</v>
      </c>
      <c r="K23" s="3">
        <f>VLOOKUP(B23,Sheet1!$A:$E,5,0)</f>
        <v>0</v>
      </c>
      <c r="L23" s="2" t="s">
        <v>25</v>
      </c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  <c r="S23" s="2" t="s">
        <v>25</v>
      </c>
    </row>
    <row r="24" spans="1:19" ht="30" x14ac:dyDescent="0.25">
      <c r="A24" s="2" t="s">
        <v>99</v>
      </c>
      <c r="B24" s="2">
        <v>24000392</v>
      </c>
      <c r="C24" s="2" t="s">
        <v>71</v>
      </c>
      <c r="D24" s="2" t="s">
        <v>100</v>
      </c>
      <c r="E24" s="2" t="s">
        <v>101</v>
      </c>
      <c r="F24" s="2" t="s">
        <v>29</v>
      </c>
      <c r="G24" s="2" t="s">
        <v>25</v>
      </c>
      <c r="H24" s="2" t="s">
        <v>20</v>
      </c>
      <c r="I24" s="2" t="s">
        <v>20</v>
      </c>
      <c r="J24" s="3">
        <v>7</v>
      </c>
      <c r="K24" s="3">
        <f>VLOOKUP(B24,Sheet1!$A:$E,5,0)</f>
        <v>3</v>
      </c>
      <c r="L24" s="2" t="s">
        <v>25</v>
      </c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</row>
    <row r="25" spans="1:19" ht="30" x14ac:dyDescent="0.25">
      <c r="A25" s="2" t="s">
        <v>102</v>
      </c>
      <c r="B25" s="2">
        <v>24000275</v>
      </c>
      <c r="C25" s="2" t="s">
        <v>103</v>
      </c>
      <c r="D25" s="2" t="s">
        <v>104</v>
      </c>
      <c r="E25" s="2" t="s">
        <v>105</v>
      </c>
      <c r="F25" s="2" t="s">
        <v>29</v>
      </c>
      <c r="G25" s="2" t="s">
        <v>25</v>
      </c>
      <c r="H25" s="2" t="s">
        <v>20</v>
      </c>
      <c r="I25" s="2" t="s">
        <v>20</v>
      </c>
      <c r="J25" s="3">
        <v>7</v>
      </c>
      <c r="K25" s="3">
        <f>VLOOKUP(B25,Sheet1!$A:$E,5,0)</f>
        <v>3</v>
      </c>
      <c r="L25" s="2" t="s">
        <v>25</v>
      </c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</row>
    <row r="26" spans="1:19" ht="45" x14ac:dyDescent="0.25">
      <c r="A26" s="2" t="s">
        <v>106</v>
      </c>
      <c r="B26" s="2">
        <v>24000299</v>
      </c>
      <c r="C26" s="2" t="s">
        <v>107</v>
      </c>
      <c r="D26" s="2" t="s">
        <v>104</v>
      </c>
      <c r="E26" s="2" t="s">
        <v>108</v>
      </c>
      <c r="F26" s="2" t="s">
        <v>29</v>
      </c>
      <c r="G26" s="2" t="s">
        <v>25</v>
      </c>
      <c r="H26" s="2" t="s">
        <v>20</v>
      </c>
      <c r="I26" s="2" t="s">
        <v>20</v>
      </c>
      <c r="J26" s="3">
        <v>7</v>
      </c>
      <c r="K26" s="3">
        <f>VLOOKUP(B26,Sheet1!$A:$E,5,0)</f>
        <v>6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</row>
    <row r="27" spans="1:19" ht="30" x14ac:dyDescent="0.25">
      <c r="A27" s="2" t="s">
        <v>109</v>
      </c>
      <c r="B27" s="2">
        <v>24000224</v>
      </c>
      <c r="C27" s="2" t="s">
        <v>110</v>
      </c>
      <c r="D27" s="2" t="s">
        <v>104</v>
      </c>
      <c r="E27" s="2" t="s">
        <v>111</v>
      </c>
      <c r="F27" s="2" t="s">
        <v>29</v>
      </c>
      <c r="G27" s="2" t="s">
        <v>25</v>
      </c>
      <c r="H27" s="2" t="s">
        <v>20</v>
      </c>
      <c r="I27" s="2" t="s">
        <v>20</v>
      </c>
      <c r="J27" s="3">
        <v>6</v>
      </c>
      <c r="K27" s="3">
        <f>VLOOKUP(B27,Sheet1!$A:$E,5,0)</f>
        <v>6</v>
      </c>
      <c r="L27" s="2" t="s">
        <v>25</v>
      </c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</row>
    <row r="28" spans="1:19" ht="30" x14ac:dyDescent="0.25">
      <c r="A28" s="2" t="s">
        <v>112</v>
      </c>
      <c r="B28" s="2">
        <v>24000164</v>
      </c>
      <c r="C28" s="2" t="s">
        <v>113</v>
      </c>
      <c r="D28" s="2" t="s">
        <v>104</v>
      </c>
      <c r="E28" s="2" t="s">
        <v>114</v>
      </c>
      <c r="F28" s="2" t="s">
        <v>29</v>
      </c>
      <c r="G28" s="2" t="s">
        <v>25</v>
      </c>
      <c r="H28" s="2" t="s">
        <v>20</v>
      </c>
      <c r="I28" s="2" t="s">
        <v>20</v>
      </c>
      <c r="J28" s="3">
        <f>VLOOKUP(B28,Sheet1!$A:$E,4,0)</f>
        <v>0</v>
      </c>
      <c r="K28" s="3">
        <f>VLOOKUP(B28,Sheet1!$A:$E,5,0)</f>
        <v>0</v>
      </c>
      <c r="L28" s="2" t="s">
        <v>25</v>
      </c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25</v>
      </c>
      <c r="S28" s="2" t="s">
        <v>25</v>
      </c>
    </row>
    <row r="29" spans="1:19" ht="30" x14ac:dyDescent="0.25">
      <c r="A29" s="2" t="s">
        <v>115</v>
      </c>
      <c r="B29" s="2">
        <v>24000078</v>
      </c>
      <c r="C29" s="2" t="s">
        <v>116</v>
      </c>
      <c r="D29" s="2" t="s">
        <v>104</v>
      </c>
      <c r="E29" s="2" t="s">
        <v>117</v>
      </c>
      <c r="F29" s="2" t="s">
        <v>29</v>
      </c>
      <c r="G29" s="2" t="s">
        <v>25</v>
      </c>
      <c r="H29" s="2" t="s">
        <v>20</v>
      </c>
      <c r="I29" s="2" t="s">
        <v>20</v>
      </c>
      <c r="J29" s="3">
        <f>VLOOKUP(B29,Sheet1!$A:$E,4,0)</f>
        <v>5</v>
      </c>
      <c r="K29" s="3">
        <f>VLOOKUP(B29,Sheet1!$A:$E,5,0)</f>
        <v>4</v>
      </c>
      <c r="L29" s="2" t="s">
        <v>25</v>
      </c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25</v>
      </c>
      <c r="S29" s="2" t="s">
        <v>25</v>
      </c>
    </row>
    <row r="30" spans="1:19" ht="30" x14ac:dyDescent="0.25">
      <c r="A30" s="2" t="s">
        <v>118</v>
      </c>
      <c r="B30" s="2">
        <v>24001517</v>
      </c>
      <c r="C30" s="2" t="s">
        <v>119</v>
      </c>
      <c r="D30" s="2" t="s">
        <v>120</v>
      </c>
      <c r="E30" s="2" t="s">
        <v>121</v>
      </c>
      <c r="F30" s="2" t="s">
        <v>29</v>
      </c>
      <c r="G30" s="2" t="s">
        <v>25</v>
      </c>
      <c r="H30" s="2" t="s">
        <v>20</v>
      </c>
      <c r="I30" s="2" t="s">
        <v>20</v>
      </c>
      <c r="J30" s="3">
        <v>7</v>
      </c>
      <c r="K30" s="3">
        <f>VLOOKUP(B30,Sheet1!$A:$E,5,0)</f>
        <v>4</v>
      </c>
      <c r="L30" s="2" t="s">
        <v>25</v>
      </c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25</v>
      </c>
      <c r="S30" s="2" t="s">
        <v>25</v>
      </c>
    </row>
    <row r="31" spans="1:19" ht="30" x14ac:dyDescent="0.25">
      <c r="A31" s="2" t="s">
        <v>122</v>
      </c>
      <c r="B31" s="2">
        <v>24000359</v>
      </c>
      <c r="C31" s="2" t="s">
        <v>123</v>
      </c>
      <c r="D31" s="2" t="s">
        <v>120</v>
      </c>
      <c r="E31" s="2" t="s">
        <v>124</v>
      </c>
      <c r="F31" s="2" t="s">
        <v>29</v>
      </c>
      <c r="G31" s="2" t="s">
        <v>25</v>
      </c>
      <c r="H31" s="2" t="s">
        <v>20</v>
      </c>
      <c r="I31" s="2" t="s">
        <v>20</v>
      </c>
      <c r="J31" s="3">
        <v>6</v>
      </c>
      <c r="K31" s="3">
        <f>VLOOKUP(B31,Sheet1!$A:$E,5,0)</f>
        <v>0</v>
      </c>
      <c r="L31" s="2" t="s">
        <v>25</v>
      </c>
      <c r="M31" s="2" t="s">
        <v>25</v>
      </c>
      <c r="N31" s="2" t="s">
        <v>25</v>
      </c>
      <c r="O31" s="2" t="s">
        <v>25</v>
      </c>
      <c r="P31" s="2" t="s">
        <v>25</v>
      </c>
      <c r="Q31" s="2" t="s">
        <v>25</v>
      </c>
      <c r="R31" s="2" t="s">
        <v>25</v>
      </c>
      <c r="S31" s="2" t="s">
        <v>25</v>
      </c>
    </row>
    <row r="32" spans="1:19" ht="30" x14ac:dyDescent="0.25">
      <c r="A32" s="2" t="s">
        <v>125</v>
      </c>
      <c r="B32" s="2">
        <v>24000091</v>
      </c>
      <c r="C32" s="2" t="s">
        <v>126</v>
      </c>
      <c r="D32" s="2" t="s">
        <v>127</v>
      </c>
      <c r="E32" s="2" t="s">
        <v>128</v>
      </c>
      <c r="F32" s="2" t="s">
        <v>29</v>
      </c>
      <c r="G32" s="2" t="s">
        <v>25</v>
      </c>
      <c r="H32" s="2" t="s">
        <v>20</v>
      </c>
      <c r="I32" s="2" t="s">
        <v>20</v>
      </c>
      <c r="J32" s="3">
        <v>7</v>
      </c>
      <c r="K32" s="3">
        <f>VLOOKUP(B32,Sheet1!$A:$E,5,0)</f>
        <v>4</v>
      </c>
      <c r="L32" s="2" t="s">
        <v>25</v>
      </c>
      <c r="M32" s="2" t="s">
        <v>25</v>
      </c>
      <c r="N32" s="2" t="s">
        <v>25</v>
      </c>
      <c r="O32" s="2" t="s">
        <v>25</v>
      </c>
      <c r="P32" s="2" t="s">
        <v>25</v>
      </c>
      <c r="Q32" s="2" t="s">
        <v>25</v>
      </c>
      <c r="R32" s="2" t="s">
        <v>25</v>
      </c>
      <c r="S32" s="2" t="s">
        <v>25</v>
      </c>
    </row>
    <row r="33" spans="1:19" ht="30" x14ac:dyDescent="0.25">
      <c r="A33" s="2" t="s">
        <v>129</v>
      </c>
      <c r="B33" s="2">
        <v>24000264</v>
      </c>
      <c r="C33" s="2" t="s">
        <v>130</v>
      </c>
      <c r="D33" s="2" t="s">
        <v>131</v>
      </c>
      <c r="E33" s="2" t="s">
        <v>132</v>
      </c>
      <c r="F33" s="2" t="s">
        <v>29</v>
      </c>
      <c r="G33" s="2" t="s">
        <v>25</v>
      </c>
      <c r="H33" s="2" t="s">
        <v>20</v>
      </c>
      <c r="I33" s="2" t="s">
        <v>20</v>
      </c>
      <c r="J33" s="3">
        <v>8</v>
      </c>
      <c r="K33" s="3">
        <f>VLOOKUP(B33,Sheet1!$A:$E,5,0)</f>
        <v>4</v>
      </c>
      <c r="L33" s="2" t="s">
        <v>25</v>
      </c>
      <c r="M33" s="2" t="s">
        <v>25</v>
      </c>
      <c r="N33" s="2" t="s">
        <v>25</v>
      </c>
      <c r="O33" s="2" t="s">
        <v>25</v>
      </c>
      <c r="P33" s="2" t="s">
        <v>25</v>
      </c>
      <c r="Q33" s="2" t="s">
        <v>25</v>
      </c>
      <c r="R33" s="2" t="s">
        <v>25</v>
      </c>
      <c r="S33" s="2" t="s">
        <v>25</v>
      </c>
    </row>
    <row r="34" spans="1:19" ht="30" x14ac:dyDescent="0.25">
      <c r="A34" s="2" t="s">
        <v>133</v>
      </c>
      <c r="B34" s="2">
        <v>20213738</v>
      </c>
      <c r="C34" s="2" t="s">
        <v>134</v>
      </c>
      <c r="D34" s="2" t="s">
        <v>131</v>
      </c>
      <c r="E34" s="2" t="s">
        <v>135</v>
      </c>
      <c r="F34" s="2" t="s">
        <v>136</v>
      </c>
      <c r="G34" s="2" t="s">
        <v>25</v>
      </c>
      <c r="H34" s="2" t="s">
        <v>30</v>
      </c>
      <c r="I34" s="2" t="s">
        <v>20</v>
      </c>
      <c r="J34" s="3">
        <v>6</v>
      </c>
      <c r="K34" s="3">
        <f>VLOOKUP(B34,Sheet1!$A:$E,5,0)</f>
        <v>3</v>
      </c>
      <c r="L34" s="2" t="s">
        <v>25</v>
      </c>
      <c r="M34" s="2" t="s">
        <v>25</v>
      </c>
      <c r="N34" s="2" t="s">
        <v>25</v>
      </c>
      <c r="O34" s="2" t="s">
        <v>25</v>
      </c>
      <c r="P34" s="2" t="s">
        <v>25</v>
      </c>
      <c r="Q34" s="2" t="s">
        <v>25</v>
      </c>
      <c r="R34" s="2" t="s">
        <v>25</v>
      </c>
      <c r="S34" s="2" t="s">
        <v>25</v>
      </c>
    </row>
    <row r="35" spans="1:19" ht="30" x14ac:dyDescent="0.25">
      <c r="A35" s="2" t="s">
        <v>137</v>
      </c>
      <c r="B35" s="2">
        <v>24000340</v>
      </c>
      <c r="C35" s="2" t="s">
        <v>138</v>
      </c>
      <c r="D35" s="2" t="s">
        <v>131</v>
      </c>
      <c r="E35" s="2" t="s">
        <v>139</v>
      </c>
      <c r="F35" s="2" t="s">
        <v>29</v>
      </c>
      <c r="G35" s="2" t="s">
        <v>25</v>
      </c>
      <c r="H35" s="2" t="s">
        <v>20</v>
      </c>
      <c r="I35" s="2" t="s">
        <v>20</v>
      </c>
      <c r="J35" s="3">
        <f>VLOOKUP(B35,Sheet1!$A:$E,4,0)</f>
        <v>8</v>
      </c>
      <c r="K35" s="3">
        <f>VLOOKUP(B35,Sheet1!$A:$E,5,0)</f>
        <v>3</v>
      </c>
      <c r="L35" s="2" t="s">
        <v>25</v>
      </c>
      <c r="M35" s="2" t="s">
        <v>25</v>
      </c>
      <c r="N35" s="2" t="s">
        <v>25</v>
      </c>
      <c r="O35" s="2" t="s">
        <v>25</v>
      </c>
      <c r="P35" s="2" t="s">
        <v>25</v>
      </c>
      <c r="Q35" s="2" t="s">
        <v>25</v>
      </c>
      <c r="R35" s="2" t="s">
        <v>25</v>
      </c>
      <c r="S35" s="2" t="s">
        <v>25</v>
      </c>
    </row>
    <row r="36" spans="1:19" ht="30" x14ac:dyDescent="0.25">
      <c r="A36" s="2" t="s">
        <v>140</v>
      </c>
      <c r="B36" s="2">
        <v>24000126</v>
      </c>
      <c r="C36" s="2" t="s">
        <v>141</v>
      </c>
      <c r="D36" s="2" t="s">
        <v>131</v>
      </c>
      <c r="E36" s="2" t="s">
        <v>142</v>
      </c>
      <c r="F36" s="2" t="s">
        <v>29</v>
      </c>
      <c r="G36" s="2" t="s">
        <v>25</v>
      </c>
      <c r="H36" s="2" t="s">
        <v>20</v>
      </c>
      <c r="I36" s="2" t="s">
        <v>20</v>
      </c>
      <c r="J36" s="3">
        <v>7</v>
      </c>
      <c r="K36" s="3">
        <f>VLOOKUP(B36,Sheet1!$A:$E,5,0)</f>
        <v>8</v>
      </c>
      <c r="L36" s="2" t="s">
        <v>25</v>
      </c>
      <c r="M36" s="2" t="s">
        <v>25</v>
      </c>
      <c r="N36" s="2" t="s">
        <v>25</v>
      </c>
      <c r="O36" s="2" t="s">
        <v>25</v>
      </c>
      <c r="P36" s="2" t="s">
        <v>25</v>
      </c>
      <c r="Q36" s="2" t="s">
        <v>25</v>
      </c>
      <c r="R36" s="2" t="s">
        <v>25</v>
      </c>
      <c r="S36" s="2" t="s">
        <v>25</v>
      </c>
    </row>
    <row r="37" spans="1:19" ht="30" x14ac:dyDescent="0.25">
      <c r="A37" s="2" t="s">
        <v>143</v>
      </c>
      <c r="B37" s="2">
        <v>24000184</v>
      </c>
      <c r="C37" s="2" t="s">
        <v>144</v>
      </c>
      <c r="D37" s="2" t="s">
        <v>131</v>
      </c>
      <c r="E37" s="2" t="s">
        <v>145</v>
      </c>
      <c r="F37" s="2" t="s">
        <v>29</v>
      </c>
      <c r="G37" s="2" t="s">
        <v>25</v>
      </c>
      <c r="H37" s="2" t="s">
        <v>20</v>
      </c>
      <c r="I37" s="2" t="s">
        <v>20</v>
      </c>
      <c r="J37" s="3">
        <v>8</v>
      </c>
      <c r="K37" s="3">
        <f>VLOOKUP(B37,Sheet1!$A:$E,5,0)</f>
        <v>3</v>
      </c>
      <c r="L37" s="2" t="s">
        <v>25</v>
      </c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</row>
    <row r="38" spans="1:19" ht="30" x14ac:dyDescent="0.25">
      <c r="A38" s="2" t="s">
        <v>146</v>
      </c>
      <c r="B38" s="2">
        <v>24004311</v>
      </c>
      <c r="C38" s="2" t="s">
        <v>147</v>
      </c>
      <c r="D38" s="2" t="s">
        <v>148</v>
      </c>
      <c r="E38" s="2" t="s">
        <v>149</v>
      </c>
      <c r="F38" s="2" t="s">
        <v>29</v>
      </c>
      <c r="G38" s="2" t="s">
        <v>25</v>
      </c>
      <c r="H38" s="2" t="s">
        <v>20</v>
      </c>
      <c r="I38" s="2" t="s">
        <v>20</v>
      </c>
      <c r="J38" s="3">
        <f>VLOOKUP(B38,Sheet1!$A:$E,4,0)</f>
        <v>0</v>
      </c>
      <c r="K38" s="3">
        <f>VLOOKUP(B38,Sheet1!$A:$E,5,0)</f>
        <v>0</v>
      </c>
      <c r="L38" s="2" t="s">
        <v>25</v>
      </c>
      <c r="M38" s="2" t="s">
        <v>25</v>
      </c>
      <c r="N38" s="2" t="s">
        <v>25</v>
      </c>
      <c r="O38" s="2" t="s">
        <v>25</v>
      </c>
      <c r="P38" s="2" t="s">
        <v>25</v>
      </c>
      <c r="Q38" s="2" t="s">
        <v>25</v>
      </c>
      <c r="R38" s="2" t="s">
        <v>25</v>
      </c>
      <c r="S38" s="2" t="s">
        <v>25</v>
      </c>
    </row>
    <row r="39" spans="1:19" ht="30" x14ac:dyDescent="0.25">
      <c r="A39" s="2" t="s">
        <v>150</v>
      </c>
      <c r="B39" s="2">
        <v>24000261</v>
      </c>
      <c r="C39" s="2" t="s">
        <v>151</v>
      </c>
      <c r="D39" s="2" t="s">
        <v>148</v>
      </c>
      <c r="E39" s="2" t="s">
        <v>152</v>
      </c>
      <c r="F39" s="2" t="s">
        <v>29</v>
      </c>
      <c r="G39" s="2" t="s">
        <v>25</v>
      </c>
      <c r="H39" s="2" t="s">
        <v>20</v>
      </c>
      <c r="I39" s="2" t="s">
        <v>20</v>
      </c>
      <c r="J39" s="3">
        <v>7</v>
      </c>
      <c r="K39" s="3">
        <f>VLOOKUP(B39,Sheet1!$A:$E,5,0)</f>
        <v>6</v>
      </c>
      <c r="L39" s="2" t="s">
        <v>25</v>
      </c>
      <c r="M39" s="2" t="s">
        <v>25</v>
      </c>
      <c r="N39" s="2" t="s">
        <v>25</v>
      </c>
      <c r="O39" s="2" t="s">
        <v>25</v>
      </c>
      <c r="P39" s="2" t="s">
        <v>25</v>
      </c>
      <c r="Q39" s="2" t="s">
        <v>25</v>
      </c>
      <c r="R39" s="2" t="s">
        <v>25</v>
      </c>
      <c r="S39" s="2" t="s">
        <v>25</v>
      </c>
    </row>
    <row r="40" spans="1:19" ht="30" x14ac:dyDescent="0.25">
      <c r="A40" s="2" t="s">
        <v>153</v>
      </c>
      <c r="B40" s="2">
        <v>24000390</v>
      </c>
      <c r="C40" s="2" t="s">
        <v>154</v>
      </c>
      <c r="D40" s="2" t="s">
        <v>155</v>
      </c>
      <c r="E40" s="2" t="s">
        <v>156</v>
      </c>
      <c r="F40" s="2" t="s">
        <v>29</v>
      </c>
      <c r="G40" s="2" t="s">
        <v>25</v>
      </c>
      <c r="H40" s="2" t="s">
        <v>20</v>
      </c>
      <c r="I40" s="2" t="s">
        <v>20</v>
      </c>
      <c r="J40" s="3">
        <v>5</v>
      </c>
      <c r="K40" s="3">
        <f>VLOOKUP(B40,Sheet1!$A:$E,5,0)</f>
        <v>3</v>
      </c>
      <c r="L40" s="2" t="s">
        <v>25</v>
      </c>
      <c r="M40" s="2" t="s">
        <v>25</v>
      </c>
      <c r="N40" s="2" t="s">
        <v>25</v>
      </c>
      <c r="O40" s="2" t="s">
        <v>25</v>
      </c>
      <c r="P40" s="2" t="s">
        <v>25</v>
      </c>
      <c r="Q40" s="2" t="s">
        <v>25</v>
      </c>
      <c r="R40" s="2" t="s">
        <v>25</v>
      </c>
      <c r="S40" s="2" t="s">
        <v>25</v>
      </c>
    </row>
    <row r="41" spans="1:19" ht="30" x14ac:dyDescent="0.25">
      <c r="A41" s="2" t="s">
        <v>157</v>
      </c>
      <c r="B41" s="2">
        <v>24000168</v>
      </c>
      <c r="C41" s="2" t="s">
        <v>158</v>
      </c>
      <c r="D41" s="2" t="s">
        <v>155</v>
      </c>
      <c r="E41" s="2" t="s">
        <v>159</v>
      </c>
      <c r="F41" s="2" t="s">
        <v>29</v>
      </c>
      <c r="G41" s="2" t="s">
        <v>25</v>
      </c>
      <c r="H41" s="2" t="s">
        <v>20</v>
      </c>
      <c r="I41" s="2" t="s">
        <v>20</v>
      </c>
      <c r="J41" s="3">
        <v>8</v>
      </c>
      <c r="K41" s="3">
        <f>VLOOKUP(B41,Sheet1!$A:$E,5,0)</f>
        <v>7</v>
      </c>
      <c r="L41" s="2" t="s">
        <v>25</v>
      </c>
      <c r="M41" s="2" t="s">
        <v>25</v>
      </c>
      <c r="N41" s="2" t="s">
        <v>25</v>
      </c>
      <c r="O41" s="2" t="s">
        <v>25</v>
      </c>
      <c r="P41" s="2" t="s">
        <v>25</v>
      </c>
      <c r="Q41" s="2" t="s">
        <v>25</v>
      </c>
      <c r="R41" s="2" t="s">
        <v>25</v>
      </c>
      <c r="S41" s="2" t="s">
        <v>25</v>
      </c>
    </row>
    <row r="42" spans="1:19" ht="30" x14ac:dyDescent="0.25">
      <c r="A42" s="2" t="s">
        <v>160</v>
      </c>
      <c r="B42" s="2">
        <v>24000239</v>
      </c>
      <c r="C42" s="2" t="s">
        <v>161</v>
      </c>
      <c r="D42" s="2" t="s">
        <v>155</v>
      </c>
      <c r="E42" s="2" t="s">
        <v>162</v>
      </c>
      <c r="F42" s="2" t="s">
        <v>29</v>
      </c>
      <c r="G42" s="2" t="s">
        <v>25</v>
      </c>
      <c r="H42" s="2" t="s">
        <v>20</v>
      </c>
      <c r="I42" s="2" t="s">
        <v>20</v>
      </c>
      <c r="J42" s="3">
        <f>VLOOKUP(B42,Sheet1!$A:$E,4,0)</f>
        <v>8</v>
      </c>
      <c r="K42" s="3">
        <f>VLOOKUP(B42,Sheet1!$A:$E,5,0)</f>
        <v>3</v>
      </c>
      <c r="L42" s="2" t="s">
        <v>25</v>
      </c>
      <c r="M42" s="2" t="s">
        <v>25</v>
      </c>
      <c r="N42" s="2" t="s">
        <v>25</v>
      </c>
      <c r="O42" s="2" t="s">
        <v>25</v>
      </c>
      <c r="P42" s="2" t="s">
        <v>25</v>
      </c>
      <c r="Q42" s="2" t="s">
        <v>25</v>
      </c>
      <c r="R42" s="2" t="s">
        <v>25</v>
      </c>
      <c r="S42" s="2" t="s">
        <v>25</v>
      </c>
    </row>
    <row r="43" spans="1:19" ht="45" x14ac:dyDescent="0.25">
      <c r="A43" s="2" t="s">
        <v>163</v>
      </c>
      <c r="B43" s="2">
        <v>24000039</v>
      </c>
      <c r="C43" s="2" t="s">
        <v>164</v>
      </c>
      <c r="D43" s="2" t="s">
        <v>165</v>
      </c>
      <c r="E43" s="2" t="s">
        <v>166</v>
      </c>
      <c r="F43" s="2" t="s">
        <v>29</v>
      </c>
      <c r="G43" s="2" t="s">
        <v>25</v>
      </c>
      <c r="H43" s="2" t="s">
        <v>20</v>
      </c>
      <c r="I43" s="2" t="s">
        <v>20</v>
      </c>
      <c r="J43" s="3">
        <v>7</v>
      </c>
      <c r="K43" s="3">
        <f>VLOOKUP(B43,Sheet1!$A:$E,5,0)</f>
        <v>3</v>
      </c>
      <c r="L43" s="2" t="s">
        <v>25</v>
      </c>
      <c r="M43" s="2" t="s">
        <v>25</v>
      </c>
      <c r="N43" s="2" t="s">
        <v>25</v>
      </c>
      <c r="O43" s="2" t="s">
        <v>25</v>
      </c>
      <c r="P43" s="2" t="s">
        <v>25</v>
      </c>
      <c r="Q43" s="2" t="s">
        <v>25</v>
      </c>
      <c r="R43" s="2" t="s">
        <v>25</v>
      </c>
      <c r="S43" s="2" t="s">
        <v>25</v>
      </c>
    </row>
    <row r="44" spans="1:19" ht="30" x14ac:dyDescent="0.25">
      <c r="A44" s="2" t="s">
        <v>167</v>
      </c>
      <c r="B44" s="2">
        <v>24000430</v>
      </c>
      <c r="C44" s="2" t="s">
        <v>168</v>
      </c>
      <c r="D44" s="2" t="s">
        <v>169</v>
      </c>
      <c r="E44" s="2" t="s">
        <v>170</v>
      </c>
      <c r="F44" s="2" t="s">
        <v>29</v>
      </c>
      <c r="G44" s="2" t="s">
        <v>25</v>
      </c>
      <c r="H44" s="2" t="s">
        <v>20</v>
      </c>
      <c r="I44" s="2" t="s">
        <v>20</v>
      </c>
      <c r="J44" s="3">
        <v>8</v>
      </c>
      <c r="K44" s="3">
        <f>VLOOKUP(B44,Sheet1!$A:$E,5,0)</f>
        <v>5</v>
      </c>
      <c r="L44" s="2" t="s">
        <v>25</v>
      </c>
      <c r="M44" s="2" t="s">
        <v>25</v>
      </c>
      <c r="N44" s="2" t="s">
        <v>25</v>
      </c>
      <c r="O44" s="2" t="s">
        <v>25</v>
      </c>
      <c r="P44" s="2" t="s">
        <v>25</v>
      </c>
      <c r="Q44" s="2" t="s">
        <v>25</v>
      </c>
      <c r="R44" s="2" t="s">
        <v>25</v>
      </c>
      <c r="S44" s="2" t="s">
        <v>25</v>
      </c>
    </row>
    <row r="45" spans="1:19" ht="30" x14ac:dyDescent="0.25">
      <c r="A45" s="2" t="s">
        <v>171</v>
      </c>
      <c r="B45" s="2">
        <v>20231025</v>
      </c>
      <c r="C45" s="2" t="s">
        <v>172</v>
      </c>
      <c r="D45" s="2" t="s">
        <v>169</v>
      </c>
      <c r="E45" s="2" t="s">
        <v>173</v>
      </c>
      <c r="F45" s="2" t="s">
        <v>174</v>
      </c>
      <c r="G45" s="2" t="s">
        <v>25</v>
      </c>
      <c r="H45" s="2" t="s">
        <v>20</v>
      </c>
      <c r="I45" s="2" t="s">
        <v>20</v>
      </c>
      <c r="J45" s="3">
        <v>6</v>
      </c>
      <c r="K45" s="3">
        <f>VLOOKUP(B45,Sheet1!$A:$E,5,0)</f>
        <v>6</v>
      </c>
      <c r="L45" s="2" t="s">
        <v>25</v>
      </c>
      <c r="M45" s="2" t="s">
        <v>25</v>
      </c>
      <c r="N45" s="2" t="s">
        <v>25</v>
      </c>
      <c r="O45" s="2" t="s">
        <v>25</v>
      </c>
      <c r="P45" s="2" t="s">
        <v>25</v>
      </c>
      <c r="Q45" s="2" t="s">
        <v>25</v>
      </c>
      <c r="R45" s="2" t="s">
        <v>25</v>
      </c>
      <c r="S45" s="2" t="s">
        <v>25</v>
      </c>
    </row>
    <row r="46" spans="1:19" ht="30" x14ac:dyDescent="0.25">
      <c r="A46" s="2" t="s">
        <v>175</v>
      </c>
      <c r="B46" s="2">
        <v>24000254</v>
      </c>
      <c r="C46" s="2" t="s">
        <v>176</v>
      </c>
      <c r="D46" s="2" t="s">
        <v>177</v>
      </c>
      <c r="E46" s="2" t="s">
        <v>178</v>
      </c>
      <c r="F46" s="2" t="s">
        <v>29</v>
      </c>
      <c r="G46" s="2" t="s">
        <v>25</v>
      </c>
      <c r="H46" s="2" t="s">
        <v>20</v>
      </c>
      <c r="I46" s="2" t="s">
        <v>20</v>
      </c>
      <c r="J46" s="3">
        <v>8</v>
      </c>
      <c r="K46" s="3">
        <f>VLOOKUP(B46,Sheet1!$A:$E,5,0)</f>
        <v>6</v>
      </c>
      <c r="L46" s="2" t="s">
        <v>25</v>
      </c>
      <c r="M46" s="2" t="s">
        <v>25</v>
      </c>
      <c r="N46" s="2" t="s">
        <v>25</v>
      </c>
      <c r="O46" s="2" t="s">
        <v>25</v>
      </c>
      <c r="P46" s="2" t="s">
        <v>25</v>
      </c>
      <c r="Q46" s="2" t="s">
        <v>25</v>
      </c>
      <c r="R46" s="2" t="s">
        <v>25</v>
      </c>
      <c r="S46" s="2" t="s">
        <v>25</v>
      </c>
    </row>
    <row r="47" spans="1:19" ht="30" x14ac:dyDescent="0.25">
      <c r="A47" s="2" t="s">
        <v>179</v>
      </c>
      <c r="B47" s="2">
        <v>24000017</v>
      </c>
      <c r="C47" s="2" t="s">
        <v>180</v>
      </c>
      <c r="D47" s="2" t="s">
        <v>181</v>
      </c>
      <c r="E47" s="2" t="s">
        <v>182</v>
      </c>
      <c r="F47" s="2" t="s">
        <v>29</v>
      </c>
      <c r="G47" s="2" t="s">
        <v>25</v>
      </c>
      <c r="H47" s="2" t="s">
        <v>20</v>
      </c>
      <c r="I47" s="2" t="s">
        <v>20</v>
      </c>
      <c r="J47" s="3">
        <v>9</v>
      </c>
      <c r="K47" s="3">
        <f>VLOOKUP(B47,Sheet1!$A:$E,5,0)</f>
        <v>9</v>
      </c>
      <c r="L47" s="2" t="s">
        <v>25</v>
      </c>
      <c r="M47" s="2" t="s">
        <v>25</v>
      </c>
      <c r="N47" s="2" t="s">
        <v>25</v>
      </c>
      <c r="O47" s="2" t="s">
        <v>25</v>
      </c>
      <c r="P47" s="2" t="s">
        <v>25</v>
      </c>
      <c r="Q47" s="2" t="s">
        <v>25</v>
      </c>
      <c r="R47" s="2" t="s">
        <v>25</v>
      </c>
      <c r="S47" s="2" t="s">
        <v>25</v>
      </c>
    </row>
    <row r="48" spans="1:19" ht="30" x14ac:dyDescent="0.25">
      <c r="A48" s="2" t="s">
        <v>183</v>
      </c>
      <c r="B48" s="2">
        <v>20223179</v>
      </c>
      <c r="C48" s="2" t="s">
        <v>184</v>
      </c>
      <c r="D48" s="2" t="s">
        <v>185</v>
      </c>
      <c r="E48" s="2" t="s">
        <v>186</v>
      </c>
      <c r="F48" s="2" t="s">
        <v>187</v>
      </c>
      <c r="G48" s="2" t="s">
        <v>25</v>
      </c>
      <c r="H48" s="2" t="s">
        <v>26</v>
      </c>
      <c r="I48" s="2" t="s">
        <v>20</v>
      </c>
      <c r="J48" s="3">
        <f>VLOOKUP(B48,Sheet1!$A:$E,4,0)</f>
        <v>0</v>
      </c>
      <c r="K48" s="3">
        <f>VLOOKUP(B48,Sheet1!$A:$E,5,0)</f>
        <v>0</v>
      </c>
      <c r="L48" s="2" t="s">
        <v>25</v>
      </c>
      <c r="M48" s="2" t="s">
        <v>25</v>
      </c>
      <c r="N48" s="2" t="s">
        <v>25</v>
      </c>
      <c r="O48" s="2" t="s">
        <v>25</v>
      </c>
      <c r="P48" s="2" t="s">
        <v>25</v>
      </c>
      <c r="Q48" s="2" t="s">
        <v>25</v>
      </c>
      <c r="R48" s="2" t="s">
        <v>25</v>
      </c>
      <c r="S48" s="2" t="s">
        <v>25</v>
      </c>
    </row>
    <row r="49" spans="1:19" ht="30" x14ac:dyDescent="0.25">
      <c r="A49" s="2" t="s">
        <v>188</v>
      </c>
      <c r="B49" s="2">
        <v>24000456</v>
      </c>
      <c r="C49" s="2" t="s">
        <v>189</v>
      </c>
      <c r="D49" s="2" t="s">
        <v>190</v>
      </c>
      <c r="E49" s="2" t="s">
        <v>191</v>
      </c>
      <c r="F49" s="2" t="s">
        <v>29</v>
      </c>
      <c r="G49" s="2" t="s">
        <v>25</v>
      </c>
      <c r="H49" s="2" t="s">
        <v>20</v>
      </c>
      <c r="I49" s="2" t="s">
        <v>20</v>
      </c>
      <c r="J49" s="3">
        <v>8</v>
      </c>
      <c r="K49" s="3">
        <f>VLOOKUP(B49,Sheet1!$A:$E,5,0)</f>
        <v>4</v>
      </c>
      <c r="L49" s="2" t="s">
        <v>25</v>
      </c>
      <c r="M49" s="2" t="s">
        <v>25</v>
      </c>
      <c r="N49" s="2" t="s">
        <v>25</v>
      </c>
      <c r="O49" s="2" t="s">
        <v>25</v>
      </c>
      <c r="P49" s="2" t="s">
        <v>25</v>
      </c>
      <c r="Q49" s="2" t="s">
        <v>25</v>
      </c>
      <c r="R49" s="2" t="s">
        <v>25</v>
      </c>
      <c r="S49" s="2" t="s">
        <v>25</v>
      </c>
    </row>
    <row r="50" spans="1:19" ht="30" x14ac:dyDescent="0.25">
      <c r="A50" s="2" t="s">
        <v>192</v>
      </c>
      <c r="B50" s="2">
        <v>24000085</v>
      </c>
      <c r="C50" s="2" t="s">
        <v>193</v>
      </c>
      <c r="D50" s="2" t="s">
        <v>194</v>
      </c>
      <c r="E50" s="2" t="s">
        <v>195</v>
      </c>
      <c r="F50" s="2" t="s">
        <v>29</v>
      </c>
      <c r="G50" s="2" t="s">
        <v>25</v>
      </c>
      <c r="H50" s="2" t="s">
        <v>20</v>
      </c>
      <c r="I50" s="2" t="s">
        <v>20</v>
      </c>
      <c r="J50" s="3">
        <f>VLOOKUP(B50,Sheet1!$A:$E,4,0)</f>
        <v>0</v>
      </c>
      <c r="K50" s="3">
        <f>VLOOKUP(B50,Sheet1!$A:$E,5,0)</f>
        <v>0</v>
      </c>
      <c r="L50" s="2" t="s">
        <v>25</v>
      </c>
      <c r="M50" s="2" t="s">
        <v>25</v>
      </c>
      <c r="N50" s="2" t="s">
        <v>25</v>
      </c>
      <c r="O50" s="2" t="s">
        <v>25</v>
      </c>
      <c r="P50" s="2" t="s">
        <v>25</v>
      </c>
      <c r="Q50" s="2" t="s">
        <v>25</v>
      </c>
      <c r="R50" s="2" t="s">
        <v>25</v>
      </c>
      <c r="S50" s="2" t="s">
        <v>25</v>
      </c>
    </row>
    <row r="51" spans="1:19" ht="30" x14ac:dyDescent="0.25">
      <c r="A51" s="2" t="s">
        <v>196</v>
      </c>
      <c r="B51" s="2">
        <v>24000266</v>
      </c>
      <c r="C51" s="2" t="s">
        <v>197</v>
      </c>
      <c r="D51" s="2" t="s">
        <v>194</v>
      </c>
      <c r="E51" s="2" t="s">
        <v>198</v>
      </c>
      <c r="F51" s="2" t="s">
        <v>29</v>
      </c>
      <c r="G51" s="2" t="s">
        <v>25</v>
      </c>
      <c r="H51" s="2" t="s">
        <v>20</v>
      </c>
      <c r="I51" s="2" t="s">
        <v>20</v>
      </c>
      <c r="J51" s="3">
        <v>8</v>
      </c>
      <c r="K51" s="3">
        <f>VLOOKUP(B51,Sheet1!$A:$E,5,0)</f>
        <v>3</v>
      </c>
      <c r="L51" s="2" t="s">
        <v>25</v>
      </c>
      <c r="M51" s="2" t="s">
        <v>25</v>
      </c>
      <c r="N51" s="2" t="s">
        <v>25</v>
      </c>
      <c r="O51" s="2" t="s">
        <v>25</v>
      </c>
      <c r="P51" s="2" t="s">
        <v>25</v>
      </c>
      <c r="Q51" s="2" t="s">
        <v>25</v>
      </c>
      <c r="R51" s="2" t="s">
        <v>25</v>
      </c>
      <c r="S51" s="2" t="s">
        <v>25</v>
      </c>
    </row>
    <row r="52" spans="1:19" ht="30" x14ac:dyDescent="0.25">
      <c r="A52" s="2" t="s">
        <v>199</v>
      </c>
      <c r="B52" s="2">
        <v>24000309</v>
      </c>
      <c r="C52" s="2" t="s">
        <v>200</v>
      </c>
      <c r="D52" s="2" t="s">
        <v>194</v>
      </c>
      <c r="E52" s="2" t="s">
        <v>201</v>
      </c>
      <c r="F52" s="2" t="s">
        <v>29</v>
      </c>
      <c r="G52" s="2" t="s">
        <v>25</v>
      </c>
      <c r="H52" s="2" t="s">
        <v>20</v>
      </c>
      <c r="I52" s="2" t="s">
        <v>20</v>
      </c>
      <c r="J52" s="3">
        <v>6</v>
      </c>
      <c r="K52" s="3">
        <f>VLOOKUP(B52,Sheet1!$A:$E,5,0)</f>
        <v>4</v>
      </c>
      <c r="L52" s="2" t="s">
        <v>25</v>
      </c>
      <c r="M52" s="2" t="s">
        <v>25</v>
      </c>
      <c r="N52" s="2" t="s">
        <v>25</v>
      </c>
      <c r="O52" s="2" t="s">
        <v>25</v>
      </c>
      <c r="P52" s="2" t="s">
        <v>25</v>
      </c>
      <c r="Q52" s="2" t="s">
        <v>25</v>
      </c>
      <c r="R52" s="2" t="s">
        <v>25</v>
      </c>
      <c r="S52" s="2" t="s">
        <v>25</v>
      </c>
    </row>
    <row r="53" spans="1:19" ht="30" x14ac:dyDescent="0.25">
      <c r="A53" s="2" t="s">
        <v>202</v>
      </c>
      <c r="B53" s="2">
        <v>24000365</v>
      </c>
      <c r="C53" s="2" t="s">
        <v>203</v>
      </c>
      <c r="D53" s="2" t="s">
        <v>204</v>
      </c>
      <c r="E53" s="2" t="s">
        <v>205</v>
      </c>
      <c r="F53" s="2" t="s">
        <v>29</v>
      </c>
      <c r="G53" s="2" t="s">
        <v>25</v>
      </c>
      <c r="H53" s="2" t="s">
        <v>20</v>
      </c>
      <c r="I53" s="2" t="s">
        <v>20</v>
      </c>
      <c r="J53" s="3">
        <v>7</v>
      </c>
      <c r="K53" s="3">
        <f>VLOOKUP(B53,Sheet1!$A:$E,5,0)</f>
        <v>6</v>
      </c>
      <c r="L53" s="2" t="s">
        <v>25</v>
      </c>
      <c r="M53" s="2" t="s">
        <v>25</v>
      </c>
      <c r="N53" s="2" t="s">
        <v>25</v>
      </c>
      <c r="O53" s="2" t="s">
        <v>25</v>
      </c>
      <c r="P53" s="2" t="s">
        <v>25</v>
      </c>
      <c r="Q53" s="2" t="s">
        <v>25</v>
      </c>
      <c r="R53" s="2" t="s">
        <v>25</v>
      </c>
      <c r="S53" s="2" t="s">
        <v>25</v>
      </c>
    </row>
    <row r="54" spans="1:19" ht="30" x14ac:dyDescent="0.25">
      <c r="A54" s="2" t="s">
        <v>206</v>
      </c>
      <c r="B54" s="2">
        <v>24001520</v>
      </c>
      <c r="C54" s="2" t="s">
        <v>207</v>
      </c>
      <c r="D54" s="2" t="s">
        <v>208</v>
      </c>
      <c r="E54" s="2" t="s">
        <v>209</v>
      </c>
      <c r="F54" s="2" t="s">
        <v>29</v>
      </c>
      <c r="G54" s="2" t="s">
        <v>25</v>
      </c>
      <c r="H54" s="2" t="s">
        <v>20</v>
      </c>
      <c r="I54" s="2" t="s">
        <v>20</v>
      </c>
      <c r="J54" s="3">
        <v>6</v>
      </c>
      <c r="K54" s="3">
        <f>VLOOKUP(B54,Sheet1!$A:$E,5,0)</f>
        <v>5</v>
      </c>
      <c r="L54" s="2" t="s">
        <v>25</v>
      </c>
      <c r="M54" s="2" t="s">
        <v>25</v>
      </c>
      <c r="N54" s="2" t="s">
        <v>25</v>
      </c>
      <c r="O54" s="2" t="s">
        <v>25</v>
      </c>
      <c r="P54" s="2" t="s">
        <v>25</v>
      </c>
      <c r="Q54" s="2" t="s">
        <v>25</v>
      </c>
      <c r="R54" s="2" t="s">
        <v>25</v>
      </c>
      <c r="S54" s="2" t="s">
        <v>25</v>
      </c>
    </row>
    <row r="55" spans="1:19" ht="30" x14ac:dyDescent="0.25">
      <c r="A55" s="2" t="s">
        <v>210</v>
      </c>
      <c r="B55" s="2">
        <v>24000003</v>
      </c>
      <c r="C55" s="2" t="s">
        <v>211</v>
      </c>
      <c r="D55" s="2" t="s">
        <v>212</v>
      </c>
      <c r="E55" s="2" t="s">
        <v>213</v>
      </c>
      <c r="F55" s="2" t="s">
        <v>29</v>
      </c>
      <c r="G55" s="2" t="s">
        <v>25</v>
      </c>
      <c r="H55" s="2" t="s">
        <v>20</v>
      </c>
      <c r="I55" s="2" t="s">
        <v>20</v>
      </c>
      <c r="J55" s="3">
        <v>8</v>
      </c>
      <c r="K55" s="3">
        <f>VLOOKUP(B55,Sheet1!$A:$E,5,0)</f>
        <v>8</v>
      </c>
      <c r="L55" s="2" t="s">
        <v>25</v>
      </c>
      <c r="M55" s="2" t="s">
        <v>25</v>
      </c>
      <c r="N55" s="2" t="s">
        <v>25</v>
      </c>
      <c r="O55" s="2" t="s">
        <v>25</v>
      </c>
      <c r="P55" s="2" t="s">
        <v>25</v>
      </c>
      <c r="Q55" s="2" t="s">
        <v>25</v>
      </c>
      <c r="R55" s="2" t="s">
        <v>25</v>
      </c>
      <c r="S55" s="2" t="s">
        <v>25</v>
      </c>
    </row>
    <row r="56" spans="1:19" ht="30" x14ac:dyDescent="0.25">
      <c r="A56" s="2" t="s">
        <v>214</v>
      </c>
      <c r="B56" s="2">
        <v>24000342</v>
      </c>
      <c r="C56" s="2" t="s">
        <v>215</v>
      </c>
      <c r="D56" s="2" t="s">
        <v>216</v>
      </c>
      <c r="E56" s="2" t="s">
        <v>217</v>
      </c>
      <c r="F56" s="2" t="s">
        <v>29</v>
      </c>
      <c r="G56" s="2" t="s">
        <v>25</v>
      </c>
      <c r="H56" s="2" t="s">
        <v>20</v>
      </c>
      <c r="I56" s="2" t="s">
        <v>20</v>
      </c>
      <c r="J56" s="3">
        <v>7</v>
      </c>
      <c r="K56" s="3">
        <f>VLOOKUP(B56,Sheet1!$A:$E,5,0)</f>
        <v>4</v>
      </c>
      <c r="L56" s="2" t="s">
        <v>25</v>
      </c>
      <c r="M56" s="2" t="s">
        <v>25</v>
      </c>
      <c r="N56" s="2" t="s">
        <v>25</v>
      </c>
      <c r="O56" s="2" t="s">
        <v>25</v>
      </c>
      <c r="P56" s="2" t="s">
        <v>25</v>
      </c>
      <c r="Q56" s="2" t="s">
        <v>25</v>
      </c>
      <c r="R56" s="2" t="s">
        <v>25</v>
      </c>
      <c r="S56" s="2" t="s">
        <v>25</v>
      </c>
    </row>
    <row r="57" spans="1:19" ht="30" x14ac:dyDescent="0.25">
      <c r="A57" s="2" t="s">
        <v>218</v>
      </c>
      <c r="B57" s="2">
        <v>24004299</v>
      </c>
      <c r="C57" s="2" t="s">
        <v>219</v>
      </c>
      <c r="D57" s="2" t="s">
        <v>220</v>
      </c>
      <c r="E57" s="2" t="s">
        <v>221</v>
      </c>
      <c r="F57" s="2" t="s">
        <v>29</v>
      </c>
      <c r="G57" s="2" t="s">
        <v>25</v>
      </c>
      <c r="H57" s="2" t="s">
        <v>20</v>
      </c>
      <c r="I57" s="2" t="s">
        <v>20</v>
      </c>
      <c r="J57" s="3">
        <v>6</v>
      </c>
      <c r="K57" s="3">
        <f>VLOOKUP(B57,Sheet1!$A:$E,5,0)</f>
        <v>0</v>
      </c>
      <c r="L57" s="2" t="s">
        <v>25</v>
      </c>
      <c r="M57" s="2" t="s">
        <v>25</v>
      </c>
      <c r="N57" s="2" t="s">
        <v>25</v>
      </c>
      <c r="O57" s="2" t="s">
        <v>25</v>
      </c>
      <c r="P57" s="2" t="s">
        <v>25</v>
      </c>
      <c r="Q57" s="2" t="s">
        <v>25</v>
      </c>
      <c r="R57" s="2" t="s">
        <v>25</v>
      </c>
      <c r="S57" s="2" t="s">
        <v>25</v>
      </c>
    </row>
    <row r="58" spans="1:19" ht="30" x14ac:dyDescent="0.25">
      <c r="A58" s="2" t="s">
        <v>222</v>
      </c>
      <c r="B58" s="2">
        <v>24004303</v>
      </c>
      <c r="C58" s="2" t="s">
        <v>223</v>
      </c>
      <c r="D58" s="2" t="s">
        <v>224</v>
      </c>
      <c r="E58" s="2" t="s">
        <v>225</v>
      </c>
      <c r="F58" s="2" t="s">
        <v>29</v>
      </c>
      <c r="G58" s="2" t="s">
        <v>25</v>
      </c>
      <c r="H58" s="2" t="s">
        <v>20</v>
      </c>
      <c r="I58" s="2" t="s">
        <v>20</v>
      </c>
      <c r="J58" s="3">
        <v>7</v>
      </c>
      <c r="K58" s="3">
        <f>VLOOKUP(B58,Sheet1!$A:$E,5,0)</f>
        <v>4</v>
      </c>
      <c r="L58" s="2" t="s">
        <v>25</v>
      </c>
      <c r="M58" s="2" t="s">
        <v>25</v>
      </c>
      <c r="N58" s="2" t="s">
        <v>25</v>
      </c>
      <c r="O58" s="2" t="s">
        <v>25</v>
      </c>
      <c r="P58" s="2" t="s">
        <v>25</v>
      </c>
      <c r="Q58" s="2" t="s">
        <v>25</v>
      </c>
      <c r="R58" s="2" t="s">
        <v>25</v>
      </c>
      <c r="S58" s="2" t="s">
        <v>25</v>
      </c>
    </row>
    <row r="59" spans="1:19" ht="30" x14ac:dyDescent="0.25">
      <c r="A59" s="2" t="s">
        <v>226</v>
      </c>
      <c r="B59" s="2">
        <v>24004327</v>
      </c>
      <c r="C59" s="2" t="s">
        <v>227</v>
      </c>
      <c r="D59" s="2" t="s">
        <v>224</v>
      </c>
      <c r="E59" s="2" t="s">
        <v>228</v>
      </c>
      <c r="F59" s="2" t="s">
        <v>29</v>
      </c>
      <c r="G59" s="2" t="s">
        <v>25</v>
      </c>
      <c r="H59" s="2" t="s">
        <v>20</v>
      </c>
      <c r="I59" s="2" t="s">
        <v>20</v>
      </c>
      <c r="J59" s="3">
        <v>8</v>
      </c>
      <c r="K59" s="3">
        <f>VLOOKUP(B59,Sheet1!$A:$E,5,0)</f>
        <v>3</v>
      </c>
      <c r="L59" s="2" t="s">
        <v>25</v>
      </c>
      <c r="M59" s="2" t="s">
        <v>25</v>
      </c>
      <c r="N59" s="2" t="s">
        <v>25</v>
      </c>
      <c r="O59" s="2" t="s">
        <v>25</v>
      </c>
      <c r="P59" s="2" t="s">
        <v>25</v>
      </c>
      <c r="Q59" s="2" t="s">
        <v>25</v>
      </c>
      <c r="R59" s="2" t="s">
        <v>25</v>
      </c>
      <c r="S59" s="2" t="s">
        <v>25</v>
      </c>
    </row>
    <row r="60" spans="1:19" ht="30" x14ac:dyDescent="0.25">
      <c r="A60" s="2" t="s">
        <v>229</v>
      </c>
      <c r="B60" s="2">
        <v>24000360</v>
      </c>
      <c r="C60" s="2" t="s">
        <v>85</v>
      </c>
      <c r="D60" s="2" t="s">
        <v>230</v>
      </c>
      <c r="E60" s="2" t="s">
        <v>231</v>
      </c>
      <c r="F60" s="2" t="s">
        <v>29</v>
      </c>
      <c r="G60" s="2" t="s">
        <v>25</v>
      </c>
      <c r="H60" s="2" t="s">
        <v>20</v>
      </c>
      <c r="I60" s="2" t="s">
        <v>20</v>
      </c>
      <c r="J60" s="3">
        <v>8</v>
      </c>
      <c r="K60" s="3">
        <f>VLOOKUP(B60,Sheet1!$A:$E,5,0)</f>
        <v>3</v>
      </c>
      <c r="L60" s="2" t="s">
        <v>25</v>
      </c>
      <c r="M60" s="2" t="s">
        <v>25</v>
      </c>
      <c r="N60" s="2" t="s">
        <v>25</v>
      </c>
      <c r="O60" s="2" t="s">
        <v>25</v>
      </c>
      <c r="P60" s="2" t="s">
        <v>25</v>
      </c>
      <c r="Q60" s="2" t="s">
        <v>25</v>
      </c>
      <c r="R60" s="2" t="s">
        <v>25</v>
      </c>
      <c r="S60" s="2" t="s">
        <v>25</v>
      </c>
    </row>
    <row r="61" spans="1:19" ht="30" x14ac:dyDescent="0.25">
      <c r="A61" s="2" t="s">
        <v>232</v>
      </c>
      <c r="B61" s="2">
        <v>20223723</v>
      </c>
      <c r="C61" s="2" t="s">
        <v>233</v>
      </c>
      <c r="D61" s="2" t="s">
        <v>234</v>
      </c>
      <c r="E61" s="2" t="s">
        <v>235</v>
      </c>
      <c r="F61" s="2" t="s">
        <v>236</v>
      </c>
      <c r="G61" s="2" t="s">
        <v>25</v>
      </c>
      <c r="H61" s="2" t="s">
        <v>26</v>
      </c>
      <c r="I61" s="2" t="s">
        <v>20</v>
      </c>
      <c r="J61" s="3">
        <f>VLOOKUP(B61,Sheet1!$A:$E,4,0)</f>
        <v>8</v>
      </c>
      <c r="K61" s="3">
        <f>VLOOKUP(B61,Sheet1!$A:$E,5,0)</f>
        <v>8.5</v>
      </c>
      <c r="L61" s="2" t="s">
        <v>25</v>
      </c>
      <c r="M61" s="2" t="s">
        <v>25</v>
      </c>
      <c r="N61" s="2" t="s">
        <v>25</v>
      </c>
      <c r="O61" s="2" t="s">
        <v>25</v>
      </c>
      <c r="P61" s="2" t="s">
        <v>25</v>
      </c>
      <c r="Q61" s="2" t="s">
        <v>25</v>
      </c>
      <c r="R61" s="2" t="s">
        <v>25</v>
      </c>
      <c r="S61" s="2" t="s">
        <v>25</v>
      </c>
    </row>
    <row r="62" spans="1:19" ht="30" x14ac:dyDescent="0.25">
      <c r="A62" s="2" t="s">
        <v>237</v>
      </c>
      <c r="B62" s="2">
        <v>24000203</v>
      </c>
      <c r="C62" s="2" t="s">
        <v>81</v>
      </c>
      <c r="D62" s="2" t="s">
        <v>238</v>
      </c>
      <c r="E62" s="2" t="s">
        <v>42</v>
      </c>
      <c r="F62" s="2" t="s">
        <v>29</v>
      </c>
      <c r="G62" s="2" t="s">
        <v>25</v>
      </c>
      <c r="H62" s="2" t="s">
        <v>20</v>
      </c>
      <c r="I62" s="2" t="s">
        <v>20</v>
      </c>
      <c r="J62" s="3">
        <f>VLOOKUP(B62,Sheet1!$A:$E,4,0)</f>
        <v>0</v>
      </c>
      <c r="K62" s="3">
        <f>VLOOKUP(B62,Sheet1!$A:$E,5,0)</f>
        <v>0</v>
      </c>
      <c r="L62" s="2" t="s">
        <v>25</v>
      </c>
      <c r="M62" s="2" t="s">
        <v>25</v>
      </c>
      <c r="N62" s="2" t="s">
        <v>25</v>
      </c>
      <c r="O62" s="2" t="s">
        <v>25</v>
      </c>
      <c r="P62" s="2" t="s">
        <v>25</v>
      </c>
      <c r="Q62" s="2" t="s">
        <v>25</v>
      </c>
      <c r="R62" s="2" t="s">
        <v>25</v>
      </c>
      <c r="S62" s="2" t="s">
        <v>25</v>
      </c>
    </row>
    <row r="63" spans="1:19" ht="30" x14ac:dyDescent="0.25">
      <c r="A63" s="2" t="s">
        <v>239</v>
      </c>
      <c r="B63" s="2">
        <v>24000422</v>
      </c>
      <c r="C63" s="2" t="s">
        <v>240</v>
      </c>
      <c r="D63" s="2" t="s">
        <v>241</v>
      </c>
      <c r="E63" s="2" t="s">
        <v>242</v>
      </c>
      <c r="F63" s="2" t="s">
        <v>29</v>
      </c>
      <c r="G63" s="2" t="s">
        <v>25</v>
      </c>
      <c r="H63" s="2" t="s">
        <v>20</v>
      </c>
      <c r="I63" s="2" t="s">
        <v>20</v>
      </c>
      <c r="J63" s="3">
        <f>VLOOKUP(B63,Sheet1!$A:$E,4,0)</f>
        <v>10</v>
      </c>
      <c r="K63" s="3">
        <f>VLOOKUP(B63,Sheet1!$A:$E,5,0)</f>
        <v>9</v>
      </c>
      <c r="L63" s="2" t="s">
        <v>25</v>
      </c>
      <c r="M63" s="2" t="s">
        <v>25</v>
      </c>
      <c r="N63" s="2" t="s">
        <v>25</v>
      </c>
      <c r="O63" s="2" t="s">
        <v>25</v>
      </c>
      <c r="P63" s="2" t="s">
        <v>25</v>
      </c>
      <c r="Q63" s="2" t="s">
        <v>25</v>
      </c>
      <c r="R63" s="2" t="s">
        <v>25</v>
      </c>
      <c r="S63" s="2" t="s">
        <v>25</v>
      </c>
    </row>
    <row r="64" spans="1:19" ht="30" x14ac:dyDescent="0.25">
      <c r="A64" s="2" t="s">
        <v>243</v>
      </c>
      <c r="B64" s="2">
        <v>20223899</v>
      </c>
      <c r="C64" s="2" t="s">
        <v>244</v>
      </c>
      <c r="D64" s="2" t="s">
        <v>245</v>
      </c>
      <c r="E64" s="2" t="s">
        <v>246</v>
      </c>
      <c r="F64" s="2" t="s">
        <v>247</v>
      </c>
      <c r="G64" s="2" t="s">
        <v>25</v>
      </c>
      <c r="H64" s="2" t="s">
        <v>26</v>
      </c>
      <c r="I64" s="2" t="s">
        <v>20</v>
      </c>
      <c r="J64" s="3">
        <v>7</v>
      </c>
      <c r="K64" s="3">
        <f>VLOOKUP(B64,Sheet1!$A:$E,5,0)</f>
        <v>6</v>
      </c>
      <c r="L64" s="2" t="s">
        <v>25</v>
      </c>
      <c r="M64" s="2" t="s">
        <v>25</v>
      </c>
      <c r="N64" s="2" t="s">
        <v>25</v>
      </c>
      <c r="O64" s="2" t="s">
        <v>25</v>
      </c>
      <c r="P64" s="2" t="s">
        <v>25</v>
      </c>
      <c r="Q64" s="2" t="s">
        <v>25</v>
      </c>
      <c r="R64" s="2" t="s">
        <v>25</v>
      </c>
      <c r="S64" s="2" t="s">
        <v>25</v>
      </c>
    </row>
    <row r="65" spans="1:19" ht="30" x14ac:dyDescent="0.25">
      <c r="A65" s="2" t="s">
        <v>248</v>
      </c>
      <c r="B65" s="2">
        <v>24000263</v>
      </c>
      <c r="C65" s="2" t="s">
        <v>244</v>
      </c>
      <c r="D65" s="2" t="s">
        <v>245</v>
      </c>
      <c r="E65" s="2" t="s">
        <v>249</v>
      </c>
      <c r="F65" s="2" t="s">
        <v>29</v>
      </c>
      <c r="G65" s="2" t="s">
        <v>25</v>
      </c>
      <c r="H65" s="2" t="s">
        <v>20</v>
      </c>
      <c r="I65" s="2" t="s">
        <v>20</v>
      </c>
      <c r="J65" s="3">
        <v>7</v>
      </c>
      <c r="K65" s="3">
        <f>VLOOKUP(B65,Sheet1!$A:$E,5,0)</f>
        <v>8.5</v>
      </c>
      <c r="L65" s="2" t="s">
        <v>25</v>
      </c>
      <c r="M65" s="2" t="s">
        <v>25</v>
      </c>
      <c r="N65" s="2" t="s">
        <v>25</v>
      </c>
      <c r="O65" s="2" t="s">
        <v>25</v>
      </c>
      <c r="P65" s="2" t="s">
        <v>25</v>
      </c>
      <c r="Q65" s="2" t="s">
        <v>25</v>
      </c>
      <c r="R65" s="2" t="s">
        <v>25</v>
      </c>
      <c r="S65" s="2" t="s">
        <v>25</v>
      </c>
    </row>
    <row r="66" spans="1:19" ht="30" x14ac:dyDescent="0.25">
      <c r="A66" s="2" t="s">
        <v>250</v>
      </c>
      <c r="B66" s="2">
        <v>20223673</v>
      </c>
      <c r="C66" s="2" t="s">
        <v>193</v>
      </c>
      <c r="D66" s="2" t="s">
        <v>251</v>
      </c>
      <c r="E66" s="2" t="s">
        <v>252</v>
      </c>
      <c r="F66" s="2" t="s">
        <v>236</v>
      </c>
      <c r="G66" s="2" t="s">
        <v>25</v>
      </c>
      <c r="H66" s="2" t="s">
        <v>26</v>
      </c>
      <c r="I66" s="2" t="s">
        <v>20</v>
      </c>
      <c r="J66" s="3">
        <v>8</v>
      </c>
      <c r="K66" s="3">
        <f>VLOOKUP(B66,Sheet1!$A:$E,5,0)</f>
        <v>5</v>
      </c>
      <c r="L66" s="2" t="s">
        <v>25</v>
      </c>
      <c r="M66" s="2" t="s">
        <v>25</v>
      </c>
      <c r="N66" s="2" t="s">
        <v>25</v>
      </c>
      <c r="O66" s="2" t="s">
        <v>25</v>
      </c>
      <c r="P66" s="2" t="s">
        <v>25</v>
      </c>
      <c r="Q66" s="2" t="s">
        <v>25</v>
      </c>
      <c r="R66" s="2" t="s">
        <v>25</v>
      </c>
      <c r="S66" s="2" t="s">
        <v>25</v>
      </c>
    </row>
    <row r="67" spans="1:19" ht="30" x14ac:dyDescent="0.25">
      <c r="A67" s="2" t="s">
        <v>253</v>
      </c>
      <c r="B67" s="2">
        <v>24000031</v>
      </c>
      <c r="C67" s="2" t="s">
        <v>254</v>
      </c>
      <c r="D67" s="2" t="s">
        <v>251</v>
      </c>
      <c r="E67" s="2" t="s">
        <v>213</v>
      </c>
      <c r="F67" s="2" t="s">
        <v>29</v>
      </c>
      <c r="G67" s="2" t="s">
        <v>25</v>
      </c>
      <c r="H67" s="2" t="s">
        <v>20</v>
      </c>
      <c r="I67" s="2" t="s">
        <v>20</v>
      </c>
      <c r="J67" s="3">
        <v>6</v>
      </c>
      <c r="K67" s="3">
        <f>VLOOKUP(B67,Sheet1!$A:$E,5,0)</f>
        <v>0</v>
      </c>
      <c r="L67" s="2" t="s">
        <v>25</v>
      </c>
      <c r="M67" s="2" t="s">
        <v>25</v>
      </c>
      <c r="N67" s="2" t="s">
        <v>25</v>
      </c>
      <c r="O67" s="2" t="s">
        <v>25</v>
      </c>
      <c r="P67" s="2" t="s">
        <v>25</v>
      </c>
      <c r="Q67" s="2" t="s">
        <v>25</v>
      </c>
      <c r="R67" s="2" t="s">
        <v>25</v>
      </c>
      <c r="S67" s="2" t="s">
        <v>25</v>
      </c>
    </row>
    <row r="68" spans="1:19" ht="30" x14ac:dyDescent="0.25">
      <c r="A68" s="2" t="s">
        <v>255</v>
      </c>
      <c r="B68" s="2">
        <v>24000230</v>
      </c>
      <c r="C68" s="2" t="s">
        <v>256</v>
      </c>
      <c r="D68" s="2" t="s">
        <v>257</v>
      </c>
      <c r="E68" s="2" t="s">
        <v>152</v>
      </c>
      <c r="F68" s="2" t="s">
        <v>29</v>
      </c>
      <c r="G68" s="2" t="s">
        <v>25</v>
      </c>
      <c r="H68" s="2" t="s">
        <v>20</v>
      </c>
      <c r="I68" s="2" t="s">
        <v>20</v>
      </c>
      <c r="J68" s="3">
        <v>8</v>
      </c>
      <c r="K68" s="3">
        <f>VLOOKUP(B68,Sheet1!$A:$E,5,0)</f>
        <v>4</v>
      </c>
      <c r="L68" s="2" t="s">
        <v>25</v>
      </c>
      <c r="M68" s="2" t="s">
        <v>25</v>
      </c>
      <c r="N68" s="2" t="s">
        <v>25</v>
      </c>
      <c r="O68" s="2" t="s">
        <v>25</v>
      </c>
      <c r="P68" s="2" t="s">
        <v>25</v>
      </c>
      <c r="Q68" s="2" t="s">
        <v>25</v>
      </c>
      <c r="R68" s="2" t="s">
        <v>25</v>
      </c>
      <c r="S68" s="2" t="s">
        <v>25</v>
      </c>
    </row>
  </sheetData>
  <mergeCells count="17">
    <mergeCell ref="Q1:Q2"/>
    <mergeCell ref="R1:R2"/>
    <mergeCell ref="S1:S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M1:M2"/>
    <mergeCell ref="N1:N2"/>
    <mergeCell ref="O1:O2"/>
    <mergeCell ref="P1:P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0C667-B876-4DD3-99E1-FFD52B2C73BE}">
  <dimension ref="A1:E66"/>
  <sheetViews>
    <sheetView workbookViewId="0">
      <selection activeCell="D1" sqref="D1"/>
    </sheetView>
  </sheetViews>
  <sheetFormatPr defaultRowHeight="15" x14ac:dyDescent="0.25"/>
  <cols>
    <col min="2" max="2" width="19.5703125" bestFit="1" customWidth="1"/>
    <col min="4" max="4" width="9.140625" style="9"/>
  </cols>
  <sheetData>
    <row r="1" spans="1:5" x14ac:dyDescent="0.25">
      <c r="A1">
        <v>24000107</v>
      </c>
      <c r="B1" t="s">
        <v>27</v>
      </c>
      <c r="C1" t="s">
        <v>22</v>
      </c>
      <c r="D1" s="9">
        <v>6.86</v>
      </c>
      <c r="E1">
        <v>0</v>
      </c>
    </row>
    <row r="2" spans="1:5" x14ac:dyDescent="0.25">
      <c r="A2">
        <v>24004325</v>
      </c>
      <c r="B2" t="s">
        <v>31</v>
      </c>
      <c r="C2" t="s">
        <v>22</v>
      </c>
      <c r="D2" s="9">
        <v>0</v>
      </c>
      <c r="E2">
        <v>0</v>
      </c>
    </row>
    <row r="3" spans="1:5" x14ac:dyDescent="0.25">
      <c r="A3">
        <v>24000279</v>
      </c>
      <c r="B3" t="s">
        <v>52</v>
      </c>
      <c r="C3" t="s">
        <v>53</v>
      </c>
      <c r="D3" s="9">
        <v>6.29</v>
      </c>
      <c r="E3">
        <v>0</v>
      </c>
    </row>
    <row r="4" spans="1:5" x14ac:dyDescent="0.25">
      <c r="A4">
        <v>24001341</v>
      </c>
      <c r="B4" t="s">
        <v>58</v>
      </c>
      <c r="C4" t="s">
        <v>59</v>
      </c>
      <c r="D4" s="9">
        <v>0</v>
      </c>
      <c r="E4">
        <v>0</v>
      </c>
    </row>
    <row r="5" spans="1:5" x14ac:dyDescent="0.25">
      <c r="A5">
        <v>24000320</v>
      </c>
      <c r="B5" t="s">
        <v>74</v>
      </c>
      <c r="C5" t="s">
        <v>75</v>
      </c>
      <c r="D5" s="9">
        <v>6.86</v>
      </c>
      <c r="E5">
        <v>0</v>
      </c>
    </row>
    <row r="6" spans="1:5" x14ac:dyDescent="0.25">
      <c r="A6">
        <v>20233164</v>
      </c>
      <c r="B6" t="s">
        <v>85</v>
      </c>
      <c r="C6" t="s">
        <v>82</v>
      </c>
      <c r="D6" s="9">
        <v>0</v>
      </c>
      <c r="E6">
        <v>0</v>
      </c>
    </row>
    <row r="7" spans="1:5" x14ac:dyDescent="0.25">
      <c r="A7">
        <v>24000144</v>
      </c>
      <c r="B7" t="s">
        <v>81</v>
      </c>
      <c r="C7" t="s">
        <v>97</v>
      </c>
      <c r="D7" s="9">
        <v>0</v>
      </c>
      <c r="E7">
        <v>0</v>
      </c>
    </row>
    <row r="8" spans="1:5" x14ac:dyDescent="0.25">
      <c r="A8">
        <v>24000164</v>
      </c>
      <c r="B8" t="s">
        <v>113</v>
      </c>
      <c r="C8" t="s">
        <v>104</v>
      </c>
      <c r="D8" s="9">
        <v>0</v>
      </c>
      <c r="E8">
        <v>0</v>
      </c>
    </row>
    <row r="9" spans="1:5" x14ac:dyDescent="0.25">
      <c r="A9">
        <v>24000359</v>
      </c>
      <c r="B9" t="s">
        <v>123</v>
      </c>
      <c r="C9" t="s">
        <v>120</v>
      </c>
      <c r="D9" s="9">
        <v>5.7200000000000006</v>
      </c>
      <c r="E9">
        <v>0</v>
      </c>
    </row>
    <row r="10" spans="1:5" x14ac:dyDescent="0.25">
      <c r="A10">
        <v>24004311</v>
      </c>
      <c r="B10" t="s">
        <v>147</v>
      </c>
      <c r="C10" t="s">
        <v>148</v>
      </c>
      <c r="D10" s="9">
        <v>0</v>
      </c>
      <c r="E10">
        <v>0</v>
      </c>
    </row>
    <row r="11" spans="1:5" x14ac:dyDescent="0.25">
      <c r="A11">
        <v>20223179</v>
      </c>
      <c r="B11" t="s">
        <v>184</v>
      </c>
      <c r="C11" t="s">
        <v>185</v>
      </c>
      <c r="D11" s="9">
        <v>0</v>
      </c>
      <c r="E11">
        <v>0</v>
      </c>
    </row>
    <row r="12" spans="1:5" x14ac:dyDescent="0.25">
      <c r="A12">
        <v>24000085</v>
      </c>
      <c r="B12" t="s">
        <v>193</v>
      </c>
      <c r="C12" t="s">
        <v>194</v>
      </c>
      <c r="D12" s="9">
        <v>0</v>
      </c>
      <c r="E12">
        <v>0</v>
      </c>
    </row>
    <row r="13" spans="1:5" x14ac:dyDescent="0.25">
      <c r="A13">
        <v>24004299</v>
      </c>
      <c r="B13" t="s">
        <v>219</v>
      </c>
      <c r="C13" t="s">
        <v>220</v>
      </c>
      <c r="D13" s="9">
        <v>5.15</v>
      </c>
      <c r="E13">
        <v>0</v>
      </c>
    </row>
    <row r="14" spans="1:5" x14ac:dyDescent="0.25">
      <c r="A14">
        <v>24000203</v>
      </c>
      <c r="B14" t="s">
        <v>81</v>
      </c>
      <c r="C14" t="s">
        <v>238</v>
      </c>
      <c r="D14" s="9">
        <v>0</v>
      </c>
      <c r="E14">
        <v>0</v>
      </c>
    </row>
    <row r="15" spans="1:5" x14ac:dyDescent="0.25">
      <c r="A15">
        <v>24000031</v>
      </c>
      <c r="B15" t="s">
        <v>254</v>
      </c>
      <c r="C15" t="s">
        <v>251</v>
      </c>
      <c r="D15" s="9">
        <v>5.7200000000000006</v>
      </c>
      <c r="E15">
        <v>0</v>
      </c>
    </row>
    <row r="16" spans="1:5" x14ac:dyDescent="0.25">
      <c r="A16">
        <v>24000059</v>
      </c>
      <c r="B16" t="s">
        <v>31</v>
      </c>
      <c r="C16" t="s">
        <v>22</v>
      </c>
      <c r="D16" s="9">
        <v>8</v>
      </c>
      <c r="E16">
        <v>3</v>
      </c>
    </row>
    <row r="17" spans="1:5" x14ac:dyDescent="0.25">
      <c r="A17">
        <v>24000113</v>
      </c>
      <c r="B17" t="s">
        <v>36</v>
      </c>
      <c r="C17" t="s">
        <v>37</v>
      </c>
      <c r="D17" s="9">
        <v>8</v>
      </c>
      <c r="E17">
        <v>3</v>
      </c>
    </row>
    <row r="18" spans="1:5" x14ac:dyDescent="0.25">
      <c r="A18">
        <v>24000211</v>
      </c>
      <c r="B18" t="s">
        <v>48</v>
      </c>
      <c r="C18" t="s">
        <v>49</v>
      </c>
      <c r="D18" s="9">
        <v>6.86</v>
      </c>
      <c r="E18">
        <v>3</v>
      </c>
    </row>
    <row r="19" spans="1:5" x14ac:dyDescent="0.25">
      <c r="A19">
        <v>24000462</v>
      </c>
      <c r="B19" t="s">
        <v>81</v>
      </c>
      <c r="C19" t="s">
        <v>82</v>
      </c>
      <c r="D19" s="9">
        <v>7.43</v>
      </c>
      <c r="E19">
        <v>3</v>
      </c>
    </row>
    <row r="20" spans="1:5" x14ac:dyDescent="0.25">
      <c r="A20">
        <v>20213201</v>
      </c>
      <c r="B20" t="s">
        <v>93</v>
      </c>
      <c r="C20" t="s">
        <v>90</v>
      </c>
      <c r="D20" s="9">
        <v>5.7200000000000006</v>
      </c>
      <c r="E20">
        <v>3</v>
      </c>
    </row>
    <row r="21" spans="1:5" x14ac:dyDescent="0.25">
      <c r="A21">
        <v>24000392</v>
      </c>
      <c r="B21" t="s">
        <v>71</v>
      </c>
      <c r="C21" t="s">
        <v>100</v>
      </c>
      <c r="D21" s="9">
        <v>6.86</v>
      </c>
      <c r="E21">
        <v>3</v>
      </c>
    </row>
    <row r="22" spans="1:5" x14ac:dyDescent="0.25">
      <c r="A22">
        <v>24000275</v>
      </c>
      <c r="B22" t="s">
        <v>103</v>
      </c>
      <c r="C22" t="s">
        <v>104</v>
      </c>
      <c r="D22" s="9">
        <v>6.86</v>
      </c>
      <c r="E22">
        <v>3</v>
      </c>
    </row>
    <row r="23" spans="1:5" x14ac:dyDescent="0.25">
      <c r="A23">
        <v>20213738</v>
      </c>
      <c r="B23" t="s">
        <v>134</v>
      </c>
      <c r="C23" t="s">
        <v>131</v>
      </c>
      <c r="D23" s="9">
        <v>5.7200000000000006</v>
      </c>
      <c r="E23">
        <v>3</v>
      </c>
    </row>
    <row r="24" spans="1:5" x14ac:dyDescent="0.25">
      <c r="A24">
        <v>24000340</v>
      </c>
      <c r="B24" t="s">
        <v>138</v>
      </c>
      <c r="C24" t="s">
        <v>131</v>
      </c>
      <c r="D24" s="9">
        <v>8</v>
      </c>
      <c r="E24">
        <v>3</v>
      </c>
    </row>
    <row r="25" spans="1:5" x14ac:dyDescent="0.25">
      <c r="A25">
        <v>24000184</v>
      </c>
      <c r="B25" t="s">
        <v>144</v>
      </c>
      <c r="C25" t="s">
        <v>131</v>
      </c>
      <c r="D25" s="9">
        <v>7.43</v>
      </c>
      <c r="E25">
        <v>3</v>
      </c>
    </row>
    <row r="26" spans="1:5" x14ac:dyDescent="0.25">
      <c r="A26">
        <v>24000390</v>
      </c>
      <c r="B26" t="s">
        <v>154</v>
      </c>
      <c r="C26" t="s">
        <v>155</v>
      </c>
      <c r="D26" s="9">
        <v>4.58</v>
      </c>
      <c r="E26">
        <v>3</v>
      </c>
    </row>
    <row r="27" spans="1:5" x14ac:dyDescent="0.25">
      <c r="A27">
        <v>24000239</v>
      </c>
      <c r="B27" t="s">
        <v>161</v>
      </c>
      <c r="C27" t="s">
        <v>155</v>
      </c>
      <c r="D27" s="9">
        <v>8</v>
      </c>
      <c r="E27">
        <v>3</v>
      </c>
    </row>
    <row r="28" spans="1:5" x14ac:dyDescent="0.25">
      <c r="A28">
        <v>24000039</v>
      </c>
      <c r="B28" t="s">
        <v>164</v>
      </c>
      <c r="C28" t="s">
        <v>165</v>
      </c>
      <c r="D28" s="9">
        <v>6.29</v>
      </c>
      <c r="E28">
        <v>3</v>
      </c>
    </row>
    <row r="29" spans="1:5" x14ac:dyDescent="0.25">
      <c r="A29">
        <v>24000266</v>
      </c>
      <c r="B29" t="s">
        <v>197</v>
      </c>
      <c r="C29" t="s">
        <v>194</v>
      </c>
      <c r="D29" s="9">
        <v>7.43</v>
      </c>
      <c r="E29">
        <v>3</v>
      </c>
    </row>
    <row r="30" spans="1:5" x14ac:dyDescent="0.25">
      <c r="A30">
        <v>24004327</v>
      </c>
      <c r="B30" t="s">
        <v>227</v>
      </c>
      <c r="C30" t="s">
        <v>224</v>
      </c>
      <c r="D30" s="9">
        <v>7.43</v>
      </c>
      <c r="E30">
        <v>3</v>
      </c>
    </row>
    <row r="31" spans="1:5" x14ac:dyDescent="0.25">
      <c r="A31">
        <v>24000360</v>
      </c>
      <c r="B31" t="s">
        <v>85</v>
      </c>
      <c r="C31" t="s">
        <v>230</v>
      </c>
      <c r="D31" s="9">
        <v>7.43</v>
      </c>
      <c r="E31">
        <v>3</v>
      </c>
    </row>
    <row r="32" spans="1:5" x14ac:dyDescent="0.25">
      <c r="A32">
        <v>24000078</v>
      </c>
      <c r="B32" t="s">
        <v>116</v>
      </c>
      <c r="C32" t="s">
        <v>104</v>
      </c>
      <c r="D32" s="9">
        <v>5</v>
      </c>
      <c r="E32">
        <v>4</v>
      </c>
    </row>
    <row r="33" spans="1:5" x14ac:dyDescent="0.25">
      <c r="A33">
        <v>24001517</v>
      </c>
      <c r="B33" t="s">
        <v>119</v>
      </c>
      <c r="C33" t="s">
        <v>120</v>
      </c>
      <c r="D33" s="9">
        <v>6.86</v>
      </c>
      <c r="E33">
        <v>4</v>
      </c>
    </row>
    <row r="34" spans="1:5" x14ac:dyDescent="0.25">
      <c r="A34">
        <v>24000091</v>
      </c>
      <c r="B34" t="s">
        <v>126</v>
      </c>
      <c r="C34" t="s">
        <v>127</v>
      </c>
      <c r="D34" s="9">
        <v>6.86</v>
      </c>
      <c r="E34">
        <v>4</v>
      </c>
    </row>
    <row r="35" spans="1:5" x14ac:dyDescent="0.25">
      <c r="A35">
        <v>24000264</v>
      </c>
      <c r="B35" t="s">
        <v>130</v>
      </c>
      <c r="C35" t="s">
        <v>131</v>
      </c>
      <c r="D35" s="9">
        <v>7.43</v>
      </c>
      <c r="E35">
        <v>4</v>
      </c>
    </row>
    <row r="36" spans="1:5" x14ac:dyDescent="0.25">
      <c r="A36">
        <v>24000456</v>
      </c>
      <c r="B36" t="s">
        <v>189</v>
      </c>
      <c r="C36" t="s">
        <v>190</v>
      </c>
      <c r="D36" s="9">
        <v>7.43</v>
      </c>
      <c r="E36">
        <v>4</v>
      </c>
    </row>
    <row r="37" spans="1:5" x14ac:dyDescent="0.25">
      <c r="A37">
        <v>24000309</v>
      </c>
      <c r="B37" t="s">
        <v>200</v>
      </c>
      <c r="C37" t="s">
        <v>194</v>
      </c>
      <c r="D37" s="9">
        <v>5.7200000000000006</v>
      </c>
      <c r="E37">
        <v>4</v>
      </c>
    </row>
    <row r="38" spans="1:5" x14ac:dyDescent="0.25">
      <c r="A38">
        <v>24000342</v>
      </c>
      <c r="B38" t="s">
        <v>215</v>
      </c>
      <c r="C38" t="s">
        <v>216</v>
      </c>
      <c r="D38" s="9">
        <v>6.29</v>
      </c>
      <c r="E38">
        <v>4</v>
      </c>
    </row>
    <row r="39" spans="1:5" x14ac:dyDescent="0.25">
      <c r="A39">
        <v>24004303</v>
      </c>
      <c r="B39" t="s">
        <v>223</v>
      </c>
      <c r="C39" t="s">
        <v>224</v>
      </c>
      <c r="D39" s="9">
        <v>6.29</v>
      </c>
      <c r="E39">
        <v>4</v>
      </c>
    </row>
    <row r="40" spans="1:5" x14ac:dyDescent="0.25">
      <c r="A40">
        <v>24000230</v>
      </c>
      <c r="B40" t="s">
        <v>256</v>
      </c>
      <c r="C40" t="s">
        <v>257</v>
      </c>
      <c r="D40" s="9">
        <v>7.43</v>
      </c>
      <c r="E40">
        <v>4</v>
      </c>
    </row>
    <row r="41" spans="1:5" x14ac:dyDescent="0.25">
      <c r="A41">
        <v>24000474</v>
      </c>
      <c r="B41" t="s">
        <v>44</v>
      </c>
      <c r="C41" t="s">
        <v>45</v>
      </c>
      <c r="D41" s="9">
        <v>7.43</v>
      </c>
      <c r="E41">
        <v>5</v>
      </c>
    </row>
    <row r="42" spans="1:5" x14ac:dyDescent="0.25">
      <c r="A42">
        <v>24000104</v>
      </c>
      <c r="B42" t="s">
        <v>52</v>
      </c>
      <c r="C42" t="s">
        <v>53</v>
      </c>
      <c r="D42" s="9">
        <v>8</v>
      </c>
      <c r="E42">
        <v>5</v>
      </c>
    </row>
    <row r="43" spans="1:5" x14ac:dyDescent="0.25">
      <c r="A43">
        <v>20223839</v>
      </c>
      <c r="B43" t="s">
        <v>66</v>
      </c>
      <c r="C43" t="s">
        <v>67</v>
      </c>
      <c r="D43" s="9">
        <v>5.7200000000000006</v>
      </c>
      <c r="E43">
        <v>5</v>
      </c>
    </row>
    <row r="44" spans="1:5" x14ac:dyDescent="0.25">
      <c r="A44">
        <v>24000407</v>
      </c>
      <c r="B44" t="s">
        <v>89</v>
      </c>
      <c r="C44" t="s">
        <v>90</v>
      </c>
      <c r="D44" s="9">
        <v>6.29</v>
      </c>
      <c r="E44">
        <v>5</v>
      </c>
    </row>
    <row r="45" spans="1:5" x14ac:dyDescent="0.25">
      <c r="A45">
        <v>24000430</v>
      </c>
      <c r="B45" t="s">
        <v>168</v>
      </c>
      <c r="C45" t="s">
        <v>169</v>
      </c>
      <c r="D45" s="9">
        <v>7.43</v>
      </c>
      <c r="E45">
        <v>5</v>
      </c>
    </row>
    <row r="46" spans="1:5" x14ac:dyDescent="0.25">
      <c r="A46">
        <v>24001520</v>
      </c>
      <c r="B46" t="s">
        <v>207</v>
      </c>
      <c r="C46" t="s">
        <v>208</v>
      </c>
      <c r="D46" s="9">
        <v>5.7200000000000006</v>
      </c>
      <c r="E46">
        <v>5</v>
      </c>
    </row>
    <row r="47" spans="1:5" x14ac:dyDescent="0.25">
      <c r="A47">
        <v>20223673</v>
      </c>
      <c r="B47" t="s">
        <v>193</v>
      </c>
      <c r="C47" t="s">
        <v>251</v>
      </c>
      <c r="D47" s="9">
        <v>7.304444444444445</v>
      </c>
      <c r="E47">
        <v>5</v>
      </c>
    </row>
    <row r="48" spans="1:5" x14ac:dyDescent="0.25">
      <c r="A48">
        <v>24000465</v>
      </c>
      <c r="B48" t="s">
        <v>40</v>
      </c>
      <c r="C48" t="s">
        <v>41</v>
      </c>
      <c r="D48" s="9">
        <v>7.652222222222222</v>
      </c>
      <c r="E48">
        <v>6</v>
      </c>
    </row>
    <row r="49" spans="1:5" x14ac:dyDescent="0.25">
      <c r="A49">
        <v>24000669</v>
      </c>
      <c r="B49" t="s">
        <v>71</v>
      </c>
      <c r="C49" t="s">
        <v>67</v>
      </c>
      <c r="D49" s="9">
        <v>6.7344444444444447</v>
      </c>
      <c r="E49">
        <v>6</v>
      </c>
    </row>
    <row r="50" spans="1:5" x14ac:dyDescent="0.25">
      <c r="A50">
        <v>24000009</v>
      </c>
      <c r="B50" t="s">
        <v>48</v>
      </c>
      <c r="C50" t="s">
        <v>78</v>
      </c>
      <c r="D50" s="9">
        <v>6.7344444444444447</v>
      </c>
      <c r="E50">
        <v>6</v>
      </c>
    </row>
    <row r="51" spans="1:5" x14ac:dyDescent="0.25">
      <c r="A51">
        <v>24000299</v>
      </c>
      <c r="B51" t="s">
        <v>107</v>
      </c>
      <c r="C51" t="s">
        <v>104</v>
      </c>
      <c r="D51" s="9">
        <v>6.5122222222222224</v>
      </c>
      <c r="E51">
        <v>6</v>
      </c>
    </row>
    <row r="52" spans="1:5" x14ac:dyDescent="0.25">
      <c r="A52">
        <v>24000224</v>
      </c>
      <c r="B52" t="s">
        <v>110</v>
      </c>
      <c r="C52" t="s">
        <v>104</v>
      </c>
      <c r="D52" s="9">
        <v>6.1644444444444453</v>
      </c>
      <c r="E52">
        <v>6</v>
      </c>
    </row>
    <row r="53" spans="1:5" x14ac:dyDescent="0.25">
      <c r="A53">
        <v>24000254</v>
      </c>
      <c r="B53" t="s">
        <v>176</v>
      </c>
      <c r="C53" t="s">
        <v>177</v>
      </c>
      <c r="D53" s="9">
        <v>7.652222222222222</v>
      </c>
      <c r="E53">
        <v>6</v>
      </c>
    </row>
    <row r="54" spans="1:5" x14ac:dyDescent="0.25">
      <c r="A54">
        <v>24000123</v>
      </c>
      <c r="B54" t="s">
        <v>62</v>
      </c>
      <c r="C54" t="s">
        <v>63</v>
      </c>
      <c r="D54" s="9">
        <v>8.6666666666666661</v>
      </c>
      <c r="E54">
        <v>6</v>
      </c>
    </row>
    <row r="55" spans="1:5" x14ac:dyDescent="0.25">
      <c r="A55">
        <v>24000261</v>
      </c>
      <c r="B55" t="s">
        <v>151</v>
      </c>
      <c r="C55" t="s">
        <v>148</v>
      </c>
      <c r="D55" s="9">
        <v>6.86</v>
      </c>
      <c r="E55">
        <v>6</v>
      </c>
    </row>
    <row r="56" spans="1:5" x14ac:dyDescent="0.25">
      <c r="A56">
        <v>20231025</v>
      </c>
      <c r="B56" t="s">
        <v>172</v>
      </c>
      <c r="C56" t="s">
        <v>169</v>
      </c>
      <c r="D56" s="9">
        <v>5.7200000000000006</v>
      </c>
      <c r="E56">
        <v>6</v>
      </c>
    </row>
    <row r="57" spans="1:5" x14ac:dyDescent="0.25">
      <c r="A57">
        <v>24000365</v>
      </c>
      <c r="B57" t="s">
        <v>203</v>
      </c>
      <c r="C57" t="s">
        <v>204</v>
      </c>
      <c r="D57" s="9">
        <v>6.86</v>
      </c>
      <c r="E57">
        <v>6</v>
      </c>
    </row>
    <row r="58" spans="1:5" x14ac:dyDescent="0.25">
      <c r="A58">
        <v>20223899</v>
      </c>
      <c r="B58" t="s">
        <v>244</v>
      </c>
      <c r="C58" t="s">
        <v>245</v>
      </c>
      <c r="D58" s="9">
        <v>6.29</v>
      </c>
      <c r="E58">
        <v>6</v>
      </c>
    </row>
    <row r="59" spans="1:5" x14ac:dyDescent="0.25">
      <c r="A59">
        <v>20211933</v>
      </c>
      <c r="B59" t="s">
        <v>21</v>
      </c>
      <c r="C59" t="s">
        <v>22</v>
      </c>
      <c r="D59" s="9">
        <v>9.7777777777777786</v>
      </c>
      <c r="E59">
        <v>7</v>
      </c>
    </row>
    <row r="60" spans="1:5" x14ac:dyDescent="0.25">
      <c r="A60">
        <v>24000168</v>
      </c>
      <c r="B60" t="s">
        <v>158</v>
      </c>
      <c r="C60" t="s">
        <v>155</v>
      </c>
      <c r="D60" s="9">
        <v>8.0966666666666658</v>
      </c>
      <c r="E60">
        <v>7</v>
      </c>
    </row>
    <row r="61" spans="1:5" x14ac:dyDescent="0.25">
      <c r="A61">
        <v>24000126</v>
      </c>
      <c r="B61" t="s">
        <v>141</v>
      </c>
      <c r="C61" t="s">
        <v>131</v>
      </c>
      <c r="D61" s="9">
        <v>6.86</v>
      </c>
      <c r="E61">
        <v>8</v>
      </c>
    </row>
    <row r="62" spans="1:5" x14ac:dyDescent="0.25">
      <c r="A62">
        <v>24000003</v>
      </c>
      <c r="B62" t="s">
        <v>211</v>
      </c>
      <c r="C62" t="s">
        <v>212</v>
      </c>
      <c r="D62" s="9">
        <v>7.304444444444445</v>
      </c>
      <c r="E62">
        <v>8</v>
      </c>
    </row>
    <row r="63" spans="1:5" x14ac:dyDescent="0.25">
      <c r="A63">
        <v>20223723</v>
      </c>
      <c r="B63" t="s">
        <v>233</v>
      </c>
      <c r="C63" t="s">
        <v>234</v>
      </c>
      <c r="D63" s="9">
        <v>8</v>
      </c>
      <c r="E63">
        <v>8.5</v>
      </c>
    </row>
    <row r="64" spans="1:5" x14ac:dyDescent="0.25">
      <c r="A64">
        <v>24000263</v>
      </c>
      <c r="B64" t="s">
        <v>244</v>
      </c>
      <c r="C64" t="s">
        <v>245</v>
      </c>
      <c r="D64" s="9">
        <v>6.86</v>
      </c>
      <c r="E64">
        <v>8.5</v>
      </c>
    </row>
    <row r="65" spans="1:5" x14ac:dyDescent="0.25">
      <c r="A65">
        <v>24000017</v>
      </c>
      <c r="B65" t="s">
        <v>180</v>
      </c>
      <c r="C65" t="s">
        <v>181</v>
      </c>
      <c r="D65" s="9">
        <v>8.318888888888889</v>
      </c>
      <c r="E65">
        <v>9</v>
      </c>
    </row>
    <row r="66" spans="1:5" x14ac:dyDescent="0.25">
      <c r="A66">
        <v>24000422</v>
      </c>
      <c r="B66" t="s">
        <v>240</v>
      </c>
      <c r="C66" t="s">
        <v>241</v>
      </c>
      <c r="D66" s="9">
        <v>10</v>
      </c>
      <c r="E66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tblNhapDiem_0_0_67_18_1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modified xsi:type="dcterms:W3CDTF">2026-05-03T06:39:11Z</dcterms:modified>
</cp:coreProperties>
</file>