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Trường Công nghệ Đông Á\Các Môn học Giảng dạy\Kỹ năng đàm phán\Điểm\"/>
    </mc:Choice>
  </mc:AlternateContent>
  <xr:revisionPtr revIDLastSave="0" documentId="13_ncr:1_{EC579E72-1652-4416-AF38-D3E93039B7D8}" xr6:coauthVersionLast="47" xr6:coauthVersionMax="47" xr10:uidLastSave="{00000000-0000-0000-0000-000000000000}"/>
  <bookViews>
    <workbookView xWindow="-50" yWindow="-50" windowWidth="19300" windowHeight="10440" xr2:uid="{00000000-000D-0000-FFFF-FFFF00000000}"/>
  </bookViews>
  <sheets>
    <sheet name="tblNhapDiem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3" i="1"/>
</calcChain>
</file>

<file path=xl/sharedStrings.xml><?xml version="1.0" encoding="utf-8"?>
<sst xmlns="http://schemas.openxmlformats.org/spreadsheetml/2006/main" count="1060" uniqueCount="255">
  <si>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</si>
  <si>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</si>
  <si>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</si>
  <si>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</si>
  <si>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</si>
  <si>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</si>
  <si>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</si>
  <si>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</si>
  <si>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</si>
  <si>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KNĐP.12.K15.03.LH.C02.1_LT.1_TH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</si>
  <si>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</si>
  <si>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</si>
  <si>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</si>
  <si>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</si>
  <si>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</si>
  <si>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</si>
  <si>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</si>
  <si>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</si>
  <si>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</si>
  <si>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</si>
  <si>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</si>
  <si>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Cấn Thị Vân</t>
  </si>
  <si>
    <t>Anh</t>
  </si>
  <si>
    <t>21/05/2006</t>
  </si>
  <si>
    <t>DCQT.15.3</t>
  </si>
  <si>
    <t/>
  </si>
  <si>
    <t>2</t>
  </si>
  <si>
    <t>Đỗ Hà</t>
  </si>
  <si>
    <t>26/11/2006</t>
  </si>
  <si>
    <t>3</t>
  </si>
  <si>
    <t>Phạm Hồng</t>
  </si>
  <si>
    <t>09/09/2006</t>
  </si>
  <si>
    <t>4</t>
  </si>
  <si>
    <t>Quách Thị Phương</t>
  </si>
  <si>
    <t>03/12/2005</t>
  </si>
  <si>
    <t>5</t>
  </si>
  <si>
    <t>Trần Duy</t>
  </si>
  <si>
    <t>22/08/2006</t>
  </si>
  <si>
    <t>6</t>
  </si>
  <si>
    <t>Trần Quỳnh</t>
  </si>
  <si>
    <t>17/07/2006</t>
  </si>
  <si>
    <t>7</t>
  </si>
  <si>
    <t>Vũ Đức</t>
  </si>
  <si>
    <t>09/08/2006</t>
  </si>
  <si>
    <t>8</t>
  </si>
  <si>
    <t>Nguyễn Xuân</t>
  </si>
  <si>
    <t>Bảo</t>
  </si>
  <si>
    <t>20/11/2006</t>
  </si>
  <si>
    <t>9</t>
  </si>
  <si>
    <t>Ninh Hoàng</t>
  </si>
  <si>
    <t>06/10/2006</t>
  </si>
  <si>
    <t>10</t>
  </si>
  <si>
    <t>Nguyễn Thùy</t>
  </si>
  <si>
    <t>Chang</t>
  </si>
  <si>
    <t>10/09/2006</t>
  </si>
  <si>
    <t>11</t>
  </si>
  <si>
    <t>Nguyễn Văn</t>
  </si>
  <si>
    <t>Chiến</t>
  </si>
  <si>
    <t>24/07/2006</t>
  </si>
  <si>
    <t>12</t>
  </si>
  <si>
    <t>Lại Văn</t>
  </si>
  <si>
    <t>Chinh</t>
  </si>
  <si>
    <t>12/02/2006</t>
  </si>
  <si>
    <t>13</t>
  </si>
  <si>
    <t>Ngô Hữu</t>
  </si>
  <si>
    <t>Dân</t>
  </si>
  <si>
    <t>23/02/2006</t>
  </si>
  <si>
    <t>DCQT.15.4</t>
  </si>
  <si>
    <t>14</t>
  </si>
  <si>
    <t>Trần Quang</t>
  </si>
  <si>
    <t>Doanh</t>
  </si>
  <si>
    <t>27/12/2006</t>
  </si>
  <si>
    <t>15</t>
  </si>
  <si>
    <t>Đỗ Thị</t>
  </si>
  <si>
    <t>Dung</t>
  </si>
  <si>
    <t>24/03/2006</t>
  </si>
  <si>
    <t>16</t>
  </si>
  <si>
    <t>Phạm Đình</t>
  </si>
  <si>
    <t>Duy</t>
  </si>
  <si>
    <t>25/07/2006</t>
  </si>
  <si>
    <t>17</t>
  </si>
  <si>
    <t>Nguyễn Tiến</t>
  </si>
  <si>
    <t>Dương</t>
  </si>
  <si>
    <t>20/09/2006</t>
  </si>
  <si>
    <t>18</t>
  </si>
  <si>
    <t>Doanh Thành</t>
  </si>
  <si>
    <t>Đạt</t>
  </si>
  <si>
    <t>28/07/2006</t>
  </si>
  <si>
    <t>19</t>
  </si>
  <si>
    <t>Hoàng Hải</t>
  </si>
  <si>
    <t>Đăng</t>
  </si>
  <si>
    <t>26/10/2006</t>
  </si>
  <si>
    <t>20</t>
  </si>
  <si>
    <t>Trần Văn</t>
  </si>
  <si>
    <t>Đô</t>
  </si>
  <si>
    <t>17/05/2006</t>
  </si>
  <si>
    <t>21</t>
  </si>
  <si>
    <t>Nguyễn Minh</t>
  </si>
  <si>
    <t>Đức</t>
  </si>
  <si>
    <t>22/10/2006</t>
  </si>
  <si>
    <t>22</t>
  </si>
  <si>
    <t>Trần Trường</t>
  </si>
  <si>
    <t>Giang</t>
  </si>
  <si>
    <t>29/03/2005</t>
  </si>
  <si>
    <t>23</t>
  </si>
  <si>
    <t>Phan Thị</t>
  </si>
  <si>
    <t>Hà</t>
  </si>
  <si>
    <t>27/05/2006</t>
  </si>
  <si>
    <t>24</t>
  </si>
  <si>
    <t>Phùng Chúc</t>
  </si>
  <si>
    <t>Hân</t>
  </si>
  <si>
    <t>28/06/2006</t>
  </si>
  <si>
    <t>25</t>
  </si>
  <si>
    <t>Đỗ Thanh</t>
  </si>
  <si>
    <t>Hoa</t>
  </si>
  <si>
    <t>31/01/2006</t>
  </si>
  <si>
    <t>26</t>
  </si>
  <si>
    <t>Dương Thu</t>
  </si>
  <si>
    <t>Hoài</t>
  </si>
  <si>
    <t>02/05/2006</t>
  </si>
  <si>
    <t>27</t>
  </si>
  <si>
    <t>Trần Huy</t>
  </si>
  <si>
    <t>Hoàng</t>
  </si>
  <si>
    <t>02/10/2006</t>
  </si>
  <si>
    <t>28</t>
  </si>
  <si>
    <t>Vũ Việt</t>
  </si>
  <si>
    <t>Hùng</t>
  </si>
  <si>
    <t>09/03/2006</t>
  </si>
  <si>
    <t>29</t>
  </si>
  <si>
    <t>Hàn Thị</t>
  </si>
  <si>
    <t>Huyền</t>
  </si>
  <si>
    <t>13/12/2006</t>
  </si>
  <si>
    <t>30</t>
  </si>
  <si>
    <t>Nguyễn Thị</t>
  </si>
  <si>
    <t>05/12/2006</t>
  </si>
  <si>
    <t>31</t>
  </si>
  <si>
    <t>Trần Quốc</t>
  </si>
  <si>
    <t>Hưng</t>
  </si>
  <si>
    <t>18/02/2006</t>
  </si>
  <si>
    <t>32</t>
  </si>
  <si>
    <t>Phạm Thanh</t>
  </si>
  <si>
    <t>Hường</t>
  </si>
  <si>
    <t>02/11/2006</t>
  </si>
  <si>
    <t>33</t>
  </si>
  <si>
    <t>Tống Xuân</t>
  </si>
  <si>
    <t>Khang</t>
  </si>
  <si>
    <t>05/01/2006</t>
  </si>
  <si>
    <t>34</t>
  </si>
  <si>
    <t>Đỗ Duy</t>
  </si>
  <si>
    <t>Khánh</t>
  </si>
  <si>
    <t>02/01/2006</t>
  </si>
  <si>
    <t>35</t>
  </si>
  <si>
    <t>Hoàng Duy</t>
  </si>
  <si>
    <t>09/07/2006</t>
  </si>
  <si>
    <t>36</t>
  </si>
  <si>
    <t>Lan</t>
  </si>
  <si>
    <t>21/04/2006</t>
  </si>
  <si>
    <t>37</t>
  </si>
  <si>
    <t>23/08/2006</t>
  </si>
  <si>
    <t>38</t>
  </si>
  <si>
    <t>Nguyễn Thị Ngọc</t>
  </si>
  <si>
    <t>27/10/2006</t>
  </si>
  <si>
    <t>39</t>
  </si>
  <si>
    <t>Nguyễn Thị Khánh</t>
  </si>
  <si>
    <t>Linh</t>
  </si>
  <si>
    <t>21/12/2006</t>
  </si>
  <si>
    <t>40</t>
  </si>
  <si>
    <t>Phạm Thùy</t>
  </si>
  <si>
    <t>15/09/2006</t>
  </si>
  <si>
    <t>41</t>
  </si>
  <si>
    <t>Phan Thế</t>
  </si>
  <si>
    <t>Lực</t>
  </si>
  <si>
    <t>42</t>
  </si>
  <si>
    <t>Nguyễn Thanh</t>
  </si>
  <si>
    <t>Mai</t>
  </si>
  <si>
    <t>09/02/2006</t>
  </si>
  <si>
    <t>43</t>
  </si>
  <si>
    <t>Trần Thị Quỳnh</t>
  </si>
  <si>
    <t>25/02/2006</t>
  </si>
  <si>
    <t>44</t>
  </si>
  <si>
    <t>Phạm Nguyễn Nguyệt</t>
  </si>
  <si>
    <t>Minh</t>
  </si>
  <si>
    <t>45</t>
  </si>
  <si>
    <t>Nguyễn Thị Hồng</t>
  </si>
  <si>
    <t>Ngọc</t>
  </si>
  <si>
    <t>14/08/2006</t>
  </si>
  <si>
    <t>46</t>
  </si>
  <si>
    <t>Nguyễn Khôi</t>
  </si>
  <si>
    <t>Nguyên</t>
  </si>
  <si>
    <t>21/06/2006</t>
  </si>
  <si>
    <t>47</t>
  </si>
  <si>
    <t>Nguyễn Thành</t>
  </si>
  <si>
    <t>03/03/2005</t>
  </si>
  <si>
    <t>48</t>
  </si>
  <si>
    <t>Bùi Thanh</t>
  </si>
  <si>
    <t>Nhàn</t>
  </si>
  <si>
    <t>02/04/2006</t>
  </si>
  <si>
    <t>49</t>
  </si>
  <si>
    <t>Chu Thiện</t>
  </si>
  <si>
    <t>Nhân</t>
  </si>
  <si>
    <t>29/08/2006</t>
  </si>
  <si>
    <t>50</t>
  </si>
  <si>
    <t>Nguyễn Đức</t>
  </si>
  <si>
    <t>Phong</t>
  </si>
  <si>
    <t>11/11/2006</t>
  </si>
  <si>
    <t>51</t>
  </si>
  <si>
    <t>23/01/2005</t>
  </si>
  <si>
    <t>52</t>
  </si>
  <si>
    <t>Hồ Lệ</t>
  </si>
  <si>
    <t>Quyên</t>
  </si>
  <si>
    <t>53</t>
  </si>
  <si>
    <t>Tô Thị</t>
  </si>
  <si>
    <t>21/09/2006</t>
  </si>
  <si>
    <t>54</t>
  </si>
  <si>
    <t>Sĩ</t>
  </si>
  <si>
    <t>01/03/2006</t>
  </si>
  <si>
    <t>55</t>
  </si>
  <si>
    <t>Tâm</t>
  </si>
  <si>
    <t>18/06/2006</t>
  </si>
  <si>
    <t>56</t>
  </si>
  <si>
    <t>Đặng Thị Thanh</t>
  </si>
  <si>
    <t>Thảo</t>
  </si>
  <si>
    <t>05/10/2006</t>
  </si>
  <si>
    <t>57</t>
  </si>
  <si>
    <t>Nguyễn Triệu</t>
  </si>
  <si>
    <t>Thiên</t>
  </si>
  <si>
    <t>18/11/2006</t>
  </si>
  <si>
    <t>58</t>
  </si>
  <si>
    <t>Mai Thị</t>
  </si>
  <si>
    <t>Thơm</t>
  </si>
  <si>
    <t>16/02/2006</t>
  </si>
  <si>
    <t>59</t>
  </si>
  <si>
    <t>Bùi Thị Thanh</t>
  </si>
  <si>
    <t>Thuý</t>
  </si>
  <si>
    <t>22/12/2006</t>
  </si>
  <si>
    <t>60</t>
  </si>
  <si>
    <t>Thúy</t>
  </si>
  <si>
    <t>03/08/2006</t>
  </si>
  <si>
    <t>61</t>
  </si>
  <si>
    <t>Bùi Thùy</t>
  </si>
  <si>
    <t>Trang</t>
  </si>
  <si>
    <t>25/06/2006</t>
  </si>
  <si>
    <t>62</t>
  </si>
  <si>
    <t>Nguyễn Thị Huyền</t>
  </si>
  <si>
    <t>63</t>
  </si>
  <si>
    <t>Tươi</t>
  </si>
  <si>
    <t>04/04/2006</t>
  </si>
  <si>
    <t>64</t>
  </si>
  <si>
    <t>Nguyễn Cẩm</t>
  </si>
  <si>
    <t>Vân</t>
  </si>
  <si>
    <t>23/04/2006</t>
  </si>
  <si>
    <t>65</t>
  </si>
  <si>
    <t>Nguyễn Thị Như</t>
  </si>
  <si>
    <t>Ý</t>
  </si>
  <si>
    <t>15/10/2006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</si>
</sst>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Tr&#432;&#7901;ng%20C&#244;ng%20ngh&#7879;%20&#272;&#244;ng%20&#193;\C&#225;c%20M&#244;n%20h&#7885;c%20Gi&#7843;ng%20d&#7841;y\K&#7929;%20n&#259;ng%20&#273;&#224;m%20ph&#225;n\&#272;i&#7875;m\&#272;i&#7875;m%20QT%203%20l&#7899;p.xlsx" TargetMode="External"/><Relationship Id="rId1" Type="http://schemas.openxmlformats.org/officeDocument/2006/relationships/externalLinkPath" Target="&#272;i&#7875;m%20QT%203%20l&#7899;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 1"/>
      <sheetName val="ca 2"/>
      <sheetName val="ca3"/>
      <sheetName val="Ca 3- Nhóm"/>
      <sheetName val="Ca 2- Nhóm"/>
      <sheetName val="Ca 1- Nhóm"/>
    </sheetNames>
    <sheetDataSet>
      <sheetData sheetId="0"/>
      <sheetData sheetId="1"/>
      <sheetData sheetId="2">
        <row r="2">
          <cell r="D2">
            <v>24002800</v>
          </cell>
          <cell r="E2" t="str">
            <v>Cấn Thị Vân Anh</v>
          </cell>
          <cell r="F2"/>
          <cell r="G2">
            <v>2.3333333333333335</v>
          </cell>
          <cell r="H2"/>
          <cell r="I2">
            <v>2.3333333333333335</v>
          </cell>
          <cell r="J2">
            <v>4</v>
          </cell>
          <cell r="K2"/>
          <cell r="L2">
            <v>4</v>
          </cell>
          <cell r="M2"/>
          <cell r="N2">
            <v>6.5517241379310338</v>
          </cell>
          <cell r="O2">
            <v>9</v>
          </cell>
          <cell r="P2"/>
          <cell r="Q2">
            <v>7.6499999999999995</v>
          </cell>
          <cell r="R2">
            <v>7.6499999999999995</v>
          </cell>
          <cell r="S2"/>
          <cell r="T2"/>
          <cell r="U2">
            <v>8.5245901639344268</v>
          </cell>
          <cell r="V2"/>
          <cell r="W2">
            <v>5.856542882404951</v>
          </cell>
          <cell r="X2">
            <v>7.5</v>
          </cell>
        </row>
        <row r="3">
          <cell r="D3">
            <v>24003132</v>
          </cell>
          <cell r="E3" t="str">
            <v>Đỗ Hà Anh</v>
          </cell>
          <cell r="F3"/>
          <cell r="G3">
            <v>1.6666666666666665</v>
          </cell>
          <cell r="H3"/>
          <cell r="I3">
            <v>1.6666666666666665</v>
          </cell>
          <cell r="J3">
            <v>5.2444444444444445</v>
          </cell>
          <cell r="K3"/>
          <cell r="L3">
            <v>5.2444444444444445</v>
          </cell>
          <cell r="M3"/>
          <cell r="N3">
            <v>4.8275862068965516</v>
          </cell>
          <cell r="O3">
            <v>8</v>
          </cell>
          <cell r="P3"/>
          <cell r="Q3">
            <v>7.883333333333332</v>
          </cell>
          <cell r="R3">
            <v>7.883333333333332</v>
          </cell>
          <cell r="S3"/>
          <cell r="T3"/>
          <cell r="U3">
            <v>8.1967213114754092</v>
          </cell>
          <cell r="V3"/>
          <cell r="W3">
            <v>6.1640878278809321</v>
          </cell>
          <cell r="X3">
            <v>10</v>
          </cell>
        </row>
        <row r="4">
          <cell r="D4">
            <v>24002678</v>
          </cell>
          <cell r="E4" t="str">
            <v>Phạm Hồng Anh</v>
          </cell>
          <cell r="F4">
            <v>1</v>
          </cell>
          <cell r="G4">
            <v>5.6666666666666661</v>
          </cell>
          <cell r="H4"/>
          <cell r="I4">
            <v>6.6666666666666661</v>
          </cell>
          <cell r="J4">
            <v>7</v>
          </cell>
          <cell r="K4"/>
          <cell r="L4">
            <v>7</v>
          </cell>
          <cell r="M4"/>
          <cell r="N4">
            <v>3.7931034482758621</v>
          </cell>
          <cell r="O4">
            <v>10</v>
          </cell>
          <cell r="P4"/>
          <cell r="Q4">
            <v>7.9</v>
          </cell>
          <cell r="R4">
            <v>7.9</v>
          </cell>
          <cell r="S4"/>
          <cell r="T4"/>
          <cell r="U4">
            <v>7.3770491803278686</v>
          </cell>
          <cell r="V4"/>
          <cell r="W4">
            <v>7.304597701149425</v>
          </cell>
          <cell r="X4">
            <v>10</v>
          </cell>
        </row>
        <row r="5">
          <cell r="D5">
            <v>24003051</v>
          </cell>
          <cell r="E5" t="str">
            <v>Quách Thị Phương Anh</v>
          </cell>
          <cell r="F5"/>
          <cell r="G5">
            <v>2.3333333333333335</v>
          </cell>
          <cell r="H5"/>
          <cell r="I5">
            <v>2.3333333333333335</v>
          </cell>
          <cell r="J5">
            <v>4</v>
          </cell>
          <cell r="K5"/>
          <cell r="L5">
            <v>4</v>
          </cell>
          <cell r="M5"/>
          <cell r="N5">
            <v>6.5517241379310338</v>
          </cell>
          <cell r="O5">
            <v>9</v>
          </cell>
          <cell r="P5"/>
          <cell r="Q5">
            <v>7.6499999999999995</v>
          </cell>
          <cell r="R5">
            <v>7.6499999999999995</v>
          </cell>
          <cell r="S5"/>
          <cell r="T5"/>
          <cell r="U5">
            <v>8.0327868852459012</v>
          </cell>
          <cell r="V5"/>
          <cell r="W5">
            <v>5.856542882404951</v>
          </cell>
          <cell r="X5">
            <v>10</v>
          </cell>
        </row>
        <row r="6">
          <cell r="D6">
            <v>24002668</v>
          </cell>
          <cell r="E6" t="str">
            <v>Trần Duy Anh</v>
          </cell>
          <cell r="F6"/>
          <cell r="G6">
            <v>5.6666666666666661</v>
          </cell>
          <cell r="H6"/>
          <cell r="I6">
            <v>5.6666666666666661</v>
          </cell>
          <cell r="J6">
            <v>7</v>
          </cell>
          <cell r="K6"/>
          <cell r="L6">
            <v>7</v>
          </cell>
          <cell r="M6"/>
          <cell r="N6">
            <v>3.7931034482758621</v>
          </cell>
          <cell r="O6">
            <v>10</v>
          </cell>
          <cell r="P6"/>
          <cell r="Q6">
            <v>7.866666666666668</v>
          </cell>
          <cell r="R6">
            <v>7.866666666666668</v>
          </cell>
          <cell r="S6"/>
          <cell r="T6"/>
          <cell r="U6">
            <v>7.8688524590163933</v>
          </cell>
          <cell r="V6"/>
          <cell r="W6">
            <v>7.2148541114058364</v>
          </cell>
          <cell r="X6">
            <v>9.5</v>
          </cell>
        </row>
        <row r="7">
          <cell r="D7">
            <v>24002930</v>
          </cell>
          <cell r="E7" t="str">
            <v>Trần Quỳnh Anh</v>
          </cell>
          <cell r="F7"/>
          <cell r="G7">
            <v>1.6666666666666665</v>
          </cell>
          <cell r="H7"/>
          <cell r="I7">
            <v>1.6666666666666665</v>
          </cell>
          <cell r="J7">
            <v>4.5888888888888895</v>
          </cell>
          <cell r="K7"/>
          <cell r="L7">
            <v>5</v>
          </cell>
          <cell r="M7"/>
          <cell r="N7">
            <v>4.8275862068965516</v>
          </cell>
          <cell r="O7">
            <v>8</v>
          </cell>
          <cell r="P7"/>
          <cell r="Q7">
            <v>7.883333333333332</v>
          </cell>
          <cell r="R7">
            <v>7.883333333333332</v>
          </cell>
          <cell r="S7"/>
          <cell r="T7"/>
          <cell r="U7">
            <v>8.3606557377049189</v>
          </cell>
          <cell r="V7"/>
          <cell r="W7">
            <v>6.0700707338638376</v>
          </cell>
          <cell r="X7">
            <v>10</v>
          </cell>
        </row>
        <row r="8">
          <cell r="D8">
            <v>24003049</v>
          </cell>
          <cell r="E8" t="str">
            <v>Vũ Đức Anh</v>
          </cell>
          <cell r="F8"/>
          <cell r="G8">
            <v>2.3333333333333335</v>
          </cell>
          <cell r="H8"/>
          <cell r="I8">
            <v>2.3333333333333335</v>
          </cell>
          <cell r="J8">
            <v>4</v>
          </cell>
          <cell r="K8"/>
          <cell r="L8">
            <v>5</v>
          </cell>
          <cell r="M8"/>
          <cell r="N8">
            <v>6.5517241379310338</v>
          </cell>
          <cell r="O8">
            <v>9</v>
          </cell>
          <cell r="P8"/>
          <cell r="Q8">
            <v>7.6499999999999995</v>
          </cell>
          <cell r="R8">
            <v>7.6499999999999995</v>
          </cell>
          <cell r="S8"/>
          <cell r="T8"/>
          <cell r="U8">
            <v>9.6721311475409841</v>
          </cell>
          <cell r="V8"/>
          <cell r="W8">
            <v>6.2411582670203352</v>
          </cell>
          <cell r="X8">
            <v>8</v>
          </cell>
        </row>
        <row r="9">
          <cell r="D9">
            <v>24002825</v>
          </cell>
          <cell r="E9" t="str">
            <v>Nguyễn Xuân Bảo</v>
          </cell>
          <cell r="F9"/>
          <cell r="G9">
            <v>1.6666666666666665</v>
          </cell>
          <cell r="H9"/>
          <cell r="I9">
            <v>1.6666666666666665</v>
          </cell>
          <cell r="J9">
            <v>4.5888888888888895</v>
          </cell>
          <cell r="K9"/>
          <cell r="L9">
            <v>5</v>
          </cell>
          <cell r="M9"/>
          <cell r="N9">
            <v>4.8275862068965516</v>
          </cell>
          <cell r="O9">
            <v>8</v>
          </cell>
          <cell r="P9"/>
          <cell r="Q9">
            <v>7.883333333333332</v>
          </cell>
          <cell r="R9">
            <v>7.883333333333332</v>
          </cell>
          <cell r="S9"/>
          <cell r="T9"/>
          <cell r="U9">
            <v>9.8360655737704921</v>
          </cell>
          <cell r="V9"/>
          <cell r="W9">
            <v>6.0700707338638376</v>
          </cell>
          <cell r="X9">
            <v>8</v>
          </cell>
        </row>
        <row r="10">
          <cell r="D10">
            <v>24003004</v>
          </cell>
          <cell r="E10" t="str">
            <v>Ninh Hoàng Bảo</v>
          </cell>
          <cell r="F10"/>
          <cell r="G10">
            <v>7.666666666666667</v>
          </cell>
          <cell r="H10"/>
          <cell r="I10">
            <v>7.666666666666667</v>
          </cell>
          <cell r="J10">
            <v>7</v>
          </cell>
          <cell r="K10">
            <v>2</v>
          </cell>
          <cell r="L10">
            <v>9</v>
          </cell>
          <cell r="M10"/>
          <cell r="N10">
            <v>5.8620689655172411</v>
          </cell>
          <cell r="O10">
            <v>7</v>
          </cell>
          <cell r="P10">
            <v>1</v>
          </cell>
          <cell r="Q10">
            <v>8.75</v>
          </cell>
          <cell r="R10">
            <v>9.75</v>
          </cell>
          <cell r="S10"/>
          <cell r="T10"/>
          <cell r="U10">
            <v>7.0491803278688527</v>
          </cell>
          <cell r="V10"/>
          <cell r="W10">
            <v>8.7906719717064554</v>
          </cell>
          <cell r="X10">
            <v>9</v>
          </cell>
        </row>
        <row r="11">
          <cell r="D11">
            <v>24003115</v>
          </cell>
          <cell r="E11" t="str">
            <v>Nguyễn Thùy Chang</v>
          </cell>
          <cell r="F11"/>
          <cell r="G11">
            <v>5.6666666666666661</v>
          </cell>
          <cell r="H11"/>
          <cell r="I11">
            <v>5.6666666666666661</v>
          </cell>
          <cell r="J11">
            <v>7</v>
          </cell>
          <cell r="K11"/>
          <cell r="L11">
            <v>7</v>
          </cell>
          <cell r="M11"/>
          <cell r="N11">
            <v>3.7931034482758621</v>
          </cell>
          <cell r="O11">
            <v>10</v>
          </cell>
          <cell r="P11"/>
          <cell r="Q11">
            <v>7.866666666666668</v>
          </cell>
          <cell r="R11">
            <v>7.866666666666668</v>
          </cell>
          <cell r="S11"/>
          <cell r="T11"/>
          <cell r="U11">
            <v>9.5081967213114762</v>
          </cell>
          <cell r="V11"/>
          <cell r="W11">
            <v>7.2148541114058364</v>
          </cell>
          <cell r="X11">
            <v>10</v>
          </cell>
        </row>
        <row r="12">
          <cell r="D12">
            <v>24002879</v>
          </cell>
          <cell r="E12" t="str">
            <v>Nguyễn Văn Chiến</v>
          </cell>
          <cell r="F12"/>
          <cell r="G12">
            <v>5.6666666666666661</v>
          </cell>
          <cell r="H12"/>
          <cell r="I12">
            <v>5.6666666666666661</v>
          </cell>
          <cell r="J12">
            <v>7</v>
          </cell>
          <cell r="K12"/>
          <cell r="L12">
            <v>7</v>
          </cell>
          <cell r="M12"/>
          <cell r="N12">
            <v>3.7931034482758621</v>
          </cell>
          <cell r="O12">
            <v>10</v>
          </cell>
          <cell r="P12">
            <v>1</v>
          </cell>
          <cell r="Q12">
            <v>7.866666666666668</v>
          </cell>
          <cell r="R12">
            <v>8.8666666666666671</v>
          </cell>
          <cell r="S12"/>
          <cell r="T12"/>
          <cell r="U12">
            <v>10</v>
          </cell>
          <cell r="V12"/>
          <cell r="W12">
            <v>7.5994694960212206</v>
          </cell>
          <cell r="X12">
            <v>10</v>
          </cell>
        </row>
        <row r="13">
          <cell r="D13">
            <v>24002720</v>
          </cell>
          <cell r="E13" t="str">
            <v>Lại Văn Chinh</v>
          </cell>
          <cell r="F13"/>
          <cell r="G13">
            <v>6</v>
          </cell>
          <cell r="H13"/>
          <cell r="I13">
            <v>6</v>
          </cell>
          <cell r="J13">
            <v>6.6000000000000005</v>
          </cell>
          <cell r="K13"/>
          <cell r="L13">
            <v>6.6000000000000005</v>
          </cell>
          <cell r="M13"/>
          <cell r="N13">
            <v>5.5172413793103452</v>
          </cell>
          <cell r="O13">
            <v>5</v>
          </cell>
          <cell r="P13"/>
          <cell r="Q13">
            <v>7.866666666666668</v>
          </cell>
          <cell r="R13">
            <v>7.866666666666668</v>
          </cell>
          <cell r="S13"/>
          <cell r="T13"/>
          <cell r="U13">
            <v>9.6721311475409841</v>
          </cell>
          <cell r="V13"/>
          <cell r="W13">
            <v>6.8346595932802838</v>
          </cell>
          <cell r="X13">
            <v>10</v>
          </cell>
        </row>
        <row r="14">
          <cell r="D14">
            <v>24003430</v>
          </cell>
          <cell r="E14" t="str">
            <v>Ngô Hữu Dân</v>
          </cell>
          <cell r="F14"/>
          <cell r="G14">
            <v>8</v>
          </cell>
          <cell r="H14"/>
          <cell r="I14">
            <v>8</v>
          </cell>
          <cell r="J14">
            <v>6.3000000000000007</v>
          </cell>
          <cell r="K14"/>
          <cell r="L14">
            <v>6.3000000000000007</v>
          </cell>
          <cell r="M14"/>
          <cell r="N14">
            <v>5.5172413793103452</v>
          </cell>
          <cell r="O14">
            <v>6</v>
          </cell>
          <cell r="P14"/>
          <cell r="Q14">
            <v>7.833333333333333</v>
          </cell>
          <cell r="R14">
            <v>7.833333333333333</v>
          </cell>
          <cell r="S14"/>
          <cell r="T14"/>
          <cell r="U14">
            <v>9.6721311475409841</v>
          </cell>
          <cell r="V14"/>
          <cell r="W14">
            <v>6.937223695844386</v>
          </cell>
          <cell r="X14">
            <v>9</v>
          </cell>
        </row>
        <row r="15">
          <cell r="D15">
            <v>24002784</v>
          </cell>
          <cell r="E15" t="str">
            <v>Trần Quang Doanh</v>
          </cell>
          <cell r="F15"/>
          <cell r="G15">
            <v>7.666666666666667</v>
          </cell>
          <cell r="H15"/>
          <cell r="I15">
            <v>7.666666666666667</v>
          </cell>
          <cell r="J15">
            <v>7</v>
          </cell>
          <cell r="K15">
            <v>2</v>
          </cell>
          <cell r="L15">
            <v>9</v>
          </cell>
          <cell r="M15"/>
          <cell r="N15">
            <v>5.8620689655172411</v>
          </cell>
          <cell r="O15">
            <v>7</v>
          </cell>
          <cell r="P15">
            <v>1</v>
          </cell>
          <cell r="Q15">
            <v>8.75</v>
          </cell>
          <cell r="R15">
            <v>9.75</v>
          </cell>
          <cell r="S15"/>
          <cell r="T15"/>
          <cell r="U15">
            <v>9.5081967213114762</v>
          </cell>
          <cell r="V15"/>
          <cell r="W15">
            <v>8.7906719717064554</v>
          </cell>
          <cell r="X15">
            <v>10</v>
          </cell>
        </row>
        <row r="16">
          <cell r="D16">
            <v>24003008</v>
          </cell>
          <cell r="E16" t="str">
            <v>Đỗ Thị Dung</v>
          </cell>
          <cell r="F16"/>
          <cell r="G16">
            <v>7.666666666666667</v>
          </cell>
          <cell r="H16">
            <v>1</v>
          </cell>
          <cell r="I16">
            <v>8.6666666666666679</v>
          </cell>
          <cell r="J16">
            <v>7</v>
          </cell>
          <cell r="K16">
            <v>1</v>
          </cell>
          <cell r="L16">
            <v>8</v>
          </cell>
          <cell r="M16">
            <v>1</v>
          </cell>
          <cell r="N16">
            <v>7</v>
          </cell>
          <cell r="O16">
            <v>7</v>
          </cell>
          <cell r="P16">
            <v>1</v>
          </cell>
          <cell r="Q16">
            <v>8.75</v>
          </cell>
          <cell r="R16">
            <v>9.75</v>
          </cell>
          <cell r="S16"/>
          <cell r="T16"/>
          <cell r="U16">
            <v>9.8360655737704921</v>
          </cell>
          <cell r="V16"/>
          <cell r="W16">
            <v>8.5705128205128212</v>
          </cell>
          <cell r="X16">
            <v>10</v>
          </cell>
        </row>
        <row r="17">
          <cell r="D17">
            <v>24002580</v>
          </cell>
          <cell r="E17" t="str">
            <v>Phạm Đình Duy</v>
          </cell>
          <cell r="F17"/>
          <cell r="G17">
            <v>8</v>
          </cell>
          <cell r="H17">
            <v>1</v>
          </cell>
          <cell r="I17">
            <v>9</v>
          </cell>
          <cell r="J17">
            <v>6.3000000000000007</v>
          </cell>
          <cell r="K17"/>
          <cell r="L17">
            <v>6.5</v>
          </cell>
          <cell r="M17"/>
          <cell r="N17">
            <v>5.5172413793103452</v>
          </cell>
          <cell r="O17">
            <v>6</v>
          </cell>
          <cell r="P17"/>
          <cell r="Q17">
            <v>7.833333333333333</v>
          </cell>
          <cell r="R17">
            <v>7.833333333333333</v>
          </cell>
          <cell r="S17"/>
          <cell r="T17"/>
          <cell r="U17">
            <v>9.5081967213114762</v>
          </cell>
          <cell r="V17"/>
          <cell r="W17">
            <v>7.0910698496905393</v>
          </cell>
          <cell r="X17">
            <v>10</v>
          </cell>
        </row>
        <row r="18">
          <cell r="D18">
            <v>24003057</v>
          </cell>
          <cell r="E18" t="str">
            <v>Nguyễn Tiến Dương</v>
          </cell>
          <cell r="F18"/>
          <cell r="G18">
            <v>2.3333333333333335</v>
          </cell>
          <cell r="H18"/>
          <cell r="I18">
            <v>2.3333333333333335</v>
          </cell>
          <cell r="J18">
            <v>4</v>
          </cell>
          <cell r="K18"/>
          <cell r="L18">
            <v>5</v>
          </cell>
          <cell r="M18">
            <v>0.5</v>
          </cell>
          <cell r="N18">
            <v>6.5517241379310338</v>
          </cell>
          <cell r="O18">
            <v>9</v>
          </cell>
          <cell r="P18"/>
          <cell r="Q18">
            <v>7.6499999999999995</v>
          </cell>
          <cell r="R18">
            <v>7.6499999999999995</v>
          </cell>
          <cell r="S18"/>
          <cell r="T18"/>
          <cell r="U18">
            <v>9.5081967213114762</v>
          </cell>
          <cell r="V18"/>
          <cell r="W18">
            <v>6.2411582670203352</v>
          </cell>
          <cell r="X18">
            <v>10</v>
          </cell>
        </row>
        <row r="19">
          <cell r="D19">
            <v>24002206</v>
          </cell>
          <cell r="E19" t="str">
            <v>Doanh Thành Đạt</v>
          </cell>
          <cell r="F19"/>
          <cell r="G19">
            <v>2.3333333333333335</v>
          </cell>
          <cell r="H19">
            <v>-1</v>
          </cell>
          <cell r="I19">
            <v>1.3333333333333335</v>
          </cell>
          <cell r="J19">
            <v>4</v>
          </cell>
          <cell r="K19"/>
          <cell r="L19">
            <v>5</v>
          </cell>
          <cell r="M19"/>
          <cell r="N19">
            <v>6.5517241379310338</v>
          </cell>
          <cell r="O19">
            <v>9</v>
          </cell>
          <cell r="P19"/>
          <cell r="Q19">
            <v>7.6499999999999995</v>
          </cell>
          <cell r="R19">
            <v>7.6499999999999995</v>
          </cell>
          <cell r="S19"/>
          <cell r="T19"/>
          <cell r="U19">
            <v>6.557377049180328</v>
          </cell>
          <cell r="V19"/>
          <cell r="W19">
            <v>6.1642351900972585</v>
          </cell>
          <cell r="X19">
            <v>9</v>
          </cell>
        </row>
        <row r="20">
          <cell r="D20">
            <v>24001981</v>
          </cell>
          <cell r="E20" t="str">
            <v>Hoàng Hải Đăng</v>
          </cell>
          <cell r="F20"/>
          <cell r="G20">
            <v>2.3333333333333335</v>
          </cell>
          <cell r="H20"/>
          <cell r="I20">
            <v>2.3333333333333335</v>
          </cell>
          <cell r="J20">
            <v>4</v>
          </cell>
          <cell r="K20"/>
          <cell r="L20">
            <v>4</v>
          </cell>
          <cell r="M20"/>
          <cell r="N20">
            <v>6.5517241379310338</v>
          </cell>
          <cell r="O20">
            <v>9</v>
          </cell>
          <cell r="P20"/>
          <cell r="Q20">
            <v>0</v>
          </cell>
          <cell r="R20">
            <v>3</v>
          </cell>
          <cell r="S20"/>
          <cell r="T20"/>
          <cell r="U20">
            <v>9.8360655737704921</v>
          </cell>
          <cell r="V20"/>
          <cell r="W20">
            <v>4.0680813439434127</v>
          </cell>
          <cell r="X20">
            <v>7.5</v>
          </cell>
        </row>
        <row r="21">
          <cell r="D21">
            <v>24002611</v>
          </cell>
          <cell r="E21" t="str">
            <v>Trần Văn Đô</v>
          </cell>
          <cell r="F21"/>
          <cell r="G21">
            <v>1.6666666666666665</v>
          </cell>
          <cell r="H21">
            <v>1</v>
          </cell>
          <cell r="I21">
            <v>2.6666666666666665</v>
          </cell>
          <cell r="J21">
            <v>5.9</v>
          </cell>
          <cell r="K21">
            <v>0.5</v>
          </cell>
          <cell r="L21">
            <v>6.7</v>
          </cell>
          <cell r="M21"/>
          <cell r="N21">
            <v>4.8275862068965516</v>
          </cell>
          <cell r="O21">
            <v>8</v>
          </cell>
          <cell r="P21"/>
          <cell r="Q21">
            <v>7.883333333333332</v>
          </cell>
          <cell r="R21">
            <v>7.883333333333332</v>
          </cell>
          <cell r="S21"/>
          <cell r="T21"/>
          <cell r="U21">
            <v>9.6721311475409841</v>
          </cell>
          <cell r="V21"/>
          <cell r="W21">
            <v>6.8008399646330684</v>
          </cell>
          <cell r="X21">
            <v>10</v>
          </cell>
        </row>
        <row r="22">
          <cell r="D22">
            <v>24003117</v>
          </cell>
          <cell r="E22" t="str">
            <v>Nguyễn Minh Đức</v>
          </cell>
          <cell r="F22" t="str">
            <v>vm</v>
          </cell>
          <cell r="G22">
            <v>8</v>
          </cell>
          <cell r="H22"/>
          <cell r="I22">
            <v>8</v>
          </cell>
          <cell r="J22">
            <v>6.3000000000000007</v>
          </cell>
          <cell r="K22"/>
          <cell r="L22">
            <v>6.3000000000000007</v>
          </cell>
          <cell r="M22"/>
          <cell r="N22">
            <v>5.5172413793103452</v>
          </cell>
          <cell r="O22">
            <v>6</v>
          </cell>
          <cell r="P22"/>
          <cell r="Q22">
            <v>7.833333333333333</v>
          </cell>
          <cell r="R22">
            <v>7.833333333333333</v>
          </cell>
          <cell r="S22"/>
          <cell r="T22"/>
          <cell r="U22" t="e">
            <v>#N/A</v>
          </cell>
          <cell r="V22"/>
          <cell r="W22">
            <v>6.937223695844386</v>
          </cell>
          <cell r="X22">
            <v>6</v>
          </cell>
        </row>
        <row r="23">
          <cell r="D23">
            <v>24002979</v>
          </cell>
          <cell r="E23" t="str">
            <v>Trần Trường Giang</v>
          </cell>
          <cell r="F23"/>
          <cell r="G23">
            <v>6</v>
          </cell>
          <cell r="H23"/>
          <cell r="I23">
            <v>6</v>
          </cell>
          <cell r="J23">
            <v>6.6000000000000005</v>
          </cell>
          <cell r="K23"/>
          <cell r="L23">
            <v>6.6000000000000005</v>
          </cell>
          <cell r="M23"/>
          <cell r="N23">
            <v>5.5172413793103452</v>
          </cell>
          <cell r="O23">
            <v>5</v>
          </cell>
          <cell r="P23"/>
          <cell r="Q23">
            <v>7.866666666666668</v>
          </cell>
          <cell r="R23">
            <v>7.866666666666668</v>
          </cell>
          <cell r="S23"/>
          <cell r="T23"/>
          <cell r="U23">
            <v>9.6721311475409841</v>
          </cell>
          <cell r="V23"/>
          <cell r="W23">
            <v>6.8346595932802838</v>
          </cell>
          <cell r="X23">
            <v>9.5</v>
          </cell>
        </row>
        <row r="24">
          <cell r="D24">
            <v>24002839</v>
          </cell>
          <cell r="E24" t="str">
            <v>Phan Thị Hà</v>
          </cell>
          <cell r="F24"/>
          <cell r="G24">
            <v>5.6666666666666661</v>
          </cell>
          <cell r="H24"/>
          <cell r="I24">
            <v>5.6666666666666661</v>
          </cell>
          <cell r="J24">
            <v>7</v>
          </cell>
          <cell r="K24"/>
          <cell r="L24">
            <v>7</v>
          </cell>
          <cell r="M24"/>
          <cell r="N24">
            <v>3.7931034482758621</v>
          </cell>
          <cell r="O24">
            <v>10</v>
          </cell>
          <cell r="P24"/>
          <cell r="Q24">
            <v>7.866666666666668</v>
          </cell>
          <cell r="R24">
            <v>7.866666666666668</v>
          </cell>
          <cell r="S24"/>
          <cell r="T24"/>
          <cell r="U24">
            <v>9.0163934426229506</v>
          </cell>
          <cell r="V24"/>
          <cell r="W24">
            <v>7.2148541114058364</v>
          </cell>
          <cell r="X24">
            <v>10</v>
          </cell>
        </row>
        <row r="25">
          <cell r="D25">
            <v>24002636</v>
          </cell>
          <cell r="E25" t="str">
            <v>Phùng Chúc Hân</v>
          </cell>
          <cell r="F25"/>
          <cell r="G25">
            <v>7.666666666666667</v>
          </cell>
          <cell r="H25"/>
          <cell r="I25">
            <v>7.666666666666667</v>
          </cell>
          <cell r="J25">
            <v>7</v>
          </cell>
          <cell r="K25"/>
          <cell r="L25">
            <v>7</v>
          </cell>
          <cell r="M25"/>
          <cell r="N25">
            <v>7</v>
          </cell>
          <cell r="O25">
            <v>7</v>
          </cell>
          <cell r="P25"/>
          <cell r="Q25">
            <v>8.75</v>
          </cell>
          <cell r="R25">
            <v>8.75</v>
          </cell>
          <cell r="S25"/>
          <cell r="T25"/>
          <cell r="U25">
            <v>9.6721311475409841</v>
          </cell>
          <cell r="V25"/>
          <cell r="W25">
            <v>7.7243589743589745</v>
          </cell>
          <cell r="X25">
            <v>10</v>
          </cell>
        </row>
        <row r="26">
          <cell r="D26">
            <v>24002820</v>
          </cell>
          <cell r="E26" t="str">
            <v>Đỗ Thanh Hoa</v>
          </cell>
          <cell r="F26">
            <v>1</v>
          </cell>
          <cell r="G26">
            <v>1.6666666666666665</v>
          </cell>
          <cell r="H26"/>
          <cell r="I26">
            <v>2.6666666666666665</v>
          </cell>
          <cell r="J26">
            <v>5.2444444444444445</v>
          </cell>
          <cell r="K26"/>
          <cell r="L26">
            <v>6</v>
          </cell>
          <cell r="M26"/>
          <cell r="N26">
            <v>4.8275862068965516</v>
          </cell>
          <cell r="O26">
            <v>8</v>
          </cell>
          <cell r="P26"/>
          <cell r="Q26">
            <v>7.883333333333332</v>
          </cell>
          <cell r="R26">
            <v>7.883333333333332</v>
          </cell>
          <cell r="S26"/>
          <cell r="T26"/>
          <cell r="U26">
            <v>9.6721311475409841</v>
          </cell>
          <cell r="V26"/>
          <cell r="W26">
            <v>6.5316091954022983</v>
          </cell>
          <cell r="X26">
            <v>10</v>
          </cell>
        </row>
        <row r="27">
          <cell r="D27">
            <v>24002683</v>
          </cell>
          <cell r="E27" t="str">
            <v>Dương Thu Hoài</v>
          </cell>
          <cell r="F27"/>
          <cell r="G27">
            <v>1.6666666666666665</v>
          </cell>
          <cell r="H27"/>
          <cell r="I27">
            <v>1.6666666666666665</v>
          </cell>
          <cell r="J27">
            <v>4.5888888888888895</v>
          </cell>
          <cell r="K27"/>
          <cell r="L27">
            <v>4.5888888888888895</v>
          </cell>
          <cell r="M27"/>
          <cell r="N27">
            <v>4.8275862068965516</v>
          </cell>
          <cell r="O27">
            <v>8</v>
          </cell>
          <cell r="P27"/>
          <cell r="Q27">
            <v>7.883333333333332</v>
          </cell>
          <cell r="R27">
            <v>7.883333333333332</v>
          </cell>
          <cell r="S27"/>
          <cell r="T27"/>
          <cell r="U27">
            <v>9.5081967213114762</v>
          </cell>
          <cell r="V27"/>
          <cell r="W27">
            <v>5.9119510757441791</v>
          </cell>
          <cell r="X27">
            <v>10</v>
          </cell>
        </row>
        <row r="28">
          <cell r="D28">
            <v>24002240</v>
          </cell>
          <cell r="E28" t="str">
            <v>Trần Huy Hoàng</v>
          </cell>
          <cell r="F28"/>
          <cell r="G28">
            <v>8</v>
          </cell>
          <cell r="H28"/>
          <cell r="I28">
            <v>8</v>
          </cell>
          <cell r="J28">
            <v>6.3000000000000007</v>
          </cell>
          <cell r="K28">
            <v>1</v>
          </cell>
          <cell r="L28">
            <v>7.5</v>
          </cell>
          <cell r="M28"/>
          <cell r="N28">
            <v>5.5172413793103452</v>
          </cell>
          <cell r="O28">
            <v>6</v>
          </cell>
          <cell r="P28"/>
          <cell r="Q28">
            <v>7.833333333333333</v>
          </cell>
          <cell r="R28">
            <v>7.833333333333333</v>
          </cell>
          <cell r="S28"/>
          <cell r="T28"/>
          <cell r="U28">
            <v>9.6721311475409841</v>
          </cell>
          <cell r="V28"/>
          <cell r="W28">
            <v>7.3987621573828468</v>
          </cell>
          <cell r="X28">
            <v>8.5</v>
          </cell>
        </row>
        <row r="29">
          <cell r="D29">
            <v>24003328</v>
          </cell>
          <cell r="E29" t="str">
            <v>Vũ Việt Hùng</v>
          </cell>
          <cell r="F29" t="str">
            <v>vm</v>
          </cell>
          <cell r="G29">
            <v>8</v>
          </cell>
          <cell r="H29"/>
          <cell r="I29">
            <v>8</v>
          </cell>
          <cell r="J29">
            <v>6.3000000000000007</v>
          </cell>
          <cell r="K29"/>
          <cell r="L29">
            <v>6.5</v>
          </cell>
          <cell r="M29"/>
          <cell r="N29">
            <v>5.5172413793103452</v>
          </cell>
          <cell r="O29">
            <v>6</v>
          </cell>
          <cell r="P29"/>
          <cell r="Q29">
            <v>7.833333333333333</v>
          </cell>
          <cell r="R29">
            <v>7.833333333333333</v>
          </cell>
          <cell r="S29"/>
          <cell r="T29"/>
          <cell r="U29">
            <v>8.8524590163934427</v>
          </cell>
          <cell r="V29"/>
          <cell r="W29">
            <v>7.0141467727674618</v>
          </cell>
          <cell r="X29">
            <v>9</v>
          </cell>
        </row>
        <row r="30">
          <cell r="D30">
            <v>24002974</v>
          </cell>
          <cell r="E30" t="str">
            <v>Hàn Thị Huyền</v>
          </cell>
          <cell r="F30"/>
          <cell r="G30">
            <v>5.6666666666666661</v>
          </cell>
          <cell r="H30"/>
          <cell r="I30">
            <v>5.6666666666666661</v>
          </cell>
          <cell r="J30">
            <v>7</v>
          </cell>
          <cell r="K30"/>
          <cell r="L30">
            <v>7</v>
          </cell>
          <cell r="M30"/>
          <cell r="N30">
            <v>3.7931034482758621</v>
          </cell>
          <cell r="O30">
            <v>10</v>
          </cell>
          <cell r="P30"/>
          <cell r="Q30">
            <v>7.866666666666668</v>
          </cell>
          <cell r="R30">
            <v>7.866666666666668</v>
          </cell>
          <cell r="S30"/>
          <cell r="T30"/>
          <cell r="U30">
            <v>9.6721311475409841</v>
          </cell>
          <cell r="V30"/>
          <cell r="W30">
            <v>7.2148541114058364</v>
          </cell>
          <cell r="X30">
            <v>9</v>
          </cell>
        </row>
        <row r="31">
          <cell r="D31">
            <v>24002457</v>
          </cell>
          <cell r="E31" t="str">
            <v>Nguyễn Thị Huyền</v>
          </cell>
          <cell r="F31"/>
          <cell r="G31">
            <v>8</v>
          </cell>
          <cell r="H31"/>
          <cell r="I31">
            <v>8</v>
          </cell>
          <cell r="J31">
            <v>6.3000000000000007</v>
          </cell>
          <cell r="K31"/>
          <cell r="L31">
            <v>6.5</v>
          </cell>
          <cell r="M31"/>
          <cell r="N31">
            <v>5.5172413793103452</v>
          </cell>
          <cell r="O31">
            <v>6</v>
          </cell>
          <cell r="P31"/>
          <cell r="Q31">
            <v>7.833333333333333</v>
          </cell>
          <cell r="R31">
            <v>7.833333333333333</v>
          </cell>
          <cell r="S31"/>
          <cell r="T31"/>
          <cell r="U31">
            <v>9.3442622950819665</v>
          </cell>
          <cell r="V31"/>
          <cell r="W31">
            <v>7.0141467727674618</v>
          </cell>
          <cell r="X31">
            <v>10</v>
          </cell>
        </row>
        <row r="32">
          <cell r="D32">
            <v>24002579</v>
          </cell>
          <cell r="E32" t="str">
            <v>Trần Quốc Hưng</v>
          </cell>
          <cell r="F32"/>
          <cell r="G32">
            <v>7.666666666666667</v>
          </cell>
          <cell r="H32"/>
          <cell r="I32">
            <v>7.666666666666667</v>
          </cell>
          <cell r="J32">
            <v>7</v>
          </cell>
          <cell r="K32"/>
          <cell r="L32">
            <v>7</v>
          </cell>
          <cell r="M32"/>
          <cell r="N32">
            <v>5.8620689655172411</v>
          </cell>
          <cell r="O32">
            <v>7</v>
          </cell>
          <cell r="P32"/>
          <cell r="Q32">
            <v>7.7777777777777777</v>
          </cell>
          <cell r="R32">
            <v>7.7777777777777777</v>
          </cell>
          <cell r="S32"/>
          <cell r="T32"/>
          <cell r="U32">
            <v>9.6721311475409841</v>
          </cell>
          <cell r="V32"/>
          <cell r="W32">
            <v>7.2628941939286769</v>
          </cell>
          <cell r="X32">
            <v>10</v>
          </cell>
        </row>
        <row r="33">
          <cell r="D33">
            <v>24001286</v>
          </cell>
          <cell r="E33" t="str">
            <v>Phạm Thanh Hường</v>
          </cell>
          <cell r="F33"/>
          <cell r="G33">
            <v>1.6666666666666665</v>
          </cell>
          <cell r="H33"/>
          <cell r="I33">
            <v>1.6666666666666665</v>
          </cell>
          <cell r="J33">
            <v>5.2444444444444445</v>
          </cell>
          <cell r="K33"/>
          <cell r="L33">
            <v>5.2444444444444445</v>
          </cell>
          <cell r="M33"/>
          <cell r="N33">
            <v>4.8275862068965516</v>
          </cell>
          <cell r="O33">
            <v>8</v>
          </cell>
          <cell r="P33"/>
          <cell r="Q33">
            <v>7.883333333333332</v>
          </cell>
          <cell r="R33">
            <v>7.883333333333332</v>
          </cell>
          <cell r="S33"/>
          <cell r="T33"/>
          <cell r="U33">
            <v>9.5081967213114762</v>
          </cell>
          <cell r="V33"/>
          <cell r="W33">
            <v>6.1640878278809321</v>
          </cell>
          <cell r="X33">
            <v>10</v>
          </cell>
        </row>
        <row r="34">
          <cell r="D34">
            <v>24002814</v>
          </cell>
          <cell r="E34" t="str">
            <v>Tống Xuân Khang</v>
          </cell>
          <cell r="F34"/>
          <cell r="G34">
            <v>2.3333333333333335</v>
          </cell>
          <cell r="H34"/>
          <cell r="I34">
            <v>2.3333333333333335</v>
          </cell>
          <cell r="J34">
            <v>4</v>
          </cell>
          <cell r="K34"/>
          <cell r="L34">
            <v>4</v>
          </cell>
          <cell r="M34"/>
          <cell r="N34">
            <v>6.5517241379310338</v>
          </cell>
          <cell r="O34">
            <v>9</v>
          </cell>
          <cell r="P34"/>
          <cell r="Q34">
            <v>7.6499999999999995</v>
          </cell>
          <cell r="R34">
            <v>7.6499999999999995</v>
          </cell>
          <cell r="S34"/>
          <cell r="T34"/>
          <cell r="U34" t="e">
            <v>#N/A</v>
          </cell>
          <cell r="V34"/>
          <cell r="W34">
            <v>5.856542882404951</v>
          </cell>
          <cell r="X34">
            <v>8</v>
          </cell>
        </row>
        <row r="35">
          <cell r="D35">
            <v>24002631</v>
          </cell>
          <cell r="E35" t="str">
            <v>Đỗ Duy Khánh</v>
          </cell>
          <cell r="F35">
            <v>-1</v>
          </cell>
          <cell r="G35">
            <v>5.6666666666666661</v>
          </cell>
          <cell r="H35"/>
          <cell r="I35">
            <v>4.6666666666666661</v>
          </cell>
          <cell r="J35">
            <v>7</v>
          </cell>
          <cell r="K35"/>
          <cell r="L35">
            <v>7</v>
          </cell>
          <cell r="M35"/>
          <cell r="N35">
            <v>3.7931034482758621</v>
          </cell>
          <cell r="O35">
            <v>10</v>
          </cell>
          <cell r="P35"/>
          <cell r="Q35">
            <v>7.9</v>
          </cell>
          <cell r="R35">
            <v>7.9</v>
          </cell>
          <cell r="S35"/>
          <cell r="T35"/>
          <cell r="U35">
            <v>7.5409836065573774</v>
          </cell>
          <cell r="V35"/>
          <cell r="W35">
            <v>7.1507515473032717</v>
          </cell>
          <cell r="X35">
            <v>8</v>
          </cell>
        </row>
        <row r="36">
          <cell r="D36">
            <v>24002315</v>
          </cell>
          <cell r="E36" t="str">
            <v>Hoàng Duy Khánh</v>
          </cell>
          <cell r="F36"/>
          <cell r="G36">
            <v>6</v>
          </cell>
          <cell r="H36"/>
          <cell r="I36">
            <v>6</v>
          </cell>
          <cell r="J36">
            <v>6.6000000000000005</v>
          </cell>
          <cell r="K36"/>
          <cell r="L36">
            <v>6.6000000000000005</v>
          </cell>
          <cell r="M36"/>
          <cell r="N36">
            <v>5.5172413793103452</v>
          </cell>
          <cell r="O36">
            <v>5</v>
          </cell>
          <cell r="P36"/>
          <cell r="Q36">
            <v>7.866666666666668</v>
          </cell>
          <cell r="R36">
            <v>7.866666666666668</v>
          </cell>
          <cell r="S36"/>
          <cell r="T36"/>
          <cell r="U36">
            <v>8.0327868852459012</v>
          </cell>
          <cell r="V36"/>
          <cell r="W36">
            <v>6.8346595932802838</v>
          </cell>
          <cell r="X36">
            <v>10</v>
          </cell>
        </row>
        <row r="37">
          <cell r="D37">
            <v>24002564</v>
          </cell>
          <cell r="E37" t="str">
            <v>Đỗ Thị Lan</v>
          </cell>
          <cell r="F37"/>
          <cell r="G37">
            <v>6</v>
          </cell>
          <cell r="H37"/>
          <cell r="I37">
            <v>6</v>
          </cell>
          <cell r="J37">
            <v>6.6000000000000005</v>
          </cell>
          <cell r="K37"/>
          <cell r="L37">
            <v>6.6000000000000005</v>
          </cell>
          <cell r="M37"/>
          <cell r="N37">
            <v>5.5172413793103452</v>
          </cell>
          <cell r="O37">
            <v>5</v>
          </cell>
          <cell r="P37"/>
          <cell r="Q37">
            <v>7.866666666666668</v>
          </cell>
          <cell r="R37">
            <v>7.866666666666668</v>
          </cell>
          <cell r="S37"/>
          <cell r="T37"/>
          <cell r="U37">
            <v>9.3442622950819665</v>
          </cell>
          <cell r="V37"/>
          <cell r="W37">
            <v>6.8346595932802838</v>
          </cell>
          <cell r="X37">
            <v>9</v>
          </cell>
        </row>
        <row r="38">
          <cell r="D38">
            <v>24002841</v>
          </cell>
          <cell r="E38" t="str">
            <v>Nguyễn Thị Lan</v>
          </cell>
          <cell r="F38"/>
          <cell r="G38">
            <v>6</v>
          </cell>
          <cell r="H38"/>
          <cell r="I38">
            <v>6</v>
          </cell>
          <cell r="J38">
            <v>6.6000000000000005</v>
          </cell>
          <cell r="K38"/>
          <cell r="L38">
            <v>6.6000000000000005</v>
          </cell>
          <cell r="M38"/>
          <cell r="N38">
            <v>5.5172413793103452</v>
          </cell>
          <cell r="O38">
            <v>5</v>
          </cell>
          <cell r="P38"/>
          <cell r="Q38">
            <v>7.866666666666668</v>
          </cell>
          <cell r="R38">
            <v>7.866666666666668</v>
          </cell>
          <cell r="S38"/>
          <cell r="T38"/>
          <cell r="U38">
            <v>9.6721311475409841</v>
          </cell>
          <cell r="V38"/>
          <cell r="W38">
            <v>6.8346595932802838</v>
          </cell>
          <cell r="X38">
            <v>10</v>
          </cell>
        </row>
        <row r="39">
          <cell r="D39">
            <v>24002961</v>
          </cell>
          <cell r="E39" t="str">
            <v>Nguyễn Thị Ngọc Lan</v>
          </cell>
          <cell r="F39"/>
          <cell r="G39">
            <v>6</v>
          </cell>
          <cell r="H39"/>
          <cell r="I39">
            <v>6</v>
          </cell>
          <cell r="J39">
            <v>6.6000000000000005</v>
          </cell>
          <cell r="K39"/>
          <cell r="L39">
            <v>6.8</v>
          </cell>
          <cell r="M39"/>
          <cell r="N39">
            <v>5.5172413793103452</v>
          </cell>
          <cell r="O39">
            <v>5</v>
          </cell>
          <cell r="P39"/>
          <cell r="Q39">
            <v>7.866666666666668</v>
          </cell>
          <cell r="R39">
            <v>7.866666666666668</v>
          </cell>
          <cell r="S39"/>
          <cell r="T39"/>
          <cell r="U39">
            <v>9.6721311475409841</v>
          </cell>
          <cell r="V39"/>
          <cell r="W39">
            <v>6.9115826702033605</v>
          </cell>
          <cell r="X39">
            <v>9.5</v>
          </cell>
        </row>
        <row r="40">
          <cell r="D40">
            <v>24002941</v>
          </cell>
          <cell r="E40" t="str">
            <v>Nguyễn Thị Khánh Linh</v>
          </cell>
          <cell r="F40"/>
          <cell r="G40">
            <v>1.6666666666666665</v>
          </cell>
          <cell r="H40"/>
          <cell r="I40">
            <v>1.6666666666666665</v>
          </cell>
          <cell r="J40">
            <v>3.933333333333334</v>
          </cell>
          <cell r="K40"/>
          <cell r="L40">
            <v>3.933333333333334</v>
          </cell>
          <cell r="M40"/>
          <cell r="N40">
            <v>4.8275862068965516</v>
          </cell>
          <cell r="O40">
            <v>8</v>
          </cell>
          <cell r="P40"/>
          <cell r="Q40">
            <v>7.883333333333332</v>
          </cell>
          <cell r="R40">
            <v>7.883333333333332</v>
          </cell>
          <cell r="S40"/>
          <cell r="T40"/>
          <cell r="U40">
            <v>9.6721311475409841</v>
          </cell>
          <cell r="V40"/>
          <cell r="W40">
            <v>5.659814323607427</v>
          </cell>
          <cell r="X40">
            <v>10</v>
          </cell>
        </row>
        <row r="41">
          <cell r="D41">
            <v>24003539</v>
          </cell>
          <cell r="E41" t="str">
            <v>Phạm Thùy Linh</v>
          </cell>
          <cell r="F41"/>
          <cell r="G41">
            <v>8</v>
          </cell>
          <cell r="H41"/>
          <cell r="I41">
            <v>8</v>
          </cell>
          <cell r="J41">
            <v>6.3000000000000007</v>
          </cell>
          <cell r="K41"/>
          <cell r="L41">
            <v>6.5</v>
          </cell>
          <cell r="M41"/>
          <cell r="N41">
            <v>5.5172413793103452</v>
          </cell>
          <cell r="O41">
            <v>6</v>
          </cell>
          <cell r="P41"/>
          <cell r="Q41">
            <v>7.833333333333333</v>
          </cell>
          <cell r="R41">
            <v>7.833333333333333</v>
          </cell>
          <cell r="S41"/>
          <cell r="T41"/>
          <cell r="U41">
            <v>9.6721311475409841</v>
          </cell>
          <cell r="V41"/>
          <cell r="W41">
            <v>7.0141467727674618</v>
          </cell>
          <cell r="X41">
            <v>10</v>
          </cell>
        </row>
        <row r="42">
          <cell r="D42">
            <v>24002897</v>
          </cell>
          <cell r="E42" t="str">
            <v>Phan Thế Lực</v>
          </cell>
          <cell r="F42"/>
          <cell r="G42">
            <v>5.6666666666666661</v>
          </cell>
          <cell r="H42"/>
          <cell r="I42">
            <v>5.6666666666666661</v>
          </cell>
          <cell r="J42">
            <v>7</v>
          </cell>
          <cell r="K42"/>
          <cell r="L42">
            <v>7</v>
          </cell>
          <cell r="M42"/>
          <cell r="N42">
            <v>3.7931034482758621</v>
          </cell>
          <cell r="O42">
            <v>10</v>
          </cell>
          <cell r="P42"/>
          <cell r="Q42">
            <v>7.866666666666668</v>
          </cell>
          <cell r="R42">
            <v>7.866666666666668</v>
          </cell>
          <cell r="S42"/>
          <cell r="T42"/>
          <cell r="U42">
            <v>9.6721311475409841</v>
          </cell>
          <cell r="V42"/>
          <cell r="W42">
            <v>7.2148541114058364</v>
          </cell>
          <cell r="X42">
            <v>8</v>
          </cell>
        </row>
        <row r="43">
          <cell r="D43">
            <v>24002700</v>
          </cell>
          <cell r="E43" t="str">
            <v>Nguyễn Thanh Mai</v>
          </cell>
          <cell r="F43"/>
          <cell r="G43">
            <v>6</v>
          </cell>
          <cell r="H43"/>
          <cell r="I43">
            <v>6</v>
          </cell>
          <cell r="J43">
            <v>6.6000000000000005</v>
          </cell>
          <cell r="K43"/>
          <cell r="L43">
            <v>6.6000000000000005</v>
          </cell>
          <cell r="M43"/>
          <cell r="N43">
            <v>5.5172413793103452</v>
          </cell>
          <cell r="O43">
            <v>5</v>
          </cell>
          <cell r="P43"/>
          <cell r="Q43">
            <v>7.866666666666668</v>
          </cell>
          <cell r="R43">
            <v>7.866666666666668</v>
          </cell>
          <cell r="S43"/>
          <cell r="T43"/>
          <cell r="U43">
            <v>9.8360655737704921</v>
          </cell>
          <cell r="V43"/>
          <cell r="W43">
            <v>6.8346595932802838</v>
          </cell>
          <cell r="X43">
            <v>10</v>
          </cell>
        </row>
        <row r="44">
          <cell r="D44">
            <v>24003136</v>
          </cell>
          <cell r="E44" t="str">
            <v>Trần Thị Quỳnh Mai</v>
          </cell>
          <cell r="F44"/>
          <cell r="G44">
            <v>5.6666666666666661</v>
          </cell>
          <cell r="H44"/>
          <cell r="I44">
            <v>5.6666666666666661</v>
          </cell>
          <cell r="J44">
            <v>7</v>
          </cell>
          <cell r="K44"/>
          <cell r="L44">
            <v>7</v>
          </cell>
          <cell r="M44"/>
          <cell r="N44">
            <v>3.7931034482758621</v>
          </cell>
          <cell r="O44">
            <v>10</v>
          </cell>
          <cell r="P44"/>
          <cell r="Q44">
            <v>7.866666666666668</v>
          </cell>
          <cell r="R44">
            <v>7.866666666666668</v>
          </cell>
          <cell r="S44"/>
          <cell r="T44"/>
          <cell r="U44">
            <v>9.6721311475409841</v>
          </cell>
          <cell r="V44"/>
          <cell r="W44">
            <v>7.2148541114058364</v>
          </cell>
          <cell r="X44">
            <v>10</v>
          </cell>
        </row>
        <row r="45">
          <cell r="D45">
            <v>24002614</v>
          </cell>
          <cell r="E45" t="str">
            <v>Phạm Nguyễn Nguyệt Minh</v>
          </cell>
          <cell r="F45"/>
          <cell r="G45">
            <v>1.6666666666666665</v>
          </cell>
          <cell r="H45"/>
          <cell r="I45">
            <v>1.6666666666666665</v>
          </cell>
          <cell r="J45">
            <v>5.9</v>
          </cell>
          <cell r="K45"/>
          <cell r="L45">
            <v>5.9</v>
          </cell>
          <cell r="M45"/>
          <cell r="N45">
            <v>4.8275862068965516</v>
          </cell>
          <cell r="O45">
            <v>8</v>
          </cell>
          <cell r="P45"/>
          <cell r="Q45">
            <v>7.883333333333332</v>
          </cell>
          <cell r="R45">
            <v>7.883333333333332</v>
          </cell>
          <cell r="S45"/>
          <cell r="T45"/>
          <cell r="U45">
            <v>8.5245901639344268</v>
          </cell>
          <cell r="V45"/>
          <cell r="W45">
            <v>6.4162245800176834</v>
          </cell>
          <cell r="X45">
            <v>10</v>
          </cell>
        </row>
        <row r="46">
          <cell r="D46">
            <v>24002830</v>
          </cell>
          <cell r="E46" t="str">
            <v>Nguyễn Thị Hồng Ngọc</v>
          </cell>
          <cell r="F46"/>
          <cell r="G46">
            <v>1.6666666666666665</v>
          </cell>
          <cell r="H46"/>
          <cell r="I46">
            <v>1.6666666666666665</v>
          </cell>
          <cell r="J46">
            <v>5.2444444444444445</v>
          </cell>
          <cell r="K46"/>
          <cell r="L46">
            <v>5.2444444444444445</v>
          </cell>
          <cell r="M46"/>
          <cell r="N46">
            <v>4.8275862068965516</v>
          </cell>
          <cell r="O46">
            <v>8</v>
          </cell>
          <cell r="P46"/>
          <cell r="Q46">
            <v>7.883333333333332</v>
          </cell>
          <cell r="R46">
            <v>7.883333333333332</v>
          </cell>
          <cell r="S46"/>
          <cell r="T46"/>
          <cell r="U46">
            <v>9.5081967213114762</v>
          </cell>
          <cell r="V46"/>
          <cell r="W46">
            <v>6.1640878278809321</v>
          </cell>
          <cell r="X46">
            <v>10</v>
          </cell>
        </row>
        <row r="47">
          <cell r="D47">
            <v>24003847</v>
          </cell>
          <cell r="E47" t="str">
            <v>Nguyễn Khôi Nguyên</v>
          </cell>
          <cell r="F47" t="str">
            <v>vm</v>
          </cell>
          <cell r="G47">
            <v>8</v>
          </cell>
          <cell r="H47"/>
          <cell r="I47">
            <v>8</v>
          </cell>
          <cell r="J47">
            <v>6.3000000000000007</v>
          </cell>
          <cell r="K47"/>
          <cell r="L47">
            <v>6.3000000000000007</v>
          </cell>
          <cell r="M47"/>
          <cell r="N47">
            <v>5.5172413793103452</v>
          </cell>
          <cell r="O47">
            <v>6</v>
          </cell>
          <cell r="P47"/>
          <cell r="Q47">
            <v>7.833333333333333</v>
          </cell>
          <cell r="R47">
            <v>7.833333333333333</v>
          </cell>
          <cell r="S47"/>
          <cell r="T47"/>
          <cell r="U47">
            <v>9.3442622950819665</v>
          </cell>
          <cell r="V47"/>
          <cell r="W47">
            <v>6.937223695844386</v>
          </cell>
          <cell r="X47">
            <v>9</v>
          </cell>
        </row>
        <row r="48">
          <cell r="D48">
            <v>24000999</v>
          </cell>
          <cell r="E48" t="str">
            <v>Nguyễn Thành Nguyên</v>
          </cell>
          <cell r="F48"/>
          <cell r="G48">
            <v>7.666666666666667</v>
          </cell>
          <cell r="H48"/>
          <cell r="I48">
            <v>7.666666666666667</v>
          </cell>
          <cell r="J48">
            <v>7</v>
          </cell>
          <cell r="K48"/>
          <cell r="L48">
            <v>7</v>
          </cell>
          <cell r="M48"/>
          <cell r="N48">
            <v>5.8620689655172411</v>
          </cell>
          <cell r="O48">
            <v>7</v>
          </cell>
          <cell r="P48"/>
          <cell r="Q48">
            <v>8.75</v>
          </cell>
          <cell r="R48">
            <v>8.75</v>
          </cell>
          <cell r="S48"/>
          <cell r="T48"/>
          <cell r="U48">
            <v>6.721311475409836</v>
          </cell>
          <cell r="V48"/>
          <cell r="W48">
            <v>7.6368258178603003</v>
          </cell>
          <cell r="X48">
            <v>9</v>
          </cell>
        </row>
        <row r="49">
          <cell r="D49">
            <v>24002791</v>
          </cell>
          <cell r="E49" t="str">
            <v>Bùi Thanh Nhàn</v>
          </cell>
          <cell r="F49"/>
          <cell r="G49">
            <v>7.666666666666667</v>
          </cell>
          <cell r="H49"/>
          <cell r="I49">
            <v>7.666666666666667</v>
          </cell>
          <cell r="J49">
            <v>7</v>
          </cell>
          <cell r="K49"/>
          <cell r="L49">
            <v>7</v>
          </cell>
          <cell r="M49"/>
          <cell r="N49">
            <v>5.8620689655172411</v>
          </cell>
          <cell r="O49">
            <v>7</v>
          </cell>
          <cell r="P49"/>
          <cell r="Q49">
            <v>8.75</v>
          </cell>
          <cell r="R49">
            <v>8.75</v>
          </cell>
          <cell r="S49"/>
          <cell r="T49"/>
          <cell r="U49">
            <v>10</v>
          </cell>
          <cell r="V49"/>
          <cell r="W49">
            <v>7.6368258178603003</v>
          </cell>
          <cell r="X49">
            <v>10</v>
          </cell>
        </row>
        <row r="50">
          <cell r="D50">
            <v>24002677</v>
          </cell>
          <cell r="E50" t="str">
            <v>Chu Thiện Nhân</v>
          </cell>
          <cell r="F50"/>
          <cell r="G50">
            <v>2.3333333333333335</v>
          </cell>
          <cell r="H50"/>
          <cell r="I50">
            <v>2.3333333333333335</v>
          </cell>
          <cell r="J50">
            <v>4</v>
          </cell>
          <cell r="K50"/>
          <cell r="L50">
            <v>4</v>
          </cell>
          <cell r="M50"/>
          <cell r="N50">
            <v>6.5517241379310338</v>
          </cell>
          <cell r="O50">
            <v>9</v>
          </cell>
          <cell r="P50"/>
          <cell r="Q50">
            <v>7.6499999999999995</v>
          </cell>
          <cell r="R50">
            <v>7.6499999999999995</v>
          </cell>
          <cell r="S50"/>
          <cell r="T50"/>
          <cell r="U50">
            <v>9.5081967213114762</v>
          </cell>
          <cell r="V50"/>
          <cell r="W50">
            <v>5.856542882404951</v>
          </cell>
          <cell r="X50">
            <v>10</v>
          </cell>
        </row>
        <row r="51">
          <cell r="D51">
            <v>24002334</v>
          </cell>
          <cell r="E51" t="str">
            <v>Nguyễn Đức Phong</v>
          </cell>
          <cell r="F51"/>
          <cell r="G51">
            <v>2.3333333333333335</v>
          </cell>
          <cell r="H51"/>
          <cell r="I51">
            <v>2.3333333333333335</v>
          </cell>
          <cell r="J51">
            <v>4</v>
          </cell>
          <cell r="K51"/>
          <cell r="L51">
            <v>5</v>
          </cell>
          <cell r="M51">
            <v>1</v>
          </cell>
          <cell r="N51">
            <v>6.5517241379310338</v>
          </cell>
          <cell r="O51">
            <v>9</v>
          </cell>
          <cell r="P51"/>
          <cell r="Q51">
            <v>7.6499999999999995</v>
          </cell>
          <cell r="R51">
            <v>7.6499999999999995</v>
          </cell>
          <cell r="S51"/>
          <cell r="T51"/>
          <cell r="U51">
            <v>7.3770491803278686</v>
          </cell>
          <cell r="V51"/>
          <cell r="W51">
            <v>6.2411582670203352</v>
          </cell>
          <cell r="X51">
            <v>7.5</v>
          </cell>
        </row>
        <row r="52">
          <cell r="D52">
            <v>24003150</v>
          </cell>
          <cell r="E52" t="str">
            <v>Nguyễn Thành Phong</v>
          </cell>
          <cell r="F52" t="str">
            <v>vm</v>
          </cell>
          <cell r="G52">
            <v>8</v>
          </cell>
          <cell r="H52"/>
          <cell r="I52">
            <v>8</v>
          </cell>
          <cell r="J52">
            <v>6.3000000000000007</v>
          </cell>
          <cell r="K52"/>
          <cell r="L52">
            <v>6.3000000000000007</v>
          </cell>
          <cell r="M52"/>
          <cell r="N52">
            <v>5.5172413793103452</v>
          </cell>
          <cell r="O52">
            <v>6</v>
          </cell>
          <cell r="P52"/>
          <cell r="Q52">
            <v>7.833333333333333</v>
          </cell>
          <cell r="R52">
            <v>7.833333333333333</v>
          </cell>
          <cell r="S52"/>
          <cell r="T52"/>
          <cell r="U52">
            <v>9.0163934426229506</v>
          </cell>
          <cell r="V52"/>
          <cell r="W52">
            <v>6.937223695844386</v>
          </cell>
          <cell r="X52">
            <v>8.5</v>
          </cell>
        </row>
        <row r="53">
          <cell r="D53">
            <v>24002635</v>
          </cell>
          <cell r="E53" t="str">
            <v>Hồ Lệ Quyên</v>
          </cell>
          <cell r="F53"/>
          <cell r="G53">
            <v>7.666666666666667</v>
          </cell>
          <cell r="H53"/>
          <cell r="I53">
            <v>7.666666666666667</v>
          </cell>
          <cell r="J53">
            <v>7</v>
          </cell>
          <cell r="K53"/>
          <cell r="L53">
            <v>7</v>
          </cell>
          <cell r="M53"/>
          <cell r="N53">
            <v>5.8620689655172411</v>
          </cell>
          <cell r="O53">
            <v>7</v>
          </cell>
          <cell r="P53"/>
          <cell r="Q53">
            <v>8.75</v>
          </cell>
          <cell r="R53">
            <v>8.75</v>
          </cell>
          <cell r="S53"/>
          <cell r="T53"/>
          <cell r="U53">
            <v>9.6721311475409841</v>
          </cell>
          <cell r="V53"/>
          <cell r="W53">
            <v>7.6368258178603003</v>
          </cell>
          <cell r="X53">
            <v>9.5</v>
          </cell>
        </row>
        <row r="54">
          <cell r="D54">
            <v>24002734</v>
          </cell>
          <cell r="E54" t="str">
            <v>Tô Thị Quyên</v>
          </cell>
          <cell r="F54"/>
          <cell r="G54">
            <v>7.666666666666667</v>
          </cell>
          <cell r="H54"/>
          <cell r="I54">
            <v>7.666666666666667</v>
          </cell>
          <cell r="J54">
            <v>7</v>
          </cell>
          <cell r="K54"/>
          <cell r="L54">
            <v>7</v>
          </cell>
          <cell r="M54"/>
          <cell r="N54">
            <v>5.8620689655172411</v>
          </cell>
          <cell r="O54">
            <v>7</v>
          </cell>
          <cell r="P54"/>
          <cell r="Q54">
            <v>8.75</v>
          </cell>
          <cell r="R54">
            <v>8.75</v>
          </cell>
          <cell r="S54"/>
          <cell r="T54"/>
          <cell r="U54">
            <v>9.6721311475409841</v>
          </cell>
          <cell r="V54"/>
          <cell r="W54">
            <v>7.6368258178603003</v>
          </cell>
          <cell r="X54">
            <v>9.5</v>
          </cell>
        </row>
        <row r="55">
          <cell r="D55">
            <v>24003850</v>
          </cell>
          <cell r="E55" t="str">
            <v>Nguyễn Văn Sĩ</v>
          </cell>
          <cell r="F55"/>
          <cell r="G55">
            <v>8</v>
          </cell>
          <cell r="H55"/>
          <cell r="I55">
            <v>8</v>
          </cell>
          <cell r="J55">
            <v>6.3000000000000007</v>
          </cell>
          <cell r="K55"/>
          <cell r="L55">
            <v>6.3000000000000007</v>
          </cell>
          <cell r="M55"/>
          <cell r="N55">
            <v>5.5172413793103452</v>
          </cell>
          <cell r="O55">
            <v>6</v>
          </cell>
          <cell r="P55"/>
          <cell r="Q55">
            <v>7.833333333333333</v>
          </cell>
          <cell r="R55">
            <v>7.833333333333333</v>
          </cell>
          <cell r="S55"/>
          <cell r="T55"/>
          <cell r="U55">
            <v>9.3442622950819665</v>
          </cell>
          <cell r="V55"/>
          <cell r="W55">
            <v>6.937223695844386</v>
          </cell>
          <cell r="X55">
            <v>10</v>
          </cell>
        </row>
        <row r="56">
          <cell r="D56">
            <v>24003154</v>
          </cell>
          <cell r="E56" t="str">
            <v>Nguyễn Thanh Tâm</v>
          </cell>
          <cell r="F56"/>
          <cell r="G56">
            <v>8</v>
          </cell>
          <cell r="H56"/>
          <cell r="I56">
            <v>8</v>
          </cell>
          <cell r="J56">
            <v>6.3000000000000007</v>
          </cell>
          <cell r="K56"/>
          <cell r="L56">
            <v>6.3000000000000007</v>
          </cell>
          <cell r="M56"/>
          <cell r="N56">
            <v>5.5172413793103452</v>
          </cell>
          <cell r="O56">
            <v>6</v>
          </cell>
          <cell r="P56">
            <v>1</v>
          </cell>
          <cell r="Q56">
            <v>7.833333333333333</v>
          </cell>
          <cell r="R56">
            <v>8.8333333333333321</v>
          </cell>
          <cell r="S56"/>
          <cell r="T56"/>
          <cell r="U56">
            <v>9.6721311475409841</v>
          </cell>
          <cell r="V56"/>
          <cell r="W56">
            <v>7.3218390804597693</v>
          </cell>
          <cell r="X56">
            <v>7.5</v>
          </cell>
        </row>
        <row r="57">
          <cell r="D57">
            <v>24002947</v>
          </cell>
          <cell r="E57" t="str">
            <v>Đặng Thị Thanh Thảo</v>
          </cell>
          <cell r="F57"/>
          <cell r="G57">
            <v>5.6666666666666661</v>
          </cell>
          <cell r="H57"/>
          <cell r="I57">
            <v>5.6666666666666661</v>
          </cell>
          <cell r="J57">
            <v>7</v>
          </cell>
          <cell r="K57"/>
          <cell r="L57">
            <v>7</v>
          </cell>
          <cell r="M57"/>
          <cell r="N57">
            <v>3.7931034482758621</v>
          </cell>
          <cell r="O57">
            <v>10</v>
          </cell>
          <cell r="P57"/>
          <cell r="Q57">
            <v>7.866666666666668</v>
          </cell>
          <cell r="R57">
            <v>7.866666666666668</v>
          </cell>
          <cell r="S57"/>
          <cell r="T57"/>
          <cell r="U57" t="e">
            <v>#N/A</v>
          </cell>
          <cell r="V57"/>
          <cell r="W57">
            <v>7.2148541114058364</v>
          </cell>
          <cell r="X57">
            <v>8</v>
          </cell>
        </row>
        <row r="58">
          <cell r="D58">
            <v>24002754</v>
          </cell>
          <cell r="E58" t="str">
            <v>Nguyễn Triệu Thiên</v>
          </cell>
          <cell r="F58"/>
          <cell r="G58">
            <v>2.3333333333333335</v>
          </cell>
          <cell r="H58"/>
          <cell r="I58">
            <v>2.3333333333333335</v>
          </cell>
          <cell r="J58">
            <v>4</v>
          </cell>
          <cell r="K58"/>
          <cell r="L58">
            <v>4</v>
          </cell>
          <cell r="M58"/>
          <cell r="N58">
            <v>6.5517241379310338</v>
          </cell>
          <cell r="O58">
            <v>9</v>
          </cell>
          <cell r="P58"/>
          <cell r="Q58">
            <v>0</v>
          </cell>
          <cell r="R58">
            <v>3</v>
          </cell>
          <cell r="S58"/>
          <cell r="T58"/>
          <cell r="U58">
            <v>9.6721311475409841</v>
          </cell>
          <cell r="V58"/>
          <cell r="W58">
            <v>4.0680813439434127</v>
          </cell>
          <cell r="X58">
            <v>8</v>
          </cell>
        </row>
        <row r="59">
          <cell r="D59">
            <v>24003116</v>
          </cell>
          <cell r="E59" t="str">
            <v>Mai Thị Thơm</v>
          </cell>
          <cell r="F59"/>
          <cell r="G59">
            <v>7.666666666666667</v>
          </cell>
          <cell r="H59"/>
          <cell r="I59">
            <v>7.666666666666667</v>
          </cell>
          <cell r="J59">
            <v>7</v>
          </cell>
          <cell r="K59"/>
          <cell r="L59">
            <v>7</v>
          </cell>
          <cell r="M59">
            <v>1</v>
          </cell>
          <cell r="N59">
            <v>5.8620689655172411</v>
          </cell>
          <cell r="O59">
            <v>7</v>
          </cell>
          <cell r="P59"/>
          <cell r="Q59">
            <v>8.75</v>
          </cell>
          <cell r="R59">
            <v>8.75</v>
          </cell>
          <cell r="S59"/>
          <cell r="T59"/>
          <cell r="U59">
            <v>9.5081967213114762</v>
          </cell>
          <cell r="V59"/>
          <cell r="W59">
            <v>7.6368258178603003</v>
          </cell>
          <cell r="X59">
            <v>10</v>
          </cell>
        </row>
        <row r="60">
          <cell r="D60">
            <v>24002657</v>
          </cell>
          <cell r="E60" t="str">
            <v>Bùi Thị Thanh Thuý</v>
          </cell>
          <cell r="F60"/>
          <cell r="G60">
            <v>6</v>
          </cell>
          <cell r="H60"/>
          <cell r="I60">
            <v>6</v>
          </cell>
          <cell r="J60">
            <v>6.6000000000000005</v>
          </cell>
          <cell r="K60"/>
          <cell r="L60">
            <v>6.6000000000000005</v>
          </cell>
          <cell r="M60"/>
          <cell r="N60">
            <v>5.5172413793103452</v>
          </cell>
          <cell r="O60">
            <v>5</v>
          </cell>
          <cell r="P60"/>
          <cell r="Q60">
            <v>7.866666666666668</v>
          </cell>
          <cell r="R60">
            <v>7.866666666666668</v>
          </cell>
          <cell r="S60"/>
          <cell r="T60"/>
          <cell r="U60">
            <v>9.3442622950819665</v>
          </cell>
          <cell r="V60"/>
          <cell r="W60">
            <v>6.8346595932802838</v>
          </cell>
          <cell r="X60">
            <v>8.5</v>
          </cell>
        </row>
        <row r="61">
          <cell r="D61">
            <v>24002581</v>
          </cell>
          <cell r="E61" t="str">
            <v>Nguyễn Thị Thúy</v>
          </cell>
          <cell r="F61"/>
          <cell r="G61">
            <v>6</v>
          </cell>
          <cell r="H61"/>
          <cell r="I61">
            <v>6</v>
          </cell>
          <cell r="J61">
            <v>6.6000000000000005</v>
          </cell>
          <cell r="K61"/>
          <cell r="L61">
            <v>6.8</v>
          </cell>
          <cell r="M61"/>
          <cell r="N61">
            <v>5.5172413793103452</v>
          </cell>
          <cell r="O61">
            <v>5</v>
          </cell>
          <cell r="P61"/>
          <cell r="Q61">
            <v>7.866666666666668</v>
          </cell>
          <cell r="R61">
            <v>7.866666666666668</v>
          </cell>
          <cell r="S61"/>
          <cell r="T61"/>
          <cell r="U61">
            <v>9.6721311475409841</v>
          </cell>
          <cell r="V61"/>
          <cell r="W61">
            <v>6.9115826702033605</v>
          </cell>
          <cell r="X61">
            <v>10</v>
          </cell>
        </row>
        <row r="62">
          <cell r="D62">
            <v>24002803</v>
          </cell>
          <cell r="E62" t="str">
            <v>Bùi Thùy Trang</v>
          </cell>
          <cell r="F62"/>
          <cell r="G62">
            <v>2.3333333333333335</v>
          </cell>
          <cell r="H62"/>
          <cell r="I62">
            <v>2.3333333333333335</v>
          </cell>
          <cell r="J62">
            <v>4</v>
          </cell>
          <cell r="K62"/>
          <cell r="L62">
            <v>4</v>
          </cell>
          <cell r="M62"/>
          <cell r="N62">
            <v>6.5517241379310338</v>
          </cell>
          <cell r="O62">
            <v>9</v>
          </cell>
          <cell r="P62"/>
          <cell r="Q62">
            <v>7.6499999999999995</v>
          </cell>
          <cell r="R62">
            <v>7.6499999999999995</v>
          </cell>
          <cell r="S62"/>
          <cell r="T62"/>
          <cell r="U62">
            <v>9.6721311475409841</v>
          </cell>
          <cell r="V62"/>
          <cell r="W62">
            <v>5.856542882404951</v>
          </cell>
          <cell r="X62">
            <v>8</v>
          </cell>
        </row>
        <row r="63">
          <cell r="D63">
            <v>24002756</v>
          </cell>
          <cell r="E63" t="str">
            <v>Nguyễn Thị Huyền Trang</v>
          </cell>
          <cell r="F63"/>
          <cell r="G63">
            <v>1.6666666666666665</v>
          </cell>
          <cell r="H63"/>
          <cell r="I63">
            <v>1.6666666666666665</v>
          </cell>
          <cell r="J63">
            <v>4.5888888888888895</v>
          </cell>
          <cell r="K63"/>
          <cell r="L63">
            <v>5</v>
          </cell>
          <cell r="M63"/>
          <cell r="N63">
            <v>4.8275862068965516</v>
          </cell>
          <cell r="O63">
            <v>8</v>
          </cell>
          <cell r="P63"/>
          <cell r="Q63">
            <v>7.883333333333332</v>
          </cell>
          <cell r="R63">
            <v>7.883333333333332</v>
          </cell>
          <cell r="S63"/>
          <cell r="T63"/>
          <cell r="U63">
            <v>8.0327868852459012</v>
          </cell>
          <cell r="V63"/>
          <cell r="W63">
            <v>6.0700707338638376</v>
          </cell>
          <cell r="X63">
            <v>10</v>
          </cell>
        </row>
        <row r="64">
          <cell r="D64">
            <v>24002577</v>
          </cell>
          <cell r="E64" t="str">
            <v>Nguyễn Thị Hồng Tươi</v>
          </cell>
          <cell r="F64"/>
          <cell r="G64">
            <v>7.666666666666667</v>
          </cell>
          <cell r="H64"/>
          <cell r="I64">
            <v>7.666666666666667</v>
          </cell>
          <cell r="J64">
            <v>7</v>
          </cell>
          <cell r="K64"/>
          <cell r="L64">
            <v>7</v>
          </cell>
          <cell r="M64"/>
          <cell r="N64">
            <v>5.8620689655172411</v>
          </cell>
          <cell r="O64">
            <v>7</v>
          </cell>
          <cell r="P64"/>
          <cell r="Q64">
            <v>8.75</v>
          </cell>
          <cell r="R64">
            <v>8.75</v>
          </cell>
          <cell r="S64"/>
          <cell r="T64"/>
          <cell r="U64">
            <v>10</v>
          </cell>
          <cell r="V64"/>
          <cell r="W64">
            <v>7.6368258178603003</v>
          </cell>
          <cell r="X64">
            <v>10</v>
          </cell>
        </row>
        <row r="65">
          <cell r="D65">
            <v>24000219</v>
          </cell>
          <cell r="E65" t="str">
            <v>Nguyễn Cẩm Vân</v>
          </cell>
          <cell r="F65"/>
          <cell r="G65">
            <v>6</v>
          </cell>
          <cell r="H65"/>
          <cell r="I65">
            <v>6</v>
          </cell>
          <cell r="J65">
            <v>6.6000000000000005</v>
          </cell>
          <cell r="K65"/>
          <cell r="L65">
            <v>6.6000000000000005</v>
          </cell>
          <cell r="M65"/>
          <cell r="N65">
            <v>5.5172413793103452</v>
          </cell>
          <cell r="O65">
            <v>5</v>
          </cell>
          <cell r="P65"/>
          <cell r="Q65">
            <v>7.866666666666668</v>
          </cell>
          <cell r="R65">
            <v>7.866666666666668</v>
          </cell>
          <cell r="S65"/>
          <cell r="T65"/>
          <cell r="U65">
            <v>9.5081967213114762</v>
          </cell>
          <cell r="V65"/>
          <cell r="W65">
            <v>6.8346595932802838</v>
          </cell>
          <cell r="X65">
            <v>10</v>
          </cell>
        </row>
        <row r="66">
          <cell r="D66">
            <v>24002278</v>
          </cell>
          <cell r="E66" t="str">
            <v>Nguyễn Thị Như Ý</v>
          </cell>
          <cell r="F66"/>
          <cell r="G66">
            <v>5.6666666666666661</v>
          </cell>
          <cell r="H66"/>
          <cell r="I66">
            <v>5.6666666666666661</v>
          </cell>
          <cell r="J66">
            <v>7</v>
          </cell>
          <cell r="K66"/>
          <cell r="L66">
            <v>7</v>
          </cell>
          <cell r="M66"/>
          <cell r="N66">
            <v>3.7931034482758621</v>
          </cell>
          <cell r="O66">
            <v>10</v>
          </cell>
          <cell r="P66"/>
          <cell r="Q66">
            <v>7.866666666666668</v>
          </cell>
          <cell r="R66">
            <v>7.866666666666668</v>
          </cell>
          <cell r="S66"/>
          <cell r="T66"/>
          <cell r="U66">
            <v>7.7049180327868854</v>
          </cell>
          <cell r="V66"/>
          <cell r="W66">
            <v>7.2148541114058364</v>
          </cell>
          <cell r="X66">
            <v>7.5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7"/>
  <sheetViews>
    <sheetView tabSelected="1" zoomScaleNormal="100" workbookViewId="0">
      <selection activeCell="N5" sqref="N5"/>
    </sheetView>
  </sheetViews>
  <sheetFormatPr defaultRowHeight="14.5" x14ac:dyDescent="0.35"/>
  <sheetData>
    <row r="1" spans="1:1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35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29" x14ac:dyDescent="0.35">
      <c r="A3" s="2" t="s">
        <v>20</v>
      </c>
      <c r="B3" s="2">
        <v>24002800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20</v>
      </c>
      <c r="I3" s="2" t="s">
        <v>20</v>
      </c>
      <c r="J3" s="2">
        <f>VLOOKUP(B3,[1]ca3!$D$2:$X$66,21,FALSE)</f>
        <v>7.5</v>
      </c>
      <c r="K3" s="2">
        <f>ROUND(VLOOKUP(B3,[1]ca3!$D$2:$X$66,20,FALSE),1)</f>
        <v>5.9</v>
      </c>
      <c r="L3" s="2" t="s">
        <v>25</v>
      </c>
      <c r="M3" s="2" t="s">
        <v>25</v>
      </c>
      <c r="N3" s="2" t="s">
        <v>25</v>
      </c>
      <c r="O3" s="2" t="s">
        <v>25</v>
      </c>
      <c r="P3" s="2" t="s">
        <v>25</v>
      </c>
      <c r="Q3" s="2" t="s">
        <v>25</v>
      </c>
      <c r="R3" s="2" t="s">
        <v>25</v>
      </c>
      <c r="S3" s="2" t="s">
        <v>25</v>
      </c>
    </row>
    <row r="4" spans="1:19" ht="29" x14ac:dyDescent="0.35">
      <c r="A4" s="2" t="s">
        <v>26</v>
      </c>
      <c r="B4" s="2">
        <v>24003132</v>
      </c>
      <c r="C4" s="2" t="s">
        <v>27</v>
      </c>
      <c r="D4" s="2" t="s">
        <v>22</v>
      </c>
      <c r="E4" s="2" t="s">
        <v>28</v>
      </c>
      <c r="F4" s="2" t="s">
        <v>24</v>
      </c>
      <c r="G4" s="2" t="s">
        <v>25</v>
      </c>
      <c r="H4" s="2" t="s">
        <v>20</v>
      </c>
      <c r="I4" s="2" t="s">
        <v>20</v>
      </c>
      <c r="J4" s="2">
        <f>VLOOKUP(B4,[1]ca3!$D$2:$X$66,21,FALSE)</f>
        <v>10</v>
      </c>
      <c r="K4" s="2">
        <f>ROUND(VLOOKUP(B4,[1]ca3!$D$2:$X$66,20,FALSE),1)</f>
        <v>6.2</v>
      </c>
      <c r="L4" s="2" t="s">
        <v>25</v>
      </c>
      <c r="M4" s="2" t="s">
        <v>25</v>
      </c>
      <c r="N4" s="2" t="s">
        <v>25</v>
      </c>
      <c r="O4" s="2" t="s">
        <v>25</v>
      </c>
      <c r="P4" s="2" t="s">
        <v>25</v>
      </c>
      <c r="Q4" s="2" t="s">
        <v>25</v>
      </c>
      <c r="R4" s="2" t="s">
        <v>25</v>
      </c>
      <c r="S4" s="2" t="s">
        <v>25</v>
      </c>
    </row>
    <row r="5" spans="1:19" ht="29" x14ac:dyDescent="0.35">
      <c r="A5" s="2" t="s">
        <v>29</v>
      </c>
      <c r="B5" s="2">
        <v>24002678</v>
      </c>
      <c r="C5" s="2" t="s">
        <v>30</v>
      </c>
      <c r="D5" s="2" t="s">
        <v>22</v>
      </c>
      <c r="E5" s="2" t="s">
        <v>31</v>
      </c>
      <c r="F5" s="2" t="s">
        <v>24</v>
      </c>
      <c r="G5" s="2" t="s">
        <v>25</v>
      </c>
      <c r="H5" s="2" t="s">
        <v>20</v>
      </c>
      <c r="I5" s="2" t="s">
        <v>20</v>
      </c>
      <c r="J5" s="2">
        <f>VLOOKUP(B5,[1]ca3!$D$2:$X$66,21,FALSE)</f>
        <v>10</v>
      </c>
      <c r="K5" s="2">
        <f>ROUND(VLOOKUP(B5,[1]ca3!$D$2:$X$66,20,FALSE),1)</f>
        <v>7.3</v>
      </c>
      <c r="L5" s="2" t="s">
        <v>25</v>
      </c>
      <c r="M5" s="2" t="s">
        <v>25</v>
      </c>
      <c r="N5" s="2" t="s">
        <v>25</v>
      </c>
      <c r="O5" s="2" t="s">
        <v>25</v>
      </c>
      <c r="P5" s="2" t="s">
        <v>25</v>
      </c>
      <c r="Q5" s="2" t="s">
        <v>25</v>
      </c>
      <c r="R5" s="2" t="s">
        <v>25</v>
      </c>
      <c r="S5" s="2" t="s">
        <v>25</v>
      </c>
    </row>
    <row r="6" spans="1:19" ht="43.5" x14ac:dyDescent="0.35">
      <c r="A6" s="2" t="s">
        <v>32</v>
      </c>
      <c r="B6" s="2">
        <v>24003051</v>
      </c>
      <c r="C6" s="2" t="s">
        <v>33</v>
      </c>
      <c r="D6" s="2" t="s">
        <v>22</v>
      </c>
      <c r="E6" s="2" t="s">
        <v>34</v>
      </c>
      <c r="F6" s="2" t="s">
        <v>24</v>
      </c>
      <c r="G6" s="2" t="s">
        <v>25</v>
      </c>
      <c r="H6" s="2" t="s">
        <v>20</v>
      </c>
      <c r="I6" s="2" t="s">
        <v>20</v>
      </c>
      <c r="J6" s="2">
        <f>VLOOKUP(B6,[1]ca3!$D$2:$X$66,21,FALSE)</f>
        <v>10</v>
      </c>
      <c r="K6" s="2">
        <f>ROUND(VLOOKUP(B6,[1]ca3!$D$2:$X$66,20,FALSE),1)</f>
        <v>5.9</v>
      </c>
      <c r="L6" s="2" t="s">
        <v>25</v>
      </c>
      <c r="M6" s="2" t="s">
        <v>25</v>
      </c>
      <c r="N6" s="2" t="s">
        <v>25</v>
      </c>
      <c r="O6" s="2" t="s">
        <v>25</v>
      </c>
      <c r="P6" s="2" t="s">
        <v>25</v>
      </c>
      <c r="Q6" s="2" t="s">
        <v>25</v>
      </c>
      <c r="R6" s="2" t="s">
        <v>25</v>
      </c>
      <c r="S6" s="2" t="s">
        <v>25</v>
      </c>
    </row>
    <row r="7" spans="1:19" ht="29" x14ac:dyDescent="0.35">
      <c r="A7" s="2" t="s">
        <v>35</v>
      </c>
      <c r="B7" s="2">
        <v>24002668</v>
      </c>
      <c r="C7" s="2" t="s">
        <v>36</v>
      </c>
      <c r="D7" s="2" t="s">
        <v>22</v>
      </c>
      <c r="E7" s="2" t="s">
        <v>37</v>
      </c>
      <c r="F7" s="2" t="s">
        <v>24</v>
      </c>
      <c r="G7" s="2" t="s">
        <v>25</v>
      </c>
      <c r="H7" s="2" t="s">
        <v>20</v>
      </c>
      <c r="I7" s="2" t="s">
        <v>20</v>
      </c>
      <c r="J7" s="2">
        <f>VLOOKUP(B7,[1]ca3!$D$2:$X$66,21,FALSE)</f>
        <v>9.5</v>
      </c>
      <c r="K7" s="2">
        <f>ROUND(VLOOKUP(B7,[1]ca3!$D$2:$X$66,20,FALSE),1)</f>
        <v>7.2</v>
      </c>
      <c r="L7" s="2" t="s">
        <v>25</v>
      </c>
      <c r="M7" s="2" t="s">
        <v>25</v>
      </c>
      <c r="N7" s="2" t="s">
        <v>25</v>
      </c>
      <c r="O7" s="2" t="s">
        <v>25</v>
      </c>
      <c r="P7" s="2" t="s">
        <v>25</v>
      </c>
      <c r="Q7" s="2" t="s">
        <v>25</v>
      </c>
      <c r="R7" s="2" t="s">
        <v>25</v>
      </c>
      <c r="S7" s="2" t="s">
        <v>25</v>
      </c>
    </row>
    <row r="8" spans="1:19" ht="29" x14ac:dyDescent="0.35">
      <c r="A8" s="2" t="s">
        <v>38</v>
      </c>
      <c r="B8" s="2">
        <v>24002930</v>
      </c>
      <c r="C8" s="2" t="s">
        <v>39</v>
      </c>
      <c r="D8" s="2" t="s">
        <v>22</v>
      </c>
      <c r="E8" s="2" t="s">
        <v>40</v>
      </c>
      <c r="F8" s="2" t="s">
        <v>24</v>
      </c>
      <c r="G8" s="2" t="s">
        <v>25</v>
      </c>
      <c r="H8" s="2" t="s">
        <v>20</v>
      </c>
      <c r="I8" s="2" t="s">
        <v>20</v>
      </c>
      <c r="J8" s="2">
        <f>VLOOKUP(B8,[1]ca3!$D$2:$X$66,21,FALSE)</f>
        <v>10</v>
      </c>
      <c r="K8" s="2">
        <f>ROUND(VLOOKUP(B8,[1]ca3!$D$2:$X$66,20,FALSE),1)</f>
        <v>6.1</v>
      </c>
      <c r="L8" s="2" t="s">
        <v>25</v>
      </c>
      <c r="M8" s="2" t="s">
        <v>25</v>
      </c>
      <c r="N8" s="2" t="s">
        <v>25</v>
      </c>
      <c r="O8" s="2" t="s">
        <v>25</v>
      </c>
      <c r="P8" s="2" t="s">
        <v>25</v>
      </c>
      <c r="Q8" s="2" t="s">
        <v>25</v>
      </c>
      <c r="R8" s="2" t="s">
        <v>25</v>
      </c>
      <c r="S8" s="2" t="s">
        <v>25</v>
      </c>
    </row>
    <row r="9" spans="1:19" ht="29" x14ac:dyDescent="0.35">
      <c r="A9" s="2" t="s">
        <v>41</v>
      </c>
      <c r="B9" s="2">
        <v>24003049</v>
      </c>
      <c r="C9" s="2" t="s">
        <v>42</v>
      </c>
      <c r="D9" s="2" t="s">
        <v>22</v>
      </c>
      <c r="E9" s="2" t="s">
        <v>43</v>
      </c>
      <c r="F9" s="2" t="s">
        <v>24</v>
      </c>
      <c r="G9" s="2" t="s">
        <v>25</v>
      </c>
      <c r="H9" s="2" t="s">
        <v>20</v>
      </c>
      <c r="I9" s="2" t="s">
        <v>20</v>
      </c>
      <c r="J9" s="2">
        <f>VLOOKUP(B9,[1]ca3!$D$2:$X$66,21,FALSE)</f>
        <v>8</v>
      </c>
      <c r="K9" s="2">
        <f>ROUND(VLOOKUP(B9,[1]ca3!$D$2:$X$66,20,FALSE),1)</f>
        <v>6.2</v>
      </c>
      <c r="L9" s="2" t="s">
        <v>25</v>
      </c>
      <c r="M9" s="2" t="s">
        <v>25</v>
      </c>
      <c r="N9" s="2" t="s">
        <v>25</v>
      </c>
      <c r="O9" s="2" t="s">
        <v>25</v>
      </c>
      <c r="P9" s="2" t="s">
        <v>25</v>
      </c>
      <c r="Q9" s="2" t="s">
        <v>25</v>
      </c>
      <c r="R9" s="2" t="s">
        <v>25</v>
      </c>
      <c r="S9" s="2" t="s">
        <v>25</v>
      </c>
    </row>
    <row r="10" spans="1:19" ht="29" x14ac:dyDescent="0.35">
      <c r="A10" s="2" t="s">
        <v>44</v>
      </c>
      <c r="B10" s="2">
        <v>24002825</v>
      </c>
      <c r="C10" s="2" t="s">
        <v>45</v>
      </c>
      <c r="D10" s="2" t="s">
        <v>46</v>
      </c>
      <c r="E10" s="2" t="s">
        <v>47</v>
      </c>
      <c r="F10" s="2" t="s">
        <v>24</v>
      </c>
      <c r="G10" s="2" t="s">
        <v>25</v>
      </c>
      <c r="H10" s="2" t="s">
        <v>20</v>
      </c>
      <c r="I10" s="2" t="s">
        <v>20</v>
      </c>
      <c r="J10" s="2">
        <f>VLOOKUP(B10,[1]ca3!$D$2:$X$66,21,FALSE)</f>
        <v>8</v>
      </c>
      <c r="K10" s="2">
        <f>ROUND(VLOOKUP(B10,[1]ca3!$D$2:$X$66,20,FALSE),1)</f>
        <v>6.1</v>
      </c>
      <c r="L10" s="2" t="s">
        <v>25</v>
      </c>
      <c r="M10" s="2" t="s">
        <v>25</v>
      </c>
      <c r="N10" s="2" t="s">
        <v>25</v>
      </c>
      <c r="O10" s="2" t="s">
        <v>25</v>
      </c>
      <c r="P10" s="2" t="s">
        <v>25</v>
      </c>
      <c r="Q10" s="2" t="s">
        <v>25</v>
      </c>
      <c r="R10" s="2" t="s">
        <v>25</v>
      </c>
      <c r="S10" s="2" t="s">
        <v>25</v>
      </c>
    </row>
    <row r="11" spans="1:19" ht="29" x14ac:dyDescent="0.35">
      <c r="A11" s="2" t="s">
        <v>48</v>
      </c>
      <c r="B11" s="2">
        <v>24003004</v>
      </c>
      <c r="C11" s="2" t="s">
        <v>49</v>
      </c>
      <c r="D11" s="2" t="s">
        <v>46</v>
      </c>
      <c r="E11" s="2" t="s">
        <v>50</v>
      </c>
      <c r="F11" s="2" t="s">
        <v>24</v>
      </c>
      <c r="G11" s="2" t="s">
        <v>25</v>
      </c>
      <c r="H11" s="2" t="s">
        <v>20</v>
      </c>
      <c r="I11" s="2" t="s">
        <v>20</v>
      </c>
      <c r="J11" s="2">
        <f>VLOOKUP(B11,[1]ca3!$D$2:$X$66,21,FALSE)</f>
        <v>9</v>
      </c>
      <c r="K11" s="2">
        <f>ROUND(VLOOKUP(B11,[1]ca3!$D$2:$X$66,20,FALSE),1)</f>
        <v>8.8000000000000007</v>
      </c>
      <c r="L11" s="2" t="s">
        <v>25</v>
      </c>
      <c r="M11" s="2" t="s">
        <v>25</v>
      </c>
      <c r="N11" s="2" t="s">
        <v>25</v>
      </c>
      <c r="O11" s="2" t="s">
        <v>25</v>
      </c>
      <c r="P11" s="2" t="s">
        <v>25</v>
      </c>
      <c r="Q11" s="2" t="s">
        <v>25</v>
      </c>
      <c r="R11" s="2" t="s">
        <v>25</v>
      </c>
      <c r="S11" s="2" t="s">
        <v>25</v>
      </c>
    </row>
    <row r="12" spans="1:19" ht="29" x14ac:dyDescent="0.35">
      <c r="A12" s="2" t="s">
        <v>51</v>
      </c>
      <c r="B12" s="2">
        <v>24003115</v>
      </c>
      <c r="C12" s="2" t="s">
        <v>52</v>
      </c>
      <c r="D12" s="2" t="s">
        <v>53</v>
      </c>
      <c r="E12" s="2" t="s">
        <v>54</v>
      </c>
      <c r="F12" s="2" t="s">
        <v>24</v>
      </c>
      <c r="G12" s="2" t="s">
        <v>25</v>
      </c>
      <c r="H12" s="2" t="s">
        <v>20</v>
      </c>
      <c r="I12" s="2" t="s">
        <v>20</v>
      </c>
      <c r="J12" s="2">
        <f>VLOOKUP(B12,[1]ca3!$D$2:$X$66,21,FALSE)</f>
        <v>10</v>
      </c>
      <c r="K12" s="2">
        <f>ROUND(VLOOKUP(B12,[1]ca3!$D$2:$X$66,20,FALSE),1)</f>
        <v>7.2</v>
      </c>
      <c r="L12" s="2" t="s">
        <v>25</v>
      </c>
      <c r="M12" s="2" t="s">
        <v>25</v>
      </c>
      <c r="N12" s="2" t="s">
        <v>25</v>
      </c>
      <c r="O12" s="2" t="s">
        <v>25</v>
      </c>
      <c r="P12" s="2" t="s">
        <v>25</v>
      </c>
      <c r="Q12" s="2" t="s">
        <v>25</v>
      </c>
      <c r="R12" s="2" t="s">
        <v>25</v>
      </c>
      <c r="S12" s="2" t="s">
        <v>25</v>
      </c>
    </row>
    <row r="13" spans="1:19" ht="29" x14ac:dyDescent="0.35">
      <c r="A13" s="2" t="s">
        <v>55</v>
      </c>
      <c r="B13" s="2">
        <v>24002879</v>
      </c>
      <c r="C13" s="2" t="s">
        <v>56</v>
      </c>
      <c r="D13" s="2" t="s">
        <v>57</v>
      </c>
      <c r="E13" s="2" t="s">
        <v>58</v>
      </c>
      <c r="F13" s="2" t="s">
        <v>24</v>
      </c>
      <c r="G13" s="2" t="s">
        <v>25</v>
      </c>
      <c r="H13" s="2" t="s">
        <v>20</v>
      </c>
      <c r="I13" s="2" t="s">
        <v>20</v>
      </c>
      <c r="J13" s="2">
        <f>VLOOKUP(B13,[1]ca3!$D$2:$X$66,21,FALSE)</f>
        <v>10</v>
      </c>
      <c r="K13" s="2">
        <f>ROUND(VLOOKUP(B13,[1]ca3!$D$2:$X$66,20,FALSE),1)</f>
        <v>7.6</v>
      </c>
      <c r="L13" s="2" t="s">
        <v>25</v>
      </c>
      <c r="M13" s="2" t="s">
        <v>25</v>
      </c>
      <c r="N13" s="2" t="s">
        <v>25</v>
      </c>
      <c r="O13" s="2" t="s">
        <v>25</v>
      </c>
      <c r="P13" s="2" t="s">
        <v>25</v>
      </c>
      <c r="Q13" s="2" t="s">
        <v>25</v>
      </c>
      <c r="R13" s="2" t="s">
        <v>25</v>
      </c>
      <c r="S13" s="2" t="s">
        <v>25</v>
      </c>
    </row>
    <row r="14" spans="1:19" ht="29" x14ac:dyDescent="0.35">
      <c r="A14" s="2" t="s">
        <v>59</v>
      </c>
      <c r="B14" s="2">
        <v>24002720</v>
      </c>
      <c r="C14" s="2" t="s">
        <v>60</v>
      </c>
      <c r="D14" s="2" t="s">
        <v>61</v>
      </c>
      <c r="E14" s="2" t="s">
        <v>62</v>
      </c>
      <c r="F14" s="2" t="s">
        <v>24</v>
      </c>
      <c r="G14" s="2" t="s">
        <v>25</v>
      </c>
      <c r="H14" s="2" t="s">
        <v>20</v>
      </c>
      <c r="I14" s="2" t="s">
        <v>20</v>
      </c>
      <c r="J14" s="2">
        <f>VLOOKUP(B14,[1]ca3!$D$2:$X$66,21,FALSE)</f>
        <v>10</v>
      </c>
      <c r="K14" s="2">
        <f>ROUND(VLOOKUP(B14,[1]ca3!$D$2:$X$66,20,FALSE),1)</f>
        <v>6.8</v>
      </c>
      <c r="L14" s="2" t="s">
        <v>25</v>
      </c>
      <c r="M14" s="2" t="s">
        <v>25</v>
      </c>
      <c r="N14" s="2" t="s">
        <v>25</v>
      </c>
      <c r="O14" s="2" t="s">
        <v>25</v>
      </c>
      <c r="P14" s="2" t="s">
        <v>25</v>
      </c>
      <c r="Q14" s="2" t="s">
        <v>25</v>
      </c>
      <c r="R14" s="2" t="s">
        <v>25</v>
      </c>
      <c r="S14" s="2" t="s">
        <v>25</v>
      </c>
    </row>
    <row r="15" spans="1:19" ht="29" x14ac:dyDescent="0.35">
      <c r="A15" s="2" t="s">
        <v>63</v>
      </c>
      <c r="B15" s="2">
        <v>24003430</v>
      </c>
      <c r="C15" s="2" t="s">
        <v>64</v>
      </c>
      <c r="D15" s="2" t="s">
        <v>65</v>
      </c>
      <c r="E15" s="2" t="s">
        <v>66</v>
      </c>
      <c r="F15" s="2" t="s">
        <v>67</v>
      </c>
      <c r="G15" s="2" t="s">
        <v>25</v>
      </c>
      <c r="H15" s="2" t="s">
        <v>20</v>
      </c>
      <c r="I15" s="2" t="s">
        <v>20</v>
      </c>
      <c r="J15" s="2">
        <f>VLOOKUP(B15,[1]ca3!$D$2:$X$66,21,FALSE)</f>
        <v>9</v>
      </c>
      <c r="K15" s="2">
        <f>ROUND(VLOOKUP(B15,[1]ca3!$D$2:$X$66,20,FALSE),1)</f>
        <v>6.9</v>
      </c>
      <c r="L15" s="2" t="s">
        <v>25</v>
      </c>
      <c r="M15" s="2" t="s">
        <v>25</v>
      </c>
      <c r="N15" s="2" t="s">
        <v>25</v>
      </c>
      <c r="O15" s="2" t="s">
        <v>25</v>
      </c>
      <c r="P15" s="2" t="s">
        <v>25</v>
      </c>
      <c r="Q15" s="2" t="s">
        <v>25</v>
      </c>
      <c r="R15" s="2" t="s">
        <v>25</v>
      </c>
      <c r="S15" s="2" t="s">
        <v>25</v>
      </c>
    </row>
    <row r="16" spans="1:19" ht="29" x14ac:dyDescent="0.35">
      <c r="A16" s="2" t="s">
        <v>68</v>
      </c>
      <c r="B16" s="2">
        <v>24002784</v>
      </c>
      <c r="C16" s="2" t="s">
        <v>69</v>
      </c>
      <c r="D16" s="2" t="s">
        <v>70</v>
      </c>
      <c r="E16" s="2" t="s">
        <v>71</v>
      </c>
      <c r="F16" s="2" t="s">
        <v>24</v>
      </c>
      <c r="G16" s="2" t="s">
        <v>25</v>
      </c>
      <c r="H16" s="2" t="s">
        <v>20</v>
      </c>
      <c r="I16" s="2" t="s">
        <v>20</v>
      </c>
      <c r="J16" s="2">
        <f>VLOOKUP(B16,[1]ca3!$D$2:$X$66,21,FALSE)</f>
        <v>10</v>
      </c>
      <c r="K16" s="2">
        <f>ROUND(VLOOKUP(B16,[1]ca3!$D$2:$X$66,20,FALSE),1)</f>
        <v>8.8000000000000007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</row>
    <row r="17" spans="1:19" ht="29" x14ac:dyDescent="0.35">
      <c r="A17" s="2" t="s">
        <v>72</v>
      </c>
      <c r="B17" s="2">
        <v>24003008</v>
      </c>
      <c r="C17" s="2" t="s">
        <v>73</v>
      </c>
      <c r="D17" s="2" t="s">
        <v>74</v>
      </c>
      <c r="E17" s="2" t="s">
        <v>75</v>
      </c>
      <c r="F17" s="2" t="s">
        <v>24</v>
      </c>
      <c r="G17" s="2" t="s">
        <v>25</v>
      </c>
      <c r="H17" s="2" t="s">
        <v>20</v>
      </c>
      <c r="I17" s="2" t="s">
        <v>20</v>
      </c>
      <c r="J17" s="2">
        <f>VLOOKUP(B17,[1]ca3!$D$2:$X$66,21,FALSE)</f>
        <v>10</v>
      </c>
      <c r="K17" s="2">
        <f>ROUND(VLOOKUP(B17,[1]ca3!$D$2:$X$66,20,FALSE),1)</f>
        <v>8.6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</row>
    <row r="18" spans="1:19" ht="29" x14ac:dyDescent="0.35">
      <c r="A18" s="2" t="s">
        <v>76</v>
      </c>
      <c r="B18" s="2">
        <v>24002580</v>
      </c>
      <c r="C18" s="2" t="s">
        <v>77</v>
      </c>
      <c r="D18" s="2" t="s">
        <v>78</v>
      </c>
      <c r="E18" s="2" t="s">
        <v>79</v>
      </c>
      <c r="F18" s="2" t="s">
        <v>67</v>
      </c>
      <c r="G18" s="2" t="s">
        <v>25</v>
      </c>
      <c r="H18" s="2" t="s">
        <v>20</v>
      </c>
      <c r="I18" s="2" t="s">
        <v>20</v>
      </c>
      <c r="J18" s="2">
        <f>VLOOKUP(B18,[1]ca3!$D$2:$X$66,21,FALSE)</f>
        <v>10</v>
      </c>
      <c r="K18" s="2">
        <f>ROUND(VLOOKUP(B18,[1]ca3!$D$2:$X$66,20,FALSE),1)</f>
        <v>7.1</v>
      </c>
      <c r="L18" s="2" t="s">
        <v>25</v>
      </c>
      <c r="M18" s="2" t="s">
        <v>25</v>
      </c>
      <c r="N18" s="2" t="s">
        <v>25</v>
      </c>
      <c r="O18" s="2" t="s">
        <v>25</v>
      </c>
      <c r="P18" s="2" t="s">
        <v>25</v>
      </c>
      <c r="Q18" s="2" t="s">
        <v>25</v>
      </c>
      <c r="R18" s="2" t="s">
        <v>25</v>
      </c>
      <c r="S18" s="2" t="s">
        <v>25</v>
      </c>
    </row>
    <row r="19" spans="1:19" ht="29" x14ac:dyDescent="0.35">
      <c r="A19" s="2" t="s">
        <v>80</v>
      </c>
      <c r="B19" s="2">
        <v>24003057</v>
      </c>
      <c r="C19" s="2" t="s">
        <v>81</v>
      </c>
      <c r="D19" s="2" t="s">
        <v>82</v>
      </c>
      <c r="E19" s="2" t="s">
        <v>83</v>
      </c>
      <c r="F19" s="2" t="s">
        <v>24</v>
      </c>
      <c r="G19" s="2" t="s">
        <v>25</v>
      </c>
      <c r="H19" s="2" t="s">
        <v>20</v>
      </c>
      <c r="I19" s="2" t="s">
        <v>20</v>
      </c>
      <c r="J19" s="2">
        <f>VLOOKUP(B19,[1]ca3!$D$2:$X$66,21,FALSE)</f>
        <v>10</v>
      </c>
      <c r="K19" s="2">
        <f>ROUND(VLOOKUP(B19,[1]ca3!$D$2:$X$66,20,FALSE),1)</f>
        <v>6.2</v>
      </c>
      <c r="L19" s="2" t="s">
        <v>25</v>
      </c>
      <c r="M19" s="2" t="s">
        <v>25</v>
      </c>
      <c r="N19" s="2" t="s">
        <v>25</v>
      </c>
      <c r="O19" s="2" t="s">
        <v>25</v>
      </c>
      <c r="P19" s="2" t="s">
        <v>25</v>
      </c>
      <c r="Q19" s="2" t="s">
        <v>25</v>
      </c>
      <c r="R19" s="2" t="s">
        <v>25</v>
      </c>
      <c r="S19" s="2" t="s">
        <v>25</v>
      </c>
    </row>
    <row r="20" spans="1:19" ht="29" x14ac:dyDescent="0.35">
      <c r="A20" s="2" t="s">
        <v>84</v>
      </c>
      <c r="B20" s="2">
        <v>24002206</v>
      </c>
      <c r="C20" s="2" t="s">
        <v>85</v>
      </c>
      <c r="D20" s="2" t="s">
        <v>86</v>
      </c>
      <c r="E20" s="2" t="s">
        <v>87</v>
      </c>
      <c r="F20" s="2" t="s">
        <v>24</v>
      </c>
      <c r="G20" s="2" t="s">
        <v>25</v>
      </c>
      <c r="H20" s="2" t="s">
        <v>20</v>
      </c>
      <c r="I20" s="2" t="s">
        <v>20</v>
      </c>
      <c r="J20" s="2">
        <f>VLOOKUP(B20,[1]ca3!$D$2:$X$66,21,FALSE)</f>
        <v>9</v>
      </c>
      <c r="K20" s="2">
        <f>ROUND(VLOOKUP(B20,[1]ca3!$D$2:$X$66,20,FALSE),1)</f>
        <v>6.2</v>
      </c>
      <c r="L20" s="2" t="s">
        <v>25</v>
      </c>
      <c r="M20" s="2" t="s">
        <v>25</v>
      </c>
      <c r="N20" s="2" t="s">
        <v>25</v>
      </c>
      <c r="O20" s="2" t="s">
        <v>25</v>
      </c>
      <c r="P20" s="2" t="s">
        <v>25</v>
      </c>
      <c r="Q20" s="2" t="s">
        <v>25</v>
      </c>
      <c r="R20" s="2" t="s">
        <v>25</v>
      </c>
      <c r="S20" s="2" t="s">
        <v>25</v>
      </c>
    </row>
    <row r="21" spans="1:19" ht="29" x14ac:dyDescent="0.35">
      <c r="A21" s="2" t="s">
        <v>88</v>
      </c>
      <c r="B21" s="2">
        <v>24001981</v>
      </c>
      <c r="C21" s="2" t="s">
        <v>89</v>
      </c>
      <c r="D21" s="2" t="s">
        <v>90</v>
      </c>
      <c r="E21" s="2" t="s">
        <v>91</v>
      </c>
      <c r="F21" s="2" t="s">
        <v>24</v>
      </c>
      <c r="G21" s="2" t="s">
        <v>25</v>
      </c>
      <c r="H21" s="2" t="s">
        <v>20</v>
      </c>
      <c r="I21" s="2" t="s">
        <v>20</v>
      </c>
      <c r="J21" s="2">
        <f>VLOOKUP(B21,[1]ca3!$D$2:$X$66,21,FALSE)</f>
        <v>7.5</v>
      </c>
      <c r="K21" s="2">
        <f>ROUND(VLOOKUP(B21,[1]ca3!$D$2:$X$66,20,FALSE),1)</f>
        <v>4.0999999999999996</v>
      </c>
      <c r="L21" s="2" t="s">
        <v>25</v>
      </c>
      <c r="M21" s="2" t="s">
        <v>25</v>
      </c>
      <c r="N21" s="2" t="s">
        <v>25</v>
      </c>
      <c r="O21" s="2" t="s">
        <v>25</v>
      </c>
      <c r="P21" s="2" t="s">
        <v>25</v>
      </c>
      <c r="Q21" s="2" t="s">
        <v>25</v>
      </c>
      <c r="R21" s="2" t="s">
        <v>25</v>
      </c>
      <c r="S21" s="2" t="s">
        <v>25</v>
      </c>
    </row>
    <row r="22" spans="1:19" ht="29" x14ac:dyDescent="0.35">
      <c r="A22" s="2" t="s">
        <v>92</v>
      </c>
      <c r="B22" s="2">
        <v>24002611</v>
      </c>
      <c r="C22" s="2" t="s">
        <v>93</v>
      </c>
      <c r="D22" s="2" t="s">
        <v>94</v>
      </c>
      <c r="E22" s="2" t="s">
        <v>95</v>
      </c>
      <c r="F22" s="2" t="s">
        <v>24</v>
      </c>
      <c r="G22" s="2" t="s">
        <v>25</v>
      </c>
      <c r="H22" s="2" t="s">
        <v>20</v>
      </c>
      <c r="I22" s="2" t="s">
        <v>20</v>
      </c>
      <c r="J22" s="2">
        <f>VLOOKUP(B22,[1]ca3!$D$2:$X$66,21,FALSE)</f>
        <v>10</v>
      </c>
      <c r="K22" s="2">
        <f>ROUND(VLOOKUP(B22,[1]ca3!$D$2:$X$66,20,FALSE),1)</f>
        <v>6.8</v>
      </c>
      <c r="L22" s="2" t="s">
        <v>25</v>
      </c>
      <c r="M22" s="2" t="s">
        <v>25</v>
      </c>
      <c r="N22" s="2" t="s">
        <v>25</v>
      </c>
      <c r="O22" s="2" t="s">
        <v>25</v>
      </c>
      <c r="P22" s="2" t="s">
        <v>25</v>
      </c>
      <c r="Q22" s="2" t="s">
        <v>25</v>
      </c>
      <c r="R22" s="2" t="s">
        <v>25</v>
      </c>
      <c r="S22" s="2" t="s">
        <v>25</v>
      </c>
    </row>
    <row r="23" spans="1:19" ht="29" x14ac:dyDescent="0.35">
      <c r="A23" s="2" t="s">
        <v>96</v>
      </c>
      <c r="B23" s="2">
        <v>24003117</v>
      </c>
      <c r="C23" s="2" t="s">
        <v>97</v>
      </c>
      <c r="D23" s="2" t="s">
        <v>98</v>
      </c>
      <c r="E23" s="2" t="s">
        <v>99</v>
      </c>
      <c r="F23" s="2" t="s">
        <v>67</v>
      </c>
      <c r="G23" s="2" t="s">
        <v>25</v>
      </c>
      <c r="H23" s="2" t="s">
        <v>20</v>
      </c>
      <c r="I23" s="2" t="s">
        <v>20</v>
      </c>
      <c r="J23" s="2">
        <f>VLOOKUP(B23,[1]ca3!$D$2:$X$66,21,FALSE)</f>
        <v>6</v>
      </c>
      <c r="K23" s="2">
        <f>ROUND(VLOOKUP(B23,[1]ca3!$D$2:$X$66,20,FALSE),1)</f>
        <v>6.9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</row>
    <row r="24" spans="1:19" ht="29" x14ac:dyDescent="0.35">
      <c r="A24" s="2" t="s">
        <v>100</v>
      </c>
      <c r="B24" s="2">
        <v>24002979</v>
      </c>
      <c r="C24" s="2" t="s">
        <v>101</v>
      </c>
      <c r="D24" s="2" t="s">
        <v>102</v>
      </c>
      <c r="E24" s="2" t="s">
        <v>103</v>
      </c>
      <c r="F24" s="2" t="s">
        <v>24</v>
      </c>
      <c r="G24" s="2" t="s">
        <v>25</v>
      </c>
      <c r="H24" s="2" t="s">
        <v>20</v>
      </c>
      <c r="I24" s="2" t="s">
        <v>20</v>
      </c>
      <c r="J24" s="2">
        <f>VLOOKUP(B24,[1]ca3!$D$2:$X$66,21,FALSE)</f>
        <v>9.5</v>
      </c>
      <c r="K24" s="2">
        <f>ROUND(VLOOKUP(B24,[1]ca3!$D$2:$X$66,20,FALSE),1)</f>
        <v>6.8</v>
      </c>
      <c r="L24" s="2" t="s">
        <v>25</v>
      </c>
      <c r="M24" s="2" t="s">
        <v>25</v>
      </c>
      <c r="N24" s="2" t="s">
        <v>25</v>
      </c>
      <c r="O24" s="2" t="s">
        <v>25</v>
      </c>
      <c r="P24" s="2" t="s">
        <v>25</v>
      </c>
      <c r="Q24" s="2" t="s">
        <v>25</v>
      </c>
      <c r="R24" s="2" t="s">
        <v>25</v>
      </c>
      <c r="S24" s="2" t="s">
        <v>25</v>
      </c>
    </row>
    <row r="25" spans="1:19" ht="29" x14ac:dyDescent="0.35">
      <c r="A25" s="2" t="s">
        <v>104</v>
      </c>
      <c r="B25" s="2">
        <v>24002839</v>
      </c>
      <c r="C25" s="2" t="s">
        <v>105</v>
      </c>
      <c r="D25" s="2" t="s">
        <v>106</v>
      </c>
      <c r="E25" s="2" t="s">
        <v>107</v>
      </c>
      <c r="F25" s="2" t="s">
        <v>24</v>
      </c>
      <c r="G25" s="2" t="s">
        <v>25</v>
      </c>
      <c r="H25" s="2" t="s">
        <v>20</v>
      </c>
      <c r="I25" s="2" t="s">
        <v>20</v>
      </c>
      <c r="J25" s="2">
        <f>VLOOKUP(B25,[1]ca3!$D$2:$X$66,21,FALSE)</f>
        <v>10</v>
      </c>
      <c r="K25" s="2">
        <f>ROUND(VLOOKUP(B25,[1]ca3!$D$2:$X$66,20,FALSE),1)</f>
        <v>7.2</v>
      </c>
      <c r="L25" s="2" t="s">
        <v>25</v>
      </c>
      <c r="M25" s="2" t="s">
        <v>25</v>
      </c>
      <c r="N25" s="2" t="s">
        <v>25</v>
      </c>
      <c r="O25" s="2" t="s">
        <v>25</v>
      </c>
      <c r="P25" s="2" t="s">
        <v>25</v>
      </c>
      <c r="Q25" s="2" t="s">
        <v>25</v>
      </c>
      <c r="R25" s="2" t="s">
        <v>25</v>
      </c>
      <c r="S25" s="2" t="s">
        <v>25</v>
      </c>
    </row>
    <row r="26" spans="1:19" ht="29" x14ac:dyDescent="0.35">
      <c r="A26" s="2" t="s">
        <v>108</v>
      </c>
      <c r="B26" s="2">
        <v>24002636</v>
      </c>
      <c r="C26" s="2" t="s">
        <v>109</v>
      </c>
      <c r="D26" s="2" t="s">
        <v>110</v>
      </c>
      <c r="E26" s="2" t="s">
        <v>111</v>
      </c>
      <c r="F26" s="2" t="s">
        <v>24</v>
      </c>
      <c r="G26" s="2" t="s">
        <v>25</v>
      </c>
      <c r="H26" s="2" t="s">
        <v>20</v>
      </c>
      <c r="I26" s="2" t="s">
        <v>20</v>
      </c>
      <c r="J26" s="2">
        <f>VLOOKUP(B26,[1]ca3!$D$2:$X$66,21,FALSE)</f>
        <v>10</v>
      </c>
      <c r="K26" s="2">
        <f>ROUND(VLOOKUP(B26,[1]ca3!$D$2:$X$66,20,FALSE),1)</f>
        <v>7.7</v>
      </c>
      <c r="L26" s="2" t="s">
        <v>25</v>
      </c>
      <c r="M26" s="2" t="s">
        <v>25</v>
      </c>
      <c r="N26" s="2" t="s">
        <v>25</v>
      </c>
      <c r="O26" s="2" t="s">
        <v>25</v>
      </c>
      <c r="P26" s="2" t="s">
        <v>25</v>
      </c>
      <c r="Q26" s="2" t="s">
        <v>25</v>
      </c>
      <c r="R26" s="2" t="s">
        <v>25</v>
      </c>
      <c r="S26" s="2" t="s">
        <v>25</v>
      </c>
    </row>
    <row r="27" spans="1:19" ht="29" x14ac:dyDescent="0.35">
      <c r="A27" s="2" t="s">
        <v>112</v>
      </c>
      <c r="B27" s="2">
        <v>24002820</v>
      </c>
      <c r="C27" s="2" t="s">
        <v>113</v>
      </c>
      <c r="D27" s="2" t="s">
        <v>114</v>
      </c>
      <c r="E27" s="2" t="s">
        <v>115</v>
      </c>
      <c r="F27" s="2" t="s">
        <v>24</v>
      </c>
      <c r="G27" s="2" t="s">
        <v>25</v>
      </c>
      <c r="H27" s="2" t="s">
        <v>20</v>
      </c>
      <c r="I27" s="2" t="s">
        <v>20</v>
      </c>
      <c r="J27" s="2">
        <f>VLOOKUP(B27,[1]ca3!$D$2:$X$66,21,FALSE)</f>
        <v>10</v>
      </c>
      <c r="K27" s="2">
        <f>ROUND(VLOOKUP(B27,[1]ca3!$D$2:$X$66,20,FALSE),1)</f>
        <v>6.5</v>
      </c>
      <c r="L27" s="2" t="s">
        <v>25</v>
      </c>
      <c r="M27" s="2" t="s">
        <v>25</v>
      </c>
      <c r="N27" s="2" t="s">
        <v>25</v>
      </c>
      <c r="O27" s="2" t="s">
        <v>25</v>
      </c>
      <c r="P27" s="2" t="s">
        <v>25</v>
      </c>
      <c r="Q27" s="2" t="s">
        <v>25</v>
      </c>
      <c r="R27" s="2" t="s">
        <v>25</v>
      </c>
      <c r="S27" s="2" t="s">
        <v>25</v>
      </c>
    </row>
    <row r="28" spans="1:19" ht="29" x14ac:dyDescent="0.35">
      <c r="A28" s="2" t="s">
        <v>116</v>
      </c>
      <c r="B28" s="2">
        <v>24002683</v>
      </c>
      <c r="C28" s="2" t="s">
        <v>117</v>
      </c>
      <c r="D28" s="2" t="s">
        <v>118</v>
      </c>
      <c r="E28" s="2" t="s">
        <v>119</v>
      </c>
      <c r="F28" s="2" t="s">
        <v>24</v>
      </c>
      <c r="G28" s="2" t="s">
        <v>25</v>
      </c>
      <c r="H28" s="2" t="s">
        <v>20</v>
      </c>
      <c r="I28" s="2" t="s">
        <v>20</v>
      </c>
      <c r="J28" s="2">
        <f>VLOOKUP(B28,[1]ca3!$D$2:$X$66,21,FALSE)</f>
        <v>10</v>
      </c>
      <c r="K28" s="2">
        <f>ROUND(VLOOKUP(B28,[1]ca3!$D$2:$X$66,20,FALSE),1)</f>
        <v>5.9</v>
      </c>
      <c r="L28" s="2" t="s">
        <v>25</v>
      </c>
      <c r="M28" s="2" t="s">
        <v>25</v>
      </c>
      <c r="N28" s="2" t="s">
        <v>25</v>
      </c>
      <c r="O28" s="2" t="s">
        <v>25</v>
      </c>
      <c r="P28" s="2" t="s">
        <v>25</v>
      </c>
      <c r="Q28" s="2" t="s">
        <v>25</v>
      </c>
      <c r="R28" s="2" t="s">
        <v>25</v>
      </c>
      <c r="S28" s="2" t="s">
        <v>25</v>
      </c>
    </row>
    <row r="29" spans="1:19" ht="29" x14ac:dyDescent="0.35">
      <c r="A29" s="2" t="s">
        <v>120</v>
      </c>
      <c r="B29" s="2">
        <v>24002240</v>
      </c>
      <c r="C29" s="2" t="s">
        <v>121</v>
      </c>
      <c r="D29" s="2" t="s">
        <v>122</v>
      </c>
      <c r="E29" s="2" t="s">
        <v>123</v>
      </c>
      <c r="F29" s="2" t="s">
        <v>67</v>
      </c>
      <c r="G29" s="2" t="s">
        <v>25</v>
      </c>
      <c r="H29" s="2" t="s">
        <v>20</v>
      </c>
      <c r="I29" s="2" t="s">
        <v>20</v>
      </c>
      <c r="J29" s="2">
        <f>VLOOKUP(B29,[1]ca3!$D$2:$X$66,21,FALSE)</f>
        <v>8.5</v>
      </c>
      <c r="K29" s="2">
        <f>ROUND(VLOOKUP(B29,[1]ca3!$D$2:$X$66,20,FALSE),1)</f>
        <v>7.4</v>
      </c>
      <c r="L29" s="2" t="s">
        <v>25</v>
      </c>
      <c r="M29" s="2" t="s">
        <v>25</v>
      </c>
      <c r="N29" s="2" t="s">
        <v>25</v>
      </c>
      <c r="O29" s="2" t="s">
        <v>25</v>
      </c>
      <c r="P29" s="2" t="s">
        <v>25</v>
      </c>
      <c r="Q29" s="2" t="s">
        <v>25</v>
      </c>
      <c r="R29" s="2" t="s">
        <v>25</v>
      </c>
      <c r="S29" s="2" t="s">
        <v>25</v>
      </c>
    </row>
    <row r="30" spans="1:19" ht="29" x14ac:dyDescent="0.35">
      <c r="A30" s="2" t="s">
        <v>124</v>
      </c>
      <c r="B30" s="2">
        <v>24003328</v>
      </c>
      <c r="C30" s="2" t="s">
        <v>125</v>
      </c>
      <c r="D30" s="2" t="s">
        <v>126</v>
      </c>
      <c r="E30" s="2" t="s">
        <v>127</v>
      </c>
      <c r="F30" s="2" t="s">
        <v>67</v>
      </c>
      <c r="G30" s="2" t="s">
        <v>25</v>
      </c>
      <c r="H30" s="2" t="s">
        <v>20</v>
      </c>
      <c r="I30" s="2" t="s">
        <v>20</v>
      </c>
      <c r="J30" s="2">
        <f>VLOOKUP(B30,[1]ca3!$D$2:$X$66,21,FALSE)</f>
        <v>9</v>
      </c>
      <c r="K30" s="2">
        <f>ROUND(VLOOKUP(B30,[1]ca3!$D$2:$X$66,20,FALSE),1)</f>
        <v>7</v>
      </c>
      <c r="L30" s="2" t="s">
        <v>25</v>
      </c>
      <c r="M30" s="2" t="s">
        <v>25</v>
      </c>
      <c r="N30" s="2" t="s">
        <v>25</v>
      </c>
      <c r="O30" s="2" t="s">
        <v>25</v>
      </c>
      <c r="P30" s="2" t="s">
        <v>25</v>
      </c>
      <c r="Q30" s="2" t="s">
        <v>25</v>
      </c>
      <c r="R30" s="2" t="s">
        <v>25</v>
      </c>
      <c r="S30" s="2" t="s">
        <v>25</v>
      </c>
    </row>
    <row r="31" spans="1:19" ht="29" x14ac:dyDescent="0.35">
      <c r="A31" s="2" t="s">
        <v>128</v>
      </c>
      <c r="B31" s="2">
        <v>24002974</v>
      </c>
      <c r="C31" s="2" t="s">
        <v>129</v>
      </c>
      <c r="D31" s="2" t="s">
        <v>130</v>
      </c>
      <c r="E31" s="2" t="s">
        <v>131</v>
      </c>
      <c r="F31" s="2" t="s">
        <v>24</v>
      </c>
      <c r="G31" s="2" t="s">
        <v>25</v>
      </c>
      <c r="H31" s="2" t="s">
        <v>20</v>
      </c>
      <c r="I31" s="2" t="s">
        <v>20</v>
      </c>
      <c r="J31" s="2">
        <f>VLOOKUP(B31,[1]ca3!$D$2:$X$66,21,FALSE)</f>
        <v>9</v>
      </c>
      <c r="K31" s="2">
        <f>ROUND(VLOOKUP(B31,[1]ca3!$D$2:$X$66,20,FALSE),1)</f>
        <v>7.2</v>
      </c>
      <c r="L31" s="2" t="s">
        <v>25</v>
      </c>
      <c r="M31" s="2" t="s">
        <v>25</v>
      </c>
      <c r="N31" s="2" t="s">
        <v>25</v>
      </c>
      <c r="O31" s="2" t="s">
        <v>25</v>
      </c>
      <c r="P31" s="2" t="s">
        <v>25</v>
      </c>
      <c r="Q31" s="2" t="s">
        <v>25</v>
      </c>
      <c r="R31" s="2" t="s">
        <v>25</v>
      </c>
      <c r="S31" s="2" t="s">
        <v>25</v>
      </c>
    </row>
    <row r="32" spans="1:19" ht="29" x14ac:dyDescent="0.35">
      <c r="A32" s="2" t="s">
        <v>132</v>
      </c>
      <c r="B32" s="2">
        <v>24002457</v>
      </c>
      <c r="C32" s="2" t="s">
        <v>133</v>
      </c>
      <c r="D32" s="2" t="s">
        <v>130</v>
      </c>
      <c r="E32" s="2" t="s">
        <v>134</v>
      </c>
      <c r="F32" s="2" t="s">
        <v>67</v>
      </c>
      <c r="G32" s="2" t="s">
        <v>25</v>
      </c>
      <c r="H32" s="2" t="s">
        <v>20</v>
      </c>
      <c r="I32" s="2" t="s">
        <v>20</v>
      </c>
      <c r="J32" s="2">
        <f>VLOOKUP(B32,[1]ca3!$D$2:$X$66,21,FALSE)</f>
        <v>10</v>
      </c>
      <c r="K32" s="2">
        <f>ROUND(VLOOKUP(B32,[1]ca3!$D$2:$X$66,20,FALSE),1)</f>
        <v>7</v>
      </c>
      <c r="L32" s="2" t="s">
        <v>25</v>
      </c>
      <c r="M32" s="2" t="s">
        <v>25</v>
      </c>
      <c r="N32" s="2" t="s">
        <v>25</v>
      </c>
      <c r="O32" s="2" t="s">
        <v>25</v>
      </c>
      <c r="P32" s="2" t="s">
        <v>25</v>
      </c>
      <c r="Q32" s="2" t="s">
        <v>25</v>
      </c>
      <c r="R32" s="2" t="s">
        <v>25</v>
      </c>
      <c r="S32" s="2" t="s">
        <v>25</v>
      </c>
    </row>
    <row r="33" spans="1:19" ht="29" x14ac:dyDescent="0.35">
      <c r="A33" s="2" t="s">
        <v>135</v>
      </c>
      <c r="B33" s="2">
        <v>24002579</v>
      </c>
      <c r="C33" s="2" t="s">
        <v>136</v>
      </c>
      <c r="D33" s="2" t="s">
        <v>137</v>
      </c>
      <c r="E33" s="2" t="s">
        <v>138</v>
      </c>
      <c r="F33" s="2" t="s">
        <v>24</v>
      </c>
      <c r="G33" s="2" t="s">
        <v>25</v>
      </c>
      <c r="H33" s="2" t="s">
        <v>20</v>
      </c>
      <c r="I33" s="2" t="s">
        <v>20</v>
      </c>
      <c r="J33" s="2">
        <f>VLOOKUP(B33,[1]ca3!$D$2:$X$66,21,FALSE)</f>
        <v>10</v>
      </c>
      <c r="K33" s="2">
        <f>ROUND(VLOOKUP(B33,[1]ca3!$D$2:$X$66,20,FALSE),1)</f>
        <v>7.3</v>
      </c>
      <c r="L33" s="2" t="s">
        <v>25</v>
      </c>
      <c r="M33" s="2" t="s">
        <v>25</v>
      </c>
      <c r="N33" s="2" t="s">
        <v>25</v>
      </c>
      <c r="O33" s="2" t="s">
        <v>25</v>
      </c>
      <c r="P33" s="2" t="s">
        <v>25</v>
      </c>
      <c r="Q33" s="2" t="s">
        <v>25</v>
      </c>
      <c r="R33" s="2" t="s">
        <v>25</v>
      </c>
      <c r="S33" s="2" t="s">
        <v>25</v>
      </c>
    </row>
    <row r="34" spans="1:19" ht="29" x14ac:dyDescent="0.35">
      <c r="A34" s="2" t="s">
        <v>139</v>
      </c>
      <c r="B34" s="2">
        <v>24001286</v>
      </c>
      <c r="C34" s="2" t="s">
        <v>140</v>
      </c>
      <c r="D34" s="2" t="s">
        <v>141</v>
      </c>
      <c r="E34" s="2" t="s">
        <v>142</v>
      </c>
      <c r="F34" s="2" t="s">
        <v>24</v>
      </c>
      <c r="G34" s="2" t="s">
        <v>25</v>
      </c>
      <c r="H34" s="2" t="s">
        <v>20</v>
      </c>
      <c r="I34" s="2" t="s">
        <v>20</v>
      </c>
      <c r="J34" s="2">
        <f>VLOOKUP(B34,[1]ca3!$D$2:$X$66,21,FALSE)</f>
        <v>10</v>
      </c>
      <c r="K34" s="2">
        <f>ROUND(VLOOKUP(B34,[1]ca3!$D$2:$X$66,20,FALSE),1)</f>
        <v>6.2</v>
      </c>
      <c r="L34" s="2" t="s">
        <v>25</v>
      </c>
      <c r="M34" s="2" t="s">
        <v>25</v>
      </c>
      <c r="N34" s="2" t="s">
        <v>25</v>
      </c>
      <c r="O34" s="2" t="s">
        <v>25</v>
      </c>
      <c r="P34" s="2" t="s">
        <v>25</v>
      </c>
      <c r="Q34" s="2" t="s">
        <v>25</v>
      </c>
      <c r="R34" s="2" t="s">
        <v>25</v>
      </c>
      <c r="S34" s="2" t="s">
        <v>25</v>
      </c>
    </row>
    <row r="35" spans="1:19" ht="29" x14ac:dyDescent="0.35">
      <c r="A35" s="2" t="s">
        <v>143</v>
      </c>
      <c r="B35" s="2">
        <v>24002814</v>
      </c>
      <c r="C35" s="2" t="s">
        <v>144</v>
      </c>
      <c r="D35" s="2" t="s">
        <v>145</v>
      </c>
      <c r="E35" s="2" t="s">
        <v>146</v>
      </c>
      <c r="F35" s="2" t="s">
        <v>24</v>
      </c>
      <c r="G35" s="2" t="s">
        <v>25</v>
      </c>
      <c r="H35" s="2" t="s">
        <v>20</v>
      </c>
      <c r="I35" s="2" t="s">
        <v>20</v>
      </c>
      <c r="J35" s="2">
        <f>VLOOKUP(B35,[1]ca3!$D$2:$X$66,21,FALSE)</f>
        <v>8</v>
      </c>
      <c r="K35" s="2">
        <f>ROUND(VLOOKUP(B35,[1]ca3!$D$2:$X$66,20,FALSE),1)</f>
        <v>5.9</v>
      </c>
      <c r="L35" s="2" t="s">
        <v>25</v>
      </c>
      <c r="M35" s="2" t="s">
        <v>25</v>
      </c>
      <c r="N35" s="2" t="s">
        <v>25</v>
      </c>
      <c r="O35" s="2" t="s">
        <v>25</v>
      </c>
      <c r="P35" s="2" t="s">
        <v>25</v>
      </c>
      <c r="Q35" s="2" t="s">
        <v>25</v>
      </c>
      <c r="R35" s="2" t="s">
        <v>25</v>
      </c>
      <c r="S35" s="2" t="s">
        <v>25</v>
      </c>
    </row>
    <row r="36" spans="1:19" ht="29" x14ac:dyDescent="0.35">
      <c r="A36" s="2" t="s">
        <v>147</v>
      </c>
      <c r="B36" s="2">
        <v>24002631</v>
      </c>
      <c r="C36" s="2" t="s">
        <v>148</v>
      </c>
      <c r="D36" s="2" t="s">
        <v>149</v>
      </c>
      <c r="E36" s="2" t="s">
        <v>150</v>
      </c>
      <c r="F36" s="2" t="s">
        <v>24</v>
      </c>
      <c r="G36" s="2" t="s">
        <v>25</v>
      </c>
      <c r="H36" s="2" t="s">
        <v>20</v>
      </c>
      <c r="I36" s="2" t="s">
        <v>20</v>
      </c>
      <c r="J36" s="2">
        <f>VLOOKUP(B36,[1]ca3!$D$2:$X$66,21,FALSE)</f>
        <v>8</v>
      </c>
      <c r="K36" s="2">
        <f>ROUND(VLOOKUP(B36,[1]ca3!$D$2:$X$66,20,FALSE),1)</f>
        <v>7.2</v>
      </c>
      <c r="L36" s="2" t="s">
        <v>25</v>
      </c>
      <c r="M36" s="2" t="s">
        <v>25</v>
      </c>
      <c r="N36" s="2" t="s">
        <v>25</v>
      </c>
      <c r="O36" s="2" t="s">
        <v>25</v>
      </c>
      <c r="P36" s="2" t="s">
        <v>25</v>
      </c>
      <c r="Q36" s="2" t="s">
        <v>25</v>
      </c>
      <c r="R36" s="2" t="s">
        <v>25</v>
      </c>
      <c r="S36" s="2" t="s">
        <v>25</v>
      </c>
    </row>
    <row r="37" spans="1:19" ht="29" x14ac:dyDescent="0.35">
      <c r="A37" s="2" t="s">
        <v>151</v>
      </c>
      <c r="B37" s="2">
        <v>24002315</v>
      </c>
      <c r="C37" s="2" t="s">
        <v>152</v>
      </c>
      <c r="D37" s="2" t="s">
        <v>149</v>
      </c>
      <c r="E37" s="2" t="s">
        <v>153</v>
      </c>
      <c r="F37" s="2" t="s">
        <v>24</v>
      </c>
      <c r="G37" s="2" t="s">
        <v>25</v>
      </c>
      <c r="H37" s="2" t="s">
        <v>20</v>
      </c>
      <c r="I37" s="2" t="s">
        <v>20</v>
      </c>
      <c r="J37" s="2">
        <f>VLOOKUP(B37,[1]ca3!$D$2:$X$66,21,FALSE)</f>
        <v>10</v>
      </c>
      <c r="K37" s="2">
        <f>ROUND(VLOOKUP(B37,[1]ca3!$D$2:$X$66,20,FALSE),1)</f>
        <v>6.8</v>
      </c>
      <c r="L37" s="2" t="s">
        <v>25</v>
      </c>
      <c r="M37" s="2" t="s">
        <v>25</v>
      </c>
      <c r="N37" s="2" t="s">
        <v>25</v>
      </c>
      <c r="O37" s="2" t="s">
        <v>25</v>
      </c>
      <c r="P37" s="2" t="s">
        <v>25</v>
      </c>
      <c r="Q37" s="2" t="s">
        <v>25</v>
      </c>
      <c r="R37" s="2" t="s">
        <v>25</v>
      </c>
      <c r="S37" s="2" t="s">
        <v>25</v>
      </c>
    </row>
    <row r="38" spans="1:19" ht="29" x14ac:dyDescent="0.35">
      <c r="A38" s="2" t="s">
        <v>154</v>
      </c>
      <c r="B38" s="2">
        <v>24002564</v>
      </c>
      <c r="C38" s="2" t="s">
        <v>73</v>
      </c>
      <c r="D38" s="2" t="s">
        <v>155</v>
      </c>
      <c r="E38" s="2" t="s">
        <v>156</v>
      </c>
      <c r="F38" s="2" t="s">
        <v>24</v>
      </c>
      <c r="G38" s="2" t="s">
        <v>25</v>
      </c>
      <c r="H38" s="2" t="s">
        <v>20</v>
      </c>
      <c r="I38" s="2" t="s">
        <v>20</v>
      </c>
      <c r="J38" s="2">
        <f>VLOOKUP(B38,[1]ca3!$D$2:$X$66,21,FALSE)</f>
        <v>9</v>
      </c>
      <c r="K38" s="2">
        <f>ROUND(VLOOKUP(B38,[1]ca3!$D$2:$X$66,20,FALSE),1)</f>
        <v>6.8</v>
      </c>
      <c r="L38" s="2" t="s">
        <v>25</v>
      </c>
      <c r="M38" s="2" t="s">
        <v>25</v>
      </c>
      <c r="N38" s="2" t="s">
        <v>25</v>
      </c>
      <c r="O38" s="2" t="s">
        <v>25</v>
      </c>
      <c r="P38" s="2" t="s">
        <v>25</v>
      </c>
      <c r="Q38" s="2" t="s">
        <v>25</v>
      </c>
      <c r="R38" s="2" t="s">
        <v>25</v>
      </c>
      <c r="S38" s="2" t="s">
        <v>25</v>
      </c>
    </row>
    <row r="39" spans="1:19" ht="29" x14ac:dyDescent="0.35">
      <c r="A39" s="2" t="s">
        <v>157</v>
      </c>
      <c r="B39" s="2">
        <v>24002841</v>
      </c>
      <c r="C39" s="2" t="s">
        <v>133</v>
      </c>
      <c r="D39" s="2" t="s">
        <v>155</v>
      </c>
      <c r="E39" s="2" t="s">
        <v>158</v>
      </c>
      <c r="F39" s="2" t="s">
        <v>24</v>
      </c>
      <c r="G39" s="2" t="s">
        <v>25</v>
      </c>
      <c r="H39" s="2" t="s">
        <v>20</v>
      </c>
      <c r="I39" s="2" t="s">
        <v>20</v>
      </c>
      <c r="J39" s="2">
        <f>VLOOKUP(B39,[1]ca3!$D$2:$X$66,21,FALSE)</f>
        <v>10</v>
      </c>
      <c r="K39" s="2">
        <f>ROUND(VLOOKUP(B39,[1]ca3!$D$2:$X$66,20,FALSE),1)</f>
        <v>6.8</v>
      </c>
      <c r="L39" s="2" t="s">
        <v>25</v>
      </c>
      <c r="M39" s="2" t="s">
        <v>25</v>
      </c>
      <c r="N39" s="2" t="s">
        <v>25</v>
      </c>
      <c r="O39" s="2" t="s">
        <v>25</v>
      </c>
      <c r="P39" s="2" t="s">
        <v>25</v>
      </c>
      <c r="Q39" s="2" t="s">
        <v>25</v>
      </c>
      <c r="R39" s="2" t="s">
        <v>25</v>
      </c>
      <c r="S39" s="2" t="s">
        <v>25</v>
      </c>
    </row>
    <row r="40" spans="1:19" ht="29" x14ac:dyDescent="0.35">
      <c r="A40" s="2" t="s">
        <v>159</v>
      </c>
      <c r="B40" s="2">
        <v>24002961</v>
      </c>
      <c r="C40" s="2" t="s">
        <v>160</v>
      </c>
      <c r="D40" s="2" t="s">
        <v>155</v>
      </c>
      <c r="E40" s="2" t="s">
        <v>161</v>
      </c>
      <c r="F40" s="2" t="s">
        <v>24</v>
      </c>
      <c r="G40" s="2" t="s">
        <v>25</v>
      </c>
      <c r="H40" s="2" t="s">
        <v>20</v>
      </c>
      <c r="I40" s="2" t="s">
        <v>20</v>
      </c>
      <c r="J40" s="2">
        <f>VLOOKUP(B40,[1]ca3!$D$2:$X$66,21,FALSE)</f>
        <v>9.5</v>
      </c>
      <c r="K40" s="2">
        <f>ROUND(VLOOKUP(B40,[1]ca3!$D$2:$X$66,20,FALSE),1)</f>
        <v>6.9</v>
      </c>
      <c r="L40" s="2" t="s">
        <v>25</v>
      </c>
      <c r="M40" s="2" t="s">
        <v>25</v>
      </c>
      <c r="N40" s="2" t="s">
        <v>25</v>
      </c>
      <c r="O40" s="2" t="s">
        <v>25</v>
      </c>
      <c r="P40" s="2" t="s">
        <v>25</v>
      </c>
      <c r="Q40" s="2" t="s">
        <v>25</v>
      </c>
      <c r="R40" s="2" t="s">
        <v>25</v>
      </c>
      <c r="S40" s="2" t="s">
        <v>25</v>
      </c>
    </row>
    <row r="41" spans="1:19" ht="43.5" x14ac:dyDescent="0.35">
      <c r="A41" s="2" t="s">
        <v>162</v>
      </c>
      <c r="B41" s="2">
        <v>24002941</v>
      </c>
      <c r="C41" s="2" t="s">
        <v>163</v>
      </c>
      <c r="D41" s="2" t="s">
        <v>164</v>
      </c>
      <c r="E41" s="2" t="s">
        <v>165</v>
      </c>
      <c r="F41" s="2" t="s">
        <v>24</v>
      </c>
      <c r="G41" s="2" t="s">
        <v>25</v>
      </c>
      <c r="H41" s="2" t="s">
        <v>20</v>
      </c>
      <c r="I41" s="2" t="s">
        <v>20</v>
      </c>
      <c r="J41" s="2">
        <f>VLOOKUP(B41,[1]ca3!$D$2:$X$66,21,FALSE)</f>
        <v>10</v>
      </c>
      <c r="K41" s="2">
        <f>ROUND(VLOOKUP(B41,[1]ca3!$D$2:$X$66,20,FALSE),1)</f>
        <v>5.7</v>
      </c>
      <c r="L41" s="2" t="s">
        <v>25</v>
      </c>
      <c r="M41" s="2" t="s">
        <v>25</v>
      </c>
      <c r="N41" s="2" t="s">
        <v>25</v>
      </c>
      <c r="O41" s="2" t="s">
        <v>25</v>
      </c>
      <c r="P41" s="2" t="s">
        <v>25</v>
      </c>
      <c r="Q41" s="2" t="s">
        <v>25</v>
      </c>
      <c r="R41" s="2" t="s">
        <v>25</v>
      </c>
      <c r="S41" s="2" t="s">
        <v>25</v>
      </c>
    </row>
    <row r="42" spans="1:19" ht="29" x14ac:dyDescent="0.35">
      <c r="A42" s="2" t="s">
        <v>166</v>
      </c>
      <c r="B42" s="2">
        <v>24003539</v>
      </c>
      <c r="C42" s="2" t="s">
        <v>167</v>
      </c>
      <c r="D42" s="2" t="s">
        <v>164</v>
      </c>
      <c r="E42" s="2" t="s">
        <v>168</v>
      </c>
      <c r="F42" s="2" t="s">
        <v>67</v>
      </c>
      <c r="G42" s="2" t="s">
        <v>25</v>
      </c>
      <c r="H42" s="2" t="s">
        <v>20</v>
      </c>
      <c r="I42" s="2" t="s">
        <v>20</v>
      </c>
      <c r="J42" s="2">
        <f>VLOOKUP(B42,[1]ca3!$D$2:$X$66,21,FALSE)</f>
        <v>10</v>
      </c>
      <c r="K42" s="2">
        <f>ROUND(VLOOKUP(B42,[1]ca3!$D$2:$X$66,20,FALSE),1)</f>
        <v>7</v>
      </c>
      <c r="L42" s="2" t="s">
        <v>25</v>
      </c>
      <c r="M42" s="2" t="s">
        <v>25</v>
      </c>
      <c r="N42" s="2" t="s">
        <v>25</v>
      </c>
      <c r="O42" s="2" t="s">
        <v>25</v>
      </c>
      <c r="P42" s="2" t="s">
        <v>25</v>
      </c>
      <c r="Q42" s="2" t="s">
        <v>25</v>
      </c>
      <c r="R42" s="2" t="s">
        <v>25</v>
      </c>
      <c r="S42" s="2" t="s">
        <v>25</v>
      </c>
    </row>
    <row r="43" spans="1:19" ht="29" x14ac:dyDescent="0.35">
      <c r="A43" s="2" t="s">
        <v>169</v>
      </c>
      <c r="B43" s="2">
        <v>24002897</v>
      </c>
      <c r="C43" s="2" t="s">
        <v>170</v>
      </c>
      <c r="D43" s="2" t="s">
        <v>171</v>
      </c>
      <c r="E43" s="2" t="s">
        <v>91</v>
      </c>
      <c r="F43" s="2" t="s">
        <v>24</v>
      </c>
      <c r="G43" s="2" t="s">
        <v>25</v>
      </c>
      <c r="H43" s="2" t="s">
        <v>20</v>
      </c>
      <c r="I43" s="2" t="s">
        <v>20</v>
      </c>
      <c r="J43" s="2">
        <f>VLOOKUP(B43,[1]ca3!$D$2:$X$66,21,FALSE)</f>
        <v>8</v>
      </c>
      <c r="K43" s="2">
        <f>ROUND(VLOOKUP(B43,[1]ca3!$D$2:$X$66,20,FALSE),1)</f>
        <v>7.2</v>
      </c>
      <c r="L43" s="2" t="s">
        <v>25</v>
      </c>
      <c r="M43" s="2" t="s">
        <v>25</v>
      </c>
      <c r="N43" s="2" t="s">
        <v>25</v>
      </c>
      <c r="O43" s="2" t="s">
        <v>25</v>
      </c>
      <c r="P43" s="2" t="s">
        <v>25</v>
      </c>
      <c r="Q43" s="2" t="s">
        <v>25</v>
      </c>
      <c r="R43" s="2" t="s">
        <v>25</v>
      </c>
      <c r="S43" s="2" t="s">
        <v>25</v>
      </c>
    </row>
    <row r="44" spans="1:19" ht="29" x14ac:dyDescent="0.35">
      <c r="A44" s="2" t="s">
        <v>172</v>
      </c>
      <c r="B44" s="2">
        <v>24002700</v>
      </c>
      <c r="C44" s="2" t="s">
        <v>173</v>
      </c>
      <c r="D44" s="2" t="s">
        <v>174</v>
      </c>
      <c r="E44" s="2" t="s">
        <v>175</v>
      </c>
      <c r="F44" s="2" t="s">
        <v>24</v>
      </c>
      <c r="G44" s="2" t="s">
        <v>25</v>
      </c>
      <c r="H44" s="2" t="s">
        <v>20</v>
      </c>
      <c r="I44" s="2" t="s">
        <v>20</v>
      </c>
      <c r="J44" s="2">
        <f>VLOOKUP(B44,[1]ca3!$D$2:$X$66,21,FALSE)</f>
        <v>10</v>
      </c>
      <c r="K44" s="2">
        <f>ROUND(VLOOKUP(B44,[1]ca3!$D$2:$X$66,20,FALSE),1)</f>
        <v>6.8</v>
      </c>
      <c r="L44" s="2" t="s">
        <v>25</v>
      </c>
      <c r="M44" s="2" t="s">
        <v>25</v>
      </c>
      <c r="N44" s="2" t="s">
        <v>25</v>
      </c>
      <c r="O44" s="2" t="s">
        <v>25</v>
      </c>
      <c r="P44" s="2" t="s">
        <v>25</v>
      </c>
      <c r="Q44" s="2" t="s">
        <v>25</v>
      </c>
      <c r="R44" s="2" t="s">
        <v>25</v>
      </c>
      <c r="S44" s="2" t="s">
        <v>25</v>
      </c>
    </row>
    <row r="45" spans="1:19" ht="29" x14ac:dyDescent="0.35">
      <c r="A45" s="2" t="s">
        <v>176</v>
      </c>
      <c r="B45" s="2">
        <v>24003136</v>
      </c>
      <c r="C45" s="2" t="s">
        <v>177</v>
      </c>
      <c r="D45" s="2" t="s">
        <v>174</v>
      </c>
      <c r="E45" s="2" t="s">
        <v>178</v>
      </c>
      <c r="F45" s="2" t="s">
        <v>24</v>
      </c>
      <c r="G45" s="2" t="s">
        <v>25</v>
      </c>
      <c r="H45" s="2" t="s">
        <v>20</v>
      </c>
      <c r="I45" s="2" t="s">
        <v>20</v>
      </c>
      <c r="J45" s="2">
        <f>VLOOKUP(B45,[1]ca3!$D$2:$X$66,21,FALSE)</f>
        <v>10</v>
      </c>
      <c r="K45" s="2">
        <f>ROUND(VLOOKUP(B45,[1]ca3!$D$2:$X$66,20,FALSE),1)</f>
        <v>7.2</v>
      </c>
      <c r="L45" s="2" t="s">
        <v>25</v>
      </c>
      <c r="M45" s="2" t="s">
        <v>25</v>
      </c>
      <c r="N45" s="2" t="s">
        <v>25</v>
      </c>
      <c r="O45" s="2" t="s">
        <v>25</v>
      </c>
      <c r="P45" s="2" t="s">
        <v>25</v>
      </c>
      <c r="Q45" s="2" t="s">
        <v>25</v>
      </c>
      <c r="R45" s="2" t="s">
        <v>25</v>
      </c>
      <c r="S45" s="2" t="s">
        <v>25</v>
      </c>
    </row>
    <row r="46" spans="1:19" ht="43.5" x14ac:dyDescent="0.35">
      <c r="A46" s="2" t="s">
        <v>179</v>
      </c>
      <c r="B46" s="2">
        <v>24002614</v>
      </c>
      <c r="C46" s="2" t="s">
        <v>180</v>
      </c>
      <c r="D46" s="2" t="s">
        <v>181</v>
      </c>
      <c r="E46" s="2" t="s">
        <v>75</v>
      </c>
      <c r="F46" s="2" t="s">
        <v>24</v>
      </c>
      <c r="G46" s="2" t="s">
        <v>25</v>
      </c>
      <c r="H46" s="2" t="s">
        <v>20</v>
      </c>
      <c r="I46" s="2" t="s">
        <v>20</v>
      </c>
      <c r="J46" s="2">
        <f>VLOOKUP(B46,[1]ca3!$D$2:$X$66,21,FALSE)</f>
        <v>10</v>
      </c>
      <c r="K46" s="2">
        <f>ROUND(VLOOKUP(B46,[1]ca3!$D$2:$X$66,20,FALSE),1)</f>
        <v>6.4</v>
      </c>
      <c r="L46" s="2" t="s">
        <v>25</v>
      </c>
      <c r="M46" s="2" t="s">
        <v>25</v>
      </c>
      <c r="N46" s="2" t="s">
        <v>25</v>
      </c>
      <c r="O46" s="2" t="s">
        <v>25</v>
      </c>
      <c r="P46" s="2" t="s">
        <v>25</v>
      </c>
      <c r="Q46" s="2" t="s">
        <v>25</v>
      </c>
      <c r="R46" s="2" t="s">
        <v>25</v>
      </c>
      <c r="S46" s="2" t="s">
        <v>25</v>
      </c>
    </row>
    <row r="47" spans="1:19" ht="29" x14ac:dyDescent="0.35">
      <c r="A47" s="2" t="s">
        <v>182</v>
      </c>
      <c r="B47" s="2">
        <v>24002830</v>
      </c>
      <c r="C47" s="2" t="s">
        <v>183</v>
      </c>
      <c r="D47" s="2" t="s">
        <v>184</v>
      </c>
      <c r="E47" s="2" t="s">
        <v>185</v>
      </c>
      <c r="F47" s="2" t="s">
        <v>24</v>
      </c>
      <c r="G47" s="2" t="s">
        <v>25</v>
      </c>
      <c r="H47" s="2" t="s">
        <v>20</v>
      </c>
      <c r="I47" s="2" t="s">
        <v>20</v>
      </c>
      <c r="J47" s="2">
        <f>VLOOKUP(B47,[1]ca3!$D$2:$X$66,21,FALSE)</f>
        <v>10</v>
      </c>
      <c r="K47" s="2">
        <f>ROUND(VLOOKUP(B47,[1]ca3!$D$2:$X$66,20,FALSE),1)</f>
        <v>6.2</v>
      </c>
      <c r="L47" s="2" t="s">
        <v>25</v>
      </c>
      <c r="M47" s="2" t="s">
        <v>25</v>
      </c>
      <c r="N47" s="2" t="s">
        <v>25</v>
      </c>
      <c r="O47" s="2" t="s">
        <v>25</v>
      </c>
      <c r="P47" s="2" t="s">
        <v>25</v>
      </c>
      <c r="Q47" s="2" t="s">
        <v>25</v>
      </c>
      <c r="R47" s="2" t="s">
        <v>25</v>
      </c>
      <c r="S47" s="2" t="s">
        <v>25</v>
      </c>
    </row>
    <row r="48" spans="1:19" ht="29" x14ac:dyDescent="0.35">
      <c r="A48" s="2" t="s">
        <v>186</v>
      </c>
      <c r="B48" s="2">
        <v>24003847</v>
      </c>
      <c r="C48" s="2" t="s">
        <v>187</v>
      </c>
      <c r="D48" s="2" t="s">
        <v>188</v>
      </c>
      <c r="E48" s="2" t="s">
        <v>189</v>
      </c>
      <c r="F48" s="2" t="s">
        <v>67</v>
      </c>
      <c r="G48" s="2" t="s">
        <v>25</v>
      </c>
      <c r="H48" s="2" t="s">
        <v>20</v>
      </c>
      <c r="I48" s="2" t="s">
        <v>20</v>
      </c>
      <c r="J48" s="2">
        <f>VLOOKUP(B48,[1]ca3!$D$2:$X$66,21,FALSE)</f>
        <v>9</v>
      </c>
      <c r="K48" s="2">
        <f>ROUND(VLOOKUP(B48,[1]ca3!$D$2:$X$66,20,FALSE),1)</f>
        <v>6.9</v>
      </c>
      <c r="L48" s="2" t="s">
        <v>25</v>
      </c>
      <c r="M48" s="2" t="s">
        <v>25</v>
      </c>
      <c r="N48" s="2" t="s">
        <v>25</v>
      </c>
      <c r="O48" s="2" t="s">
        <v>25</v>
      </c>
      <c r="P48" s="2" t="s">
        <v>25</v>
      </c>
      <c r="Q48" s="2" t="s">
        <v>25</v>
      </c>
      <c r="R48" s="2" t="s">
        <v>25</v>
      </c>
      <c r="S48" s="2" t="s">
        <v>25</v>
      </c>
    </row>
    <row r="49" spans="1:19" ht="29" x14ac:dyDescent="0.35">
      <c r="A49" s="2" t="s">
        <v>190</v>
      </c>
      <c r="B49" s="2">
        <v>24000999</v>
      </c>
      <c r="C49" s="2" t="s">
        <v>191</v>
      </c>
      <c r="D49" s="2" t="s">
        <v>188</v>
      </c>
      <c r="E49" s="2" t="s">
        <v>192</v>
      </c>
      <c r="F49" s="2" t="s">
        <v>24</v>
      </c>
      <c r="G49" s="2" t="s">
        <v>25</v>
      </c>
      <c r="H49" s="2" t="s">
        <v>20</v>
      </c>
      <c r="I49" s="2" t="s">
        <v>20</v>
      </c>
      <c r="J49" s="2">
        <f>VLOOKUP(B49,[1]ca3!$D$2:$X$66,21,FALSE)</f>
        <v>9</v>
      </c>
      <c r="K49" s="2">
        <f>ROUND(VLOOKUP(B49,[1]ca3!$D$2:$X$66,20,FALSE),1)</f>
        <v>7.6</v>
      </c>
      <c r="L49" s="2" t="s">
        <v>25</v>
      </c>
      <c r="M49" s="2" t="s">
        <v>25</v>
      </c>
      <c r="N49" s="2" t="s">
        <v>25</v>
      </c>
      <c r="O49" s="2" t="s">
        <v>25</v>
      </c>
      <c r="P49" s="2" t="s">
        <v>25</v>
      </c>
      <c r="Q49" s="2" t="s">
        <v>25</v>
      </c>
      <c r="R49" s="2" t="s">
        <v>25</v>
      </c>
      <c r="S49" s="2" t="s">
        <v>25</v>
      </c>
    </row>
    <row r="50" spans="1:19" ht="29" x14ac:dyDescent="0.35">
      <c r="A50" s="2" t="s">
        <v>193</v>
      </c>
      <c r="B50" s="2">
        <v>24002791</v>
      </c>
      <c r="C50" s="2" t="s">
        <v>194</v>
      </c>
      <c r="D50" s="2" t="s">
        <v>195</v>
      </c>
      <c r="E50" s="2" t="s">
        <v>196</v>
      </c>
      <c r="F50" s="2" t="s">
        <v>24</v>
      </c>
      <c r="G50" s="2" t="s">
        <v>25</v>
      </c>
      <c r="H50" s="2" t="s">
        <v>20</v>
      </c>
      <c r="I50" s="2" t="s">
        <v>20</v>
      </c>
      <c r="J50" s="2">
        <f>VLOOKUP(B50,[1]ca3!$D$2:$X$66,21,FALSE)</f>
        <v>10</v>
      </c>
      <c r="K50" s="2">
        <f>ROUND(VLOOKUP(B50,[1]ca3!$D$2:$X$66,20,FALSE),1)</f>
        <v>7.6</v>
      </c>
      <c r="L50" s="2" t="s">
        <v>25</v>
      </c>
      <c r="M50" s="2" t="s">
        <v>25</v>
      </c>
      <c r="N50" s="2" t="s">
        <v>25</v>
      </c>
      <c r="O50" s="2" t="s">
        <v>25</v>
      </c>
      <c r="P50" s="2" t="s">
        <v>25</v>
      </c>
      <c r="Q50" s="2" t="s">
        <v>25</v>
      </c>
      <c r="R50" s="2" t="s">
        <v>25</v>
      </c>
      <c r="S50" s="2" t="s">
        <v>25</v>
      </c>
    </row>
    <row r="51" spans="1:19" ht="29" x14ac:dyDescent="0.35">
      <c r="A51" s="2" t="s">
        <v>197</v>
      </c>
      <c r="B51" s="2">
        <v>24002677</v>
      </c>
      <c r="C51" s="2" t="s">
        <v>198</v>
      </c>
      <c r="D51" s="2" t="s">
        <v>199</v>
      </c>
      <c r="E51" s="2" t="s">
        <v>200</v>
      </c>
      <c r="F51" s="2" t="s">
        <v>24</v>
      </c>
      <c r="G51" s="2" t="s">
        <v>25</v>
      </c>
      <c r="H51" s="2" t="s">
        <v>20</v>
      </c>
      <c r="I51" s="2" t="s">
        <v>20</v>
      </c>
      <c r="J51" s="2">
        <f>VLOOKUP(B51,[1]ca3!$D$2:$X$66,21,FALSE)</f>
        <v>10</v>
      </c>
      <c r="K51" s="2">
        <f>ROUND(VLOOKUP(B51,[1]ca3!$D$2:$X$66,20,FALSE),1)</f>
        <v>5.9</v>
      </c>
      <c r="L51" s="2" t="s">
        <v>25</v>
      </c>
      <c r="M51" s="2" t="s">
        <v>25</v>
      </c>
      <c r="N51" s="2" t="s">
        <v>25</v>
      </c>
      <c r="O51" s="2" t="s">
        <v>25</v>
      </c>
      <c r="P51" s="2" t="s">
        <v>25</v>
      </c>
      <c r="Q51" s="2" t="s">
        <v>25</v>
      </c>
      <c r="R51" s="2" t="s">
        <v>25</v>
      </c>
      <c r="S51" s="2" t="s">
        <v>25</v>
      </c>
    </row>
    <row r="52" spans="1:19" ht="29" x14ac:dyDescent="0.35">
      <c r="A52" s="2" t="s">
        <v>201</v>
      </c>
      <c r="B52" s="2">
        <v>24002334</v>
      </c>
      <c r="C52" s="2" t="s">
        <v>202</v>
      </c>
      <c r="D52" s="2" t="s">
        <v>203</v>
      </c>
      <c r="E52" s="2" t="s">
        <v>204</v>
      </c>
      <c r="F52" s="2" t="s">
        <v>24</v>
      </c>
      <c r="G52" s="2" t="s">
        <v>25</v>
      </c>
      <c r="H52" s="2" t="s">
        <v>20</v>
      </c>
      <c r="I52" s="2" t="s">
        <v>20</v>
      </c>
      <c r="J52" s="2">
        <f>VLOOKUP(B52,[1]ca3!$D$2:$X$66,21,FALSE)</f>
        <v>7.5</v>
      </c>
      <c r="K52" s="2">
        <f>ROUND(VLOOKUP(B52,[1]ca3!$D$2:$X$66,20,FALSE),1)</f>
        <v>6.2</v>
      </c>
      <c r="L52" s="2" t="s">
        <v>25</v>
      </c>
      <c r="M52" s="2" t="s">
        <v>25</v>
      </c>
      <c r="N52" s="2" t="s">
        <v>25</v>
      </c>
      <c r="O52" s="2" t="s">
        <v>25</v>
      </c>
      <c r="P52" s="2" t="s">
        <v>25</v>
      </c>
      <c r="Q52" s="2" t="s">
        <v>25</v>
      </c>
      <c r="R52" s="2" t="s">
        <v>25</v>
      </c>
      <c r="S52" s="2" t="s">
        <v>25</v>
      </c>
    </row>
    <row r="53" spans="1:19" ht="29" x14ac:dyDescent="0.35">
      <c r="A53" s="2" t="s">
        <v>205</v>
      </c>
      <c r="B53" s="2">
        <v>24003150</v>
      </c>
      <c r="C53" s="2" t="s">
        <v>191</v>
      </c>
      <c r="D53" s="2" t="s">
        <v>203</v>
      </c>
      <c r="E53" s="2" t="s">
        <v>206</v>
      </c>
      <c r="F53" s="2" t="s">
        <v>67</v>
      </c>
      <c r="G53" s="2" t="s">
        <v>25</v>
      </c>
      <c r="H53" s="2" t="s">
        <v>20</v>
      </c>
      <c r="I53" s="2" t="s">
        <v>20</v>
      </c>
      <c r="J53" s="2">
        <f>VLOOKUP(B53,[1]ca3!$D$2:$X$66,21,FALSE)</f>
        <v>8.5</v>
      </c>
      <c r="K53" s="2">
        <f>ROUND(VLOOKUP(B53,[1]ca3!$D$2:$X$66,20,FALSE),1)</f>
        <v>6.9</v>
      </c>
      <c r="L53" s="2" t="s">
        <v>25</v>
      </c>
      <c r="M53" s="2" t="s">
        <v>25</v>
      </c>
      <c r="N53" s="2" t="s">
        <v>25</v>
      </c>
      <c r="O53" s="2" t="s">
        <v>25</v>
      </c>
      <c r="P53" s="2" t="s">
        <v>25</v>
      </c>
      <c r="Q53" s="2" t="s">
        <v>25</v>
      </c>
      <c r="R53" s="2" t="s">
        <v>25</v>
      </c>
      <c r="S53" s="2" t="s">
        <v>25</v>
      </c>
    </row>
    <row r="54" spans="1:19" ht="29" x14ac:dyDescent="0.35">
      <c r="A54" s="2" t="s">
        <v>207</v>
      </c>
      <c r="B54" s="2">
        <v>24002635</v>
      </c>
      <c r="C54" s="2" t="s">
        <v>208</v>
      </c>
      <c r="D54" s="2" t="s">
        <v>209</v>
      </c>
      <c r="E54" s="2" t="s">
        <v>185</v>
      </c>
      <c r="F54" s="2" t="s">
        <v>24</v>
      </c>
      <c r="G54" s="2" t="s">
        <v>25</v>
      </c>
      <c r="H54" s="2" t="s">
        <v>20</v>
      </c>
      <c r="I54" s="2" t="s">
        <v>20</v>
      </c>
      <c r="J54" s="2">
        <f>VLOOKUP(B54,[1]ca3!$D$2:$X$66,21,FALSE)</f>
        <v>9.5</v>
      </c>
      <c r="K54" s="2">
        <f>ROUND(VLOOKUP(B54,[1]ca3!$D$2:$X$66,20,FALSE),1)</f>
        <v>7.6</v>
      </c>
      <c r="L54" s="2" t="s">
        <v>25</v>
      </c>
      <c r="M54" s="2" t="s">
        <v>25</v>
      </c>
      <c r="N54" s="2" t="s">
        <v>25</v>
      </c>
      <c r="O54" s="2" t="s">
        <v>25</v>
      </c>
      <c r="P54" s="2" t="s">
        <v>25</v>
      </c>
      <c r="Q54" s="2" t="s">
        <v>25</v>
      </c>
      <c r="R54" s="2" t="s">
        <v>25</v>
      </c>
      <c r="S54" s="2" t="s">
        <v>25</v>
      </c>
    </row>
    <row r="55" spans="1:19" ht="29" x14ac:dyDescent="0.35">
      <c r="A55" s="2" t="s">
        <v>210</v>
      </c>
      <c r="B55" s="2">
        <v>24002734</v>
      </c>
      <c r="C55" s="2" t="s">
        <v>211</v>
      </c>
      <c r="D55" s="2" t="s">
        <v>209</v>
      </c>
      <c r="E55" s="2" t="s">
        <v>212</v>
      </c>
      <c r="F55" s="2" t="s">
        <v>24</v>
      </c>
      <c r="G55" s="2" t="s">
        <v>25</v>
      </c>
      <c r="H55" s="2" t="s">
        <v>20</v>
      </c>
      <c r="I55" s="2" t="s">
        <v>20</v>
      </c>
      <c r="J55" s="2">
        <f>VLOOKUP(B55,[1]ca3!$D$2:$X$66,21,FALSE)</f>
        <v>9.5</v>
      </c>
      <c r="K55" s="2">
        <f>ROUND(VLOOKUP(B55,[1]ca3!$D$2:$X$66,20,FALSE),1)</f>
        <v>7.6</v>
      </c>
      <c r="L55" s="2" t="s">
        <v>25</v>
      </c>
      <c r="M55" s="2" t="s">
        <v>25</v>
      </c>
      <c r="N55" s="2" t="s">
        <v>25</v>
      </c>
      <c r="O55" s="2" t="s">
        <v>25</v>
      </c>
      <c r="P55" s="2" t="s">
        <v>25</v>
      </c>
      <c r="Q55" s="2" t="s">
        <v>25</v>
      </c>
      <c r="R55" s="2" t="s">
        <v>25</v>
      </c>
      <c r="S55" s="2" t="s">
        <v>25</v>
      </c>
    </row>
    <row r="56" spans="1:19" ht="29" x14ac:dyDescent="0.35">
      <c r="A56" s="2" t="s">
        <v>213</v>
      </c>
      <c r="B56" s="2">
        <v>24003850</v>
      </c>
      <c r="C56" s="2" t="s">
        <v>56</v>
      </c>
      <c r="D56" s="2" t="s">
        <v>214</v>
      </c>
      <c r="E56" s="2" t="s">
        <v>215</v>
      </c>
      <c r="F56" s="2" t="s">
        <v>67</v>
      </c>
      <c r="G56" s="2" t="s">
        <v>25</v>
      </c>
      <c r="H56" s="2" t="s">
        <v>20</v>
      </c>
      <c r="I56" s="2" t="s">
        <v>20</v>
      </c>
      <c r="J56" s="2">
        <f>VLOOKUP(B56,[1]ca3!$D$2:$X$66,21,FALSE)</f>
        <v>10</v>
      </c>
      <c r="K56" s="2">
        <f>ROUND(VLOOKUP(B56,[1]ca3!$D$2:$X$66,20,FALSE),1)</f>
        <v>6.9</v>
      </c>
      <c r="L56" s="2" t="s">
        <v>25</v>
      </c>
      <c r="M56" s="2" t="s">
        <v>25</v>
      </c>
      <c r="N56" s="2" t="s">
        <v>25</v>
      </c>
      <c r="O56" s="2" t="s">
        <v>25</v>
      </c>
      <c r="P56" s="2" t="s">
        <v>25</v>
      </c>
      <c r="Q56" s="2" t="s">
        <v>25</v>
      </c>
      <c r="R56" s="2" t="s">
        <v>25</v>
      </c>
      <c r="S56" s="2" t="s">
        <v>25</v>
      </c>
    </row>
    <row r="57" spans="1:19" ht="29" x14ac:dyDescent="0.35">
      <c r="A57" s="2" t="s">
        <v>216</v>
      </c>
      <c r="B57" s="2">
        <v>24003154</v>
      </c>
      <c r="C57" s="2" t="s">
        <v>173</v>
      </c>
      <c r="D57" s="2" t="s">
        <v>217</v>
      </c>
      <c r="E57" s="2" t="s">
        <v>218</v>
      </c>
      <c r="F57" s="2" t="s">
        <v>67</v>
      </c>
      <c r="G57" s="2" t="s">
        <v>25</v>
      </c>
      <c r="H57" s="2" t="s">
        <v>20</v>
      </c>
      <c r="I57" s="2" t="s">
        <v>20</v>
      </c>
      <c r="J57" s="2">
        <f>VLOOKUP(B57,[1]ca3!$D$2:$X$66,21,FALSE)</f>
        <v>7.5</v>
      </c>
      <c r="K57" s="2">
        <f>ROUND(VLOOKUP(B57,[1]ca3!$D$2:$X$66,20,FALSE),1)</f>
        <v>7.3</v>
      </c>
      <c r="L57" s="2" t="s">
        <v>25</v>
      </c>
      <c r="M57" s="2" t="s">
        <v>25</v>
      </c>
      <c r="N57" s="2" t="s">
        <v>25</v>
      </c>
      <c r="O57" s="2" t="s">
        <v>25</v>
      </c>
      <c r="P57" s="2" t="s">
        <v>25</v>
      </c>
      <c r="Q57" s="2" t="s">
        <v>25</v>
      </c>
      <c r="R57" s="2" t="s">
        <v>25</v>
      </c>
      <c r="S57" s="2" t="s">
        <v>25</v>
      </c>
    </row>
    <row r="58" spans="1:19" ht="29" x14ac:dyDescent="0.35">
      <c r="A58" s="2" t="s">
        <v>219</v>
      </c>
      <c r="B58" s="2">
        <v>24002947</v>
      </c>
      <c r="C58" s="2" t="s">
        <v>220</v>
      </c>
      <c r="D58" s="2" t="s">
        <v>221</v>
      </c>
      <c r="E58" s="2" t="s">
        <v>222</v>
      </c>
      <c r="F58" s="2" t="s">
        <v>24</v>
      </c>
      <c r="G58" s="2" t="s">
        <v>25</v>
      </c>
      <c r="H58" s="2" t="s">
        <v>20</v>
      </c>
      <c r="I58" s="2" t="s">
        <v>20</v>
      </c>
      <c r="J58" s="2">
        <f>VLOOKUP(B58,[1]ca3!$D$2:$X$66,21,FALSE)</f>
        <v>8</v>
      </c>
      <c r="K58" s="2">
        <f>ROUND(VLOOKUP(B58,[1]ca3!$D$2:$X$66,20,FALSE),1)</f>
        <v>7.2</v>
      </c>
      <c r="L58" s="2" t="s">
        <v>25</v>
      </c>
      <c r="M58" s="2" t="s">
        <v>25</v>
      </c>
      <c r="N58" s="2" t="s">
        <v>25</v>
      </c>
      <c r="O58" s="2" t="s">
        <v>25</v>
      </c>
      <c r="P58" s="2" t="s">
        <v>25</v>
      </c>
      <c r="Q58" s="2" t="s">
        <v>25</v>
      </c>
      <c r="R58" s="2" t="s">
        <v>25</v>
      </c>
      <c r="S58" s="2" t="s">
        <v>25</v>
      </c>
    </row>
    <row r="59" spans="1:19" ht="29" x14ac:dyDescent="0.35">
      <c r="A59" s="2" t="s">
        <v>223</v>
      </c>
      <c r="B59" s="2">
        <v>24002754</v>
      </c>
      <c r="C59" s="2" t="s">
        <v>224</v>
      </c>
      <c r="D59" s="2" t="s">
        <v>225</v>
      </c>
      <c r="E59" s="2" t="s">
        <v>226</v>
      </c>
      <c r="F59" s="2" t="s">
        <v>24</v>
      </c>
      <c r="G59" s="2" t="s">
        <v>25</v>
      </c>
      <c r="H59" s="2" t="s">
        <v>20</v>
      </c>
      <c r="I59" s="2" t="s">
        <v>20</v>
      </c>
      <c r="J59" s="2">
        <f>VLOOKUP(B59,[1]ca3!$D$2:$X$66,21,FALSE)</f>
        <v>8</v>
      </c>
      <c r="K59" s="2">
        <f>ROUND(VLOOKUP(B59,[1]ca3!$D$2:$X$66,20,FALSE),1)</f>
        <v>4.0999999999999996</v>
      </c>
      <c r="L59" s="2" t="s">
        <v>25</v>
      </c>
      <c r="M59" s="2" t="s">
        <v>25</v>
      </c>
      <c r="N59" s="2" t="s">
        <v>25</v>
      </c>
      <c r="O59" s="2" t="s">
        <v>25</v>
      </c>
      <c r="P59" s="2" t="s">
        <v>25</v>
      </c>
      <c r="Q59" s="2" t="s">
        <v>25</v>
      </c>
      <c r="R59" s="2" t="s">
        <v>25</v>
      </c>
      <c r="S59" s="2" t="s">
        <v>25</v>
      </c>
    </row>
    <row r="60" spans="1:19" ht="29" x14ac:dyDescent="0.35">
      <c r="A60" s="2" t="s">
        <v>227</v>
      </c>
      <c r="B60" s="2">
        <v>24003116</v>
      </c>
      <c r="C60" s="2" t="s">
        <v>228</v>
      </c>
      <c r="D60" s="2" t="s">
        <v>229</v>
      </c>
      <c r="E60" s="2" t="s">
        <v>230</v>
      </c>
      <c r="F60" s="2" t="s">
        <v>24</v>
      </c>
      <c r="G60" s="2" t="s">
        <v>25</v>
      </c>
      <c r="H60" s="2" t="s">
        <v>20</v>
      </c>
      <c r="I60" s="2" t="s">
        <v>20</v>
      </c>
      <c r="J60" s="2">
        <f>VLOOKUP(B60,[1]ca3!$D$2:$X$66,21,FALSE)</f>
        <v>10</v>
      </c>
      <c r="K60" s="2">
        <f>ROUND(VLOOKUP(B60,[1]ca3!$D$2:$X$66,20,FALSE),1)</f>
        <v>7.6</v>
      </c>
      <c r="L60" s="2" t="s">
        <v>25</v>
      </c>
      <c r="M60" s="2" t="s">
        <v>25</v>
      </c>
      <c r="N60" s="2" t="s">
        <v>25</v>
      </c>
      <c r="O60" s="2" t="s">
        <v>25</v>
      </c>
      <c r="P60" s="2" t="s">
        <v>25</v>
      </c>
      <c r="Q60" s="2" t="s">
        <v>25</v>
      </c>
      <c r="R60" s="2" t="s">
        <v>25</v>
      </c>
      <c r="S60" s="2" t="s">
        <v>25</v>
      </c>
    </row>
    <row r="61" spans="1:19" ht="29" x14ac:dyDescent="0.35">
      <c r="A61" s="2" t="s">
        <v>231</v>
      </c>
      <c r="B61" s="2">
        <v>24002657</v>
      </c>
      <c r="C61" s="2" t="s">
        <v>232</v>
      </c>
      <c r="D61" s="2" t="s">
        <v>233</v>
      </c>
      <c r="E61" s="2" t="s">
        <v>234</v>
      </c>
      <c r="F61" s="2" t="s">
        <v>24</v>
      </c>
      <c r="G61" s="2" t="s">
        <v>25</v>
      </c>
      <c r="H61" s="2" t="s">
        <v>20</v>
      </c>
      <c r="I61" s="2" t="s">
        <v>20</v>
      </c>
      <c r="J61" s="2">
        <f>VLOOKUP(B61,[1]ca3!$D$2:$X$66,21,FALSE)</f>
        <v>8.5</v>
      </c>
      <c r="K61" s="2">
        <f>ROUND(VLOOKUP(B61,[1]ca3!$D$2:$X$66,20,FALSE),1)</f>
        <v>6.8</v>
      </c>
      <c r="L61" s="2" t="s">
        <v>25</v>
      </c>
      <c r="M61" s="2" t="s">
        <v>25</v>
      </c>
      <c r="N61" s="2" t="s">
        <v>25</v>
      </c>
      <c r="O61" s="2" t="s">
        <v>25</v>
      </c>
      <c r="P61" s="2" t="s">
        <v>25</v>
      </c>
      <c r="Q61" s="2" t="s">
        <v>25</v>
      </c>
      <c r="R61" s="2" t="s">
        <v>25</v>
      </c>
      <c r="S61" s="2" t="s">
        <v>25</v>
      </c>
    </row>
    <row r="62" spans="1:19" ht="29" x14ac:dyDescent="0.35">
      <c r="A62" s="2" t="s">
        <v>235</v>
      </c>
      <c r="B62" s="2">
        <v>24002581</v>
      </c>
      <c r="C62" s="2" t="s">
        <v>133</v>
      </c>
      <c r="D62" s="2" t="s">
        <v>236</v>
      </c>
      <c r="E62" s="2" t="s">
        <v>237</v>
      </c>
      <c r="F62" s="2" t="s">
        <v>24</v>
      </c>
      <c r="G62" s="2" t="s">
        <v>25</v>
      </c>
      <c r="H62" s="2" t="s">
        <v>20</v>
      </c>
      <c r="I62" s="2" t="s">
        <v>20</v>
      </c>
      <c r="J62" s="2">
        <f>VLOOKUP(B62,[1]ca3!$D$2:$X$66,21,FALSE)</f>
        <v>10</v>
      </c>
      <c r="K62" s="2">
        <f>ROUND(VLOOKUP(B62,[1]ca3!$D$2:$X$66,20,FALSE),1)</f>
        <v>6.9</v>
      </c>
      <c r="L62" s="2" t="s">
        <v>25</v>
      </c>
      <c r="M62" s="2" t="s">
        <v>25</v>
      </c>
      <c r="N62" s="2" t="s">
        <v>25</v>
      </c>
      <c r="O62" s="2" t="s">
        <v>25</v>
      </c>
      <c r="P62" s="2" t="s">
        <v>25</v>
      </c>
      <c r="Q62" s="2" t="s">
        <v>25</v>
      </c>
      <c r="R62" s="2" t="s">
        <v>25</v>
      </c>
      <c r="S62" s="2" t="s">
        <v>25</v>
      </c>
    </row>
    <row r="63" spans="1:19" ht="29" x14ac:dyDescent="0.35">
      <c r="A63" s="2" t="s">
        <v>238</v>
      </c>
      <c r="B63" s="2">
        <v>24002803</v>
      </c>
      <c r="C63" s="2" t="s">
        <v>239</v>
      </c>
      <c r="D63" s="2" t="s">
        <v>240</v>
      </c>
      <c r="E63" s="2" t="s">
        <v>241</v>
      </c>
      <c r="F63" s="2" t="s">
        <v>24</v>
      </c>
      <c r="G63" s="2" t="s">
        <v>25</v>
      </c>
      <c r="H63" s="2" t="s">
        <v>20</v>
      </c>
      <c r="I63" s="2" t="s">
        <v>20</v>
      </c>
      <c r="J63" s="2">
        <f>VLOOKUP(B63,[1]ca3!$D$2:$X$66,21,FALSE)</f>
        <v>8</v>
      </c>
      <c r="K63" s="2">
        <f>ROUND(VLOOKUP(B63,[1]ca3!$D$2:$X$66,20,FALSE),1)</f>
        <v>5.9</v>
      </c>
      <c r="L63" s="2" t="s">
        <v>25</v>
      </c>
      <c r="M63" s="2" t="s">
        <v>25</v>
      </c>
      <c r="N63" s="2" t="s">
        <v>25</v>
      </c>
      <c r="O63" s="2" t="s">
        <v>25</v>
      </c>
      <c r="P63" s="2" t="s">
        <v>25</v>
      </c>
      <c r="Q63" s="2" t="s">
        <v>25</v>
      </c>
      <c r="R63" s="2" t="s">
        <v>25</v>
      </c>
      <c r="S63" s="2" t="s">
        <v>25</v>
      </c>
    </row>
    <row r="64" spans="1:19" ht="43.5" x14ac:dyDescent="0.35">
      <c r="A64" s="2" t="s">
        <v>242</v>
      </c>
      <c r="B64" s="2">
        <v>24002756</v>
      </c>
      <c r="C64" s="2" t="s">
        <v>243</v>
      </c>
      <c r="D64" s="2" t="s">
        <v>240</v>
      </c>
      <c r="E64" s="2" t="s">
        <v>178</v>
      </c>
      <c r="F64" s="2" t="s">
        <v>24</v>
      </c>
      <c r="G64" s="2" t="s">
        <v>25</v>
      </c>
      <c r="H64" s="2" t="s">
        <v>20</v>
      </c>
      <c r="I64" s="2" t="s">
        <v>20</v>
      </c>
      <c r="J64" s="2">
        <f>VLOOKUP(B64,[1]ca3!$D$2:$X$66,21,FALSE)</f>
        <v>10</v>
      </c>
      <c r="K64" s="2">
        <f>ROUND(VLOOKUP(B64,[1]ca3!$D$2:$X$66,20,FALSE),1)</f>
        <v>6.1</v>
      </c>
      <c r="L64" s="2" t="s">
        <v>25</v>
      </c>
      <c r="M64" s="2" t="s">
        <v>25</v>
      </c>
      <c r="N64" s="2" t="s">
        <v>25</v>
      </c>
      <c r="O64" s="2" t="s">
        <v>25</v>
      </c>
      <c r="P64" s="2" t="s">
        <v>25</v>
      </c>
      <c r="Q64" s="2" t="s">
        <v>25</v>
      </c>
      <c r="R64" s="2" t="s">
        <v>25</v>
      </c>
      <c r="S64" s="2" t="s">
        <v>25</v>
      </c>
    </row>
    <row r="65" spans="1:19" ht="29" x14ac:dyDescent="0.35">
      <c r="A65" s="2" t="s">
        <v>244</v>
      </c>
      <c r="B65" s="2">
        <v>24002577</v>
      </c>
      <c r="C65" s="2" t="s">
        <v>183</v>
      </c>
      <c r="D65" s="2" t="s">
        <v>245</v>
      </c>
      <c r="E65" s="2" t="s">
        <v>246</v>
      </c>
      <c r="F65" s="2" t="s">
        <v>24</v>
      </c>
      <c r="G65" s="2" t="s">
        <v>25</v>
      </c>
      <c r="H65" s="2" t="s">
        <v>20</v>
      </c>
      <c r="I65" s="2" t="s">
        <v>20</v>
      </c>
      <c r="J65" s="2">
        <f>VLOOKUP(B65,[1]ca3!$D$2:$X$66,21,FALSE)</f>
        <v>10</v>
      </c>
      <c r="K65" s="2">
        <f>ROUND(VLOOKUP(B65,[1]ca3!$D$2:$X$66,20,FALSE),1)</f>
        <v>7.6</v>
      </c>
      <c r="L65" s="2" t="s">
        <v>25</v>
      </c>
      <c r="M65" s="2" t="s">
        <v>25</v>
      </c>
      <c r="N65" s="2" t="s">
        <v>25</v>
      </c>
      <c r="O65" s="2" t="s">
        <v>25</v>
      </c>
      <c r="P65" s="2" t="s">
        <v>25</v>
      </c>
      <c r="Q65" s="2" t="s">
        <v>25</v>
      </c>
      <c r="R65" s="2" t="s">
        <v>25</v>
      </c>
      <c r="S65" s="2" t="s">
        <v>25</v>
      </c>
    </row>
    <row r="66" spans="1:19" ht="29" x14ac:dyDescent="0.35">
      <c r="A66" s="2" t="s">
        <v>247</v>
      </c>
      <c r="B66" s="2">
        <v>24000219</v>
      </c>
      <c r="C66" s="2" t="s">
        <v>248</v>
      </c>
      <c r="D66" s="2" t="s">
        <v>249</v>
      </c>
      <c r="E66" s="2" t="s">
        <v>250</v>
      </c>
      <c r="F66" s="2" t="s">
        <v>24</v>
      </c>
      <c r="G66" s="2" t="s">
        <v>25</v>
      </c>
      <c r="H66" s="2" t="s">
        <v>20</v>
      </c>
      <c r="I66" s="2" t="s">
        <v>20</v>
      </c>
      <c r="J66" s="2">
        <f>VLOOKUP(B66,[1]ca3!$D$2:$X$66,21,FALSE)</f>
        <v>10</v>
      </c>
      <c r="K66" s="2">
        <f>ROUND(VLOOKUP(B66,[1]ca3!$D$2:$X$66,20,FALSE),1)</f>
        <v>6.8</v>
      </c>
      <c r="L66" s="2" t="s">
        <v>25</v>
      </c>
      <c r="M66" s="2" t="s">
        <v>25</v>
      </c>
      <c r="N66" s="2" t="s">
        <v>25</v>
      </c>
      <c r="O66" s="2" t="s">
        <v>25</v>
      </c>
      <c r="P66" s="2" t="s">
        <v>25</v>
      </c>
      <c r="Q66" s="2" t="s">
        <v>25</v>
      </c>
      <c r="R66" s="2" t="s">
        <v>25</v>
      </c>
      <c r="S66" s="2" t="s">
        <v>25</v>
      </c>
    </row>
    <row r="67" spans="1:19" ht="29" x14ac:dyDescent="0.35">
      <c r="A67" s="2" t="s">
        <v>251</v>
      </c>
      <c r="B67" s="2">
        <v>24002278</v>
      </c>
      <c r="C67" s="2" t="s">
        <v>252</v>
      </c>
      <c r="D67" s="2" t="s">
        <v>253</v>
      </c>
      <c r="E67" s="2" t="s">
        <v>254</v>
      </c>
      <c r="F67" s="2" t="s">
        <v>24</v>
      </c>
      <c r="G67" s="2" t="s">
        <v>25</v>
      </c>
      <c r="H67" s="2" t="s">
        <v>20</v>
      </c>
      <c r="I67" s="2" t="s">
        <v>20</v>
      </c>
      <c r="J67" s="2">
        <f>VLOOKUP(B67,[1]ca3!$D$2:$X$66,21,FALSE)</f>
        <v>7.5</v>
      </c>
      <c r="K67" s="2">
        <f>ROUND(VLOOKUP(B67,[1]ca3!$D$2:$X$66,20,FALSE),1)</f>
        <v>7.2</v>
      </c>
      <c r="L67" s="2" t="s">
        <v>25</v>
      </c>
      <c r="M67" s="2" t="s">
        <v>25</v>
      </c>
      <c r="N67" s="2" t="s">
        <v>25</v>
      </c>
      <c r="O67" s="2" t="s">
        <v>25</v>
      </c>
      <c r="P67" s="2" t="s">
        <v>25</v>
      </c>
      <c r="Q67" s="2" t="s">
        <v>25</v>
      </c>
      <c r="R67" s="2" t="s">
        <v>25</v>
      </c>
      <c r="S67" s="2" t="s">
        <v>25</v>
      </c>
    </row>
  </sheetData>
  <mergeCells count="17">
    <mergeCell ref="A1:A2"/>
    <mergeCell ref="B1:B2"/>
    <mergeCell ref="C1:C2"/>
    <mergeCell ref="D1:D2"/>
    <mergeCell ref="E1:E2"/>
    <mergeCell ref="Q1:Q2"/>
    <mergeCell ref="R1:R2"/>
    <mergeCell ref="S1:S2"/>
    <mergeCell ref="F1:F2"/>
    <mergeCell ref="G1:G2"/>
    <mergeCell ref="H1:H2"/>
    <mergeCell ref="I1:I2"/>
    <mergeCell ref="N1:N2"/>
    <mergeCell ref="P1:P2"/>
    <mergeCell ref="J1:L1"/>
    <mergeCell ref="M1:M2"/>
    <mergeCell ref="O1:O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Nhung Nguyen</cp:lastModifiedBy>
  <dcterms:modified xsi:type="dcterms:W3CDTF">2026-04-23T04:21:26Z</dcterms:modified>
</cp:coreProperties>
</file>